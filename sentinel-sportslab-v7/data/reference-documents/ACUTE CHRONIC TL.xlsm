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18084096\Desktop\SS PROJECTS\PROJECTS\"/>
    </mc:Choice>
  </mc:AlternateContent>
  <bookViews>
    <workbookView xWindow="0" yWindow="0" windowWidth="24000" windowHeight="9630" activeTab="1"/>
  </bookViews>
  <sheets>
    <sheet name="RAW DATA CONVERSION" sheetId="17" r:id="rId1"/>
    <sheet name="DAILY LOAD INPUT" sheetId="9" r:id="rId2"/>
    <sheet name="DATABASE " sheetId="16" r:id="rId3"/>
    <sheet name="GAMES " sheetId="30" r:id="rId4"/>
    <sheet name="PIVOT TABLES" sheetId="28" r:id="rId5"/>
    <sheet name="POSITIONS " sheetId="6" r:id="rId6"/>
    <sheet name="INTRO PAGE " sheetId="29" r:id="rId7"/>
    <sheet name="INDV D - DEF" sheetId="22" r:id="rId8"/>
    <sheet name="INDV D - MID" sheetId="23" r:id="rId9"/>
    <sheet name="INDV D - WINGERS " sheetId="25" r:id="rId10"/>
    <sheet name="INDV D - STR" sheetId="24" r:id="rId11"/>
    <sheet name="SESSION SUMMARY " sheetId="32" r:id="rId12"/>
    <sheet name="FATIGUE V FITNESS " sheetId="10" r:id="rId13"/>
    <sheet name="ACWR DASHBOARD" sheetId="31" r:id="rId14"/>
  </sheets>
  <definedNames>
    <definedName name="_xlnm.Print_Area" localSheetId="13">'ACWR DASHBOARD'!$A$1:$AA$44</definedName>
    <definedName name="_xlnm.Print_Area" localSheetId="12">'FATIGUE V FITNESS '!$A$1:$AA$44</definedName>
    <definedName name="_xlnm.Print_Area" localSheetId="7">'INDV D - DEF'!$A$1:$AA$41</definedName>
    <definedName name="_xlnm.Print_Area" localSheetId="8">'INDV D - MID'!$A$1:$AA$40</definedName>
    <definedName name="_xlnm.Print_Area" localSheetId="10">'INDV D - STR'!$A$1:$AA$39</definedName>
    <definedName name="_xlnm.Print_Area" localSheetId="9">'INDV D - WINGERS '!$A$1:$AA$41</definedName>
    <definedName name="_xlnm.Print_Area" localSheetId="6">'INTRO PAGE '!$A$1:$AA$37</definedName>
    <definedName name="_xlnm.Print_Area" localSheetId="11">'SESSION SUMMARY '!$A$1:$M$48</definedName>
    <definedName name="Slicer_Date">#N/A</definedName>
  </definedNames>
  <calcPr calcId="162913"/>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56" i="16" l="1"/>
  <c r="B1357" i="16"/>
  <c r="B1358" i="16"/>
  <c r="B1359" i="16"/>
  <c r="B1360" i="16"/>
  <c r="B1361" i="16"/>
  <c r="B1362" i="16"/>
  <c r="B1363" i="16"/>
  <c r="B1364" i="16"/>
  <c r="B1365" i="16"/>
  <c r="B1366" i="16"/>
  <c r="B1367" i="16"/>
  <c r="B1368" i="16"/>
  <c r="B1369" i="16"/>
  <c r="B1370" i="16"/>
  <c r="B1371" i="16"/>
  <c r="B1372" i="16"/>
  <c r="B1373" i="16"/>
  <c r="B1374" i="16"/>
  <c r="B1332" i="16" l="1"/>
  <c r="B1333" i="16"/>
  <c r="B1334" i="16"/>
  <c r="B1335" i="16"/>
  <c r="B1336" i="16"/>
  <c r="B1337" i="16"/>
  <c r="B1338" i="16"/>
  <c r="B1339" i="16"/>
  <c r="B1340" i="16"/>
  <c r="B1341" i="16"/>
  <c r="B1342" i="16"/>
  <c r="B1343" i="16"/>
  <c r="B1344" i="16"/>
  <c r="B1345" i="16"/>
  <c r="B1346" i="16"/>
  <c r="B1347" i="16"/>
  <c r="B1348" i="16"/>
  <c r="B1349" i="16"/>
  <c r="B1350" i="16"/>
  <c r="B1351" i="16"/>
  <c r="B1352" i="16"/>
  <c r="B1353" i="16"/>
  <c r="B1354" i="16"/>
  <c r="B1355" i="16"/>
  <c r="B1308" i="16" l="1"/>
  <c r="B1309" i="16"/>
  <c r="B1310" i="16"/>
  <c r="B1311" i="16"/>
  <c r="B1312" i="16"/>
  <c r="B1313" i="16"/>
  <c r="B1314" i="16"/>
  <c r="B1315" i="16"/>
  <c r="B1316" i="16"/>
  <c r="B1317" i="16"/>
  <c r="B1318" i="16"/>
  <c r="B1319" i="16"/>
  <c r="B1320" i="16"/>
  <c r="B1321" i="16"/>
  <c r="B1322" i="16"/>
  <c r="B1323" i="16"/>
  <c r="B1324" i="16"/>
  <c r="B1325" i="16"/>
  <c r="B1326" i="16"/>
  <c r="B1327" i="16"/>
  <c r="B1328" i="16"/>
  <c r="B1329" i="16"/>
  <c r="B1330" i="16"/>
  <c r="B1331"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B1180" i="16"/>
  <c r="B1181" i="16"/>
  <c r="B1182" i="16"/>
  <c r="B1183" i="16"/>
  <c r="B1184" i="16"/>
  <c r="B1185" i="16"/>
  <c r="B1186" i="16"/>
  <c r="B1187" i="16"/>
  <c r="B1188" i="16"/>
  <c r="B1189" i="16"/>
  <c r="B1190" i="16"/>
  <c r="B1191" i="16"/>
  <c r="B1192" i="16"/>
  <c r="B1193" i="16"/>
  <c r="B1194" i="16"/>
  <c r="B1195" i="16"/>
  <c r="B1196" i="16"/>
  <c r="B1197" i="16"/>
  <c r="B1198" i="16"/>
  <c r="B1199" i="16"/>
  <c r="B1200" i="16"/>
  <c r="B1201" i="16"/>
  <c r="B1202" i="16"/>
  <c r="B1203" i="16"/>
  <c r="B1204" i="16"/>
  <c r="B1205" i="16"/>
  <c r="B1206" i="16"/>
  <c r="B1207" i="16"/>
  <c r="B1208" i="16"/>
  <c r="B1209" i="16"/>
  <c r="B1210" i="16"/>
  <c r="B1211" i="16"/>
  <c r="B1212" i="16"/>
  <c r="B1213" i="16"/>
  <c r="B1214" i="16"/>
  <c r="B1215" i="16"/>
  <c r="B1216" i="16"/>
  <c r="B1217" i="16"/>
  <c r="B1218" i="16"/>
  <c r="B1219" i="16"/>
  <c r="B1220" i="16"/>
  <c r="B1221" i="16"/>
  <c r="B1222" i="16"/>
  <c r="B1223" i="16"/>
  <c r="B1224" i="16"/>
  <c r="B1225" i="16"/>
  <c r="B1226" i="16"/>
  <c r="B1227" i="16"/>
  <c r="B1228" i="16"/>
  <c r="B1229" i="16"/>
  <c r="B1230" i="16"/>
  <c r="B1231" i="16"/>
  <c r="B1232" i="16"/>
  <c r="B1233" i="16"/>
  <c r="B1234" i="16"/>
  <c r="B1235" i="16"/>
  <c r="B1236" i="16"/>
  <c r="B1237" i="16"/>
  <c r="B1238" i="16"/>
  <c r="B1239" i="16"/>
  <c r="B1240" i="16"/>
  <c r="B1241" i="16"/>
  <c r="B1242" i="16"/>
  <c r="B1243" i="16"/>
  <c r="B1244" i="16"/>
  <c r="B1245" i="16"/>
  <c r="B1246" i="16"/>
  <c r="B1247" i="16"/>
  <c r="B1248" i="16"/>
  <c r="B1249" i="16"/>
  <c r="B1250" i="16"/>
  <c r="B1251" i="16"/>
  <c r="B1252" i="16"/>
  <c r="B1253" i="16"/>
  <c r="B1254" i="16"/>
  <c r="B1255" i="16"/>
  <c r="B1256" i="16"/>
  <c r="B1257" i="16"/>
  <c r="B1258" i="16"/>
  <c r="B1259" i="16"/>
  <c r="B1260" i="16"/>
  <c r="B1261" i="16"/>
  <c r="B1262" i="16"/>
  <c r="B1263" i="16"/>
  <c r="B1264" i="16"/>
  <c r="B1265" i="16"/>
  <c r="B1266" i="16"/>
  <c r="B1267" i="16"/>
  <c r="B1268" i="16"/>
  <c r="B1269" i="16"/>
  <c r="B1270" i="16"/>
  <c r="B1271" i="16"/>
  <c r="B1272" i="16"/>
  <c r="B1273" i="16"/>
  <c r="B1274" i="16"/>
  <c r="B1275" i="16"/>
  <c r="B1276" i="16"/>
  <c r="B1277" i="16"/>
  <c r="B1278" i="16"/>
  <c r="B1279" i="16"/>
  <c r="B1280" i="16"/>
  <c r="B1281" i="16"/>
  <c r="B1282" i="16"/>
  <c r="B1283" i="16"/>
  <c r="B1284" i="16"/>
  <c r="B1285" i="16"/>
  <c r="B1286" i="16"/>
  <c r="B1287" i="16"/>
  <c r="B1288" i="16"/>
  <c r="B1289" i="16"/>
  <c r="B1290" i="16"/>
  <c r="B1291" i="16"/>
  <c r="B1292" i="16"/>
  <c r="B1293" i="16"/>
  <c r="B1294" i="16"/>
  <c r="B1295" i="16"/>
  <c r="B1296" i="16"/>
  <c r="B1297" i="16"/>
  <c r="B1298" i="16"/>
  <c r="B1299" i="16"/>
  <c r="B1300" i="16"/>
  <c r="B1301" i="16"/>
  <c r="B1302" i="16"/>
  <c r="B1303" i="16"/>
  <c r="B1304" i="16"/>
  <c r="B1305" i="16"/>
  <c r="B1306" i="16"/>
  <c r="B1307" i="16"/>
  <c r="B2" i="16"/>
  <c r="G40" i="32"/>
  <c r="G39" i="32"/>
  <c r="B25" i="28"/>
  <c r="F41" i="32"/>
  <c r="I25" i="28"/>
  <c r="G41" i="32"/>
  <c r="E41" i="32"/>
  <c r="E39" i="32"/>
  <c r="E40" i="32"/>
  <c r="E38" i="32"/>
  <c r="H41" i="32"/>
  <c r="F39" i="32"/>
  <c r="F38" i="32"/>
  <c r="P25" i="28"/>
  <c r="H40" i="32"/>
  <c r="H38" i="32"/>
  <c r="H39" i="32"/>
  <c r="G38" i="32"/>
  <c r="W25" i="28"/>
  <c r="F40" i="32"/>
  <c r="M24" i="29" l="1"/>
  <c r="P26" i="28"/>
  <c r="W26" i="28"/>
  <c r="P27" i="28"/>
  <c r="W28" i="28"/>
  <c r="P28" i="28"/>
  <c r="B28" i="28"/>
  <c r="B27" i="28"/>
  <c r="I26" i="28"/>
  <c r="W27" i="28"/>
  <c r="I27" i="28"/>
  <c r="B26" i="28"/>
  <c r="I28" i="28"/>
  <c r="O1400" i="16" l="1"/>
  <c r="O1404" i="16"/>
  <c r="O1408" i="16"/>
  <c r="O1412" i="16"/>
  <c r="O1416" i="16"/>
  <c r="O1420" i="16"/>
  <c r="O1401" i="16"/>
  <c r="O1405" i="16"/>
  <c r="O1409" i="16"/>
  <c r="O1413" i="16"/>
  <c r="O1417" i="16"/>
  <c r="O1399" i="16"/>
  <c r="O1398" i="16"/>
  <c r="O1402" i="16"/>
  <c r="O1406" i="16"/>
  <c r="O1410" i="16"/>
  <c r="O1414" i="16"/>
  <c r="O1418" i="16"/>
  <c r="O1411" i="16"/>
  <c r="O1407" i="16"/>
  <c r="P1407" i="16" s="1"/>
  <c r="O1415" i="16"/>
  <c r="O1403" i="16"/>
  <c r="O1419" i="16"/>
  <c r="I1401" i="16"/>
  <c r="L1401" i="16" s="1"/>
  <c r="I1405" i="16"/>
  <c r="I1409" i="16"/>
  <c r="I1413" i="16"/>
  <c r="I1417" i="16"/>
  <c r="L1417" i="16" s="1"/>
  <c r="I1404" i="16"/>
  <c r="I1412" i="16"/>
  <c r="I1420" i="16"/>
  <c r="I1398" i="16"/>
  <c r="I1402" i="16"/>
  <c r="I1406" i="16"/>
  <c r="I1410" i="16"/>
  <c r="I1414" i="16"/>
  <c r="I1418" i="16"/>
  <c r="I1408" i="16"/>
  <c r="I1399" i="16"/>
  <c r="I1403" i="16"/>
  <c r="I1407" i="16"/>
  <c r="I1411" i="16"/>
  <c r="I1415" i="16"/>
  <c r="I1419" i="16"/>
  <c r="I1400" i="16"/>
  <c r="I1416" i="16"/>
  <c r="N1399" i="16"/>
  <c r="N1403" i="16"/>
  <c r="N1407" i="16"/>
  <c r="N1411" i="16"/>
  <c r="N1415" i="16"/>
  <c r="N1419" i="16"/>
  <c r="N1402" i="16"/>
  <c r="N1400" i="16"/>
  <c r="N1404" i="16"/>
  <c r="N1408" i="16"/>
  <c r="N1412" i="16"/>
  <c r="N1416" i="16"/>
  <c r="N1420" i="16"/>
  <c r="N1398" i="16"/>
  <c r="P1398" i="16" s="1"/>
  <c r="N1410" i="16"/>
  <c r="N1401" i="16"/>
  <c r="N1405" i="16"/>
  <c r="N1409" i="16"/>
  <c r="N1413" i="16"/>
  <c r="N1417" i="16"/>
  <c r="N1406" i="16"/>
  <c r="N1414" i="16"/>
  <c r="P1414" i="16" s="1"/>
  <c r="N1418" i="16"/>
  <c r="V1401" i="16"/>
  <c r="V1405" i="16"/>
  <c r="V1409" i="16"/>
  <c r="V1413" i="16"/>
  <c r="V1417" i="16"/>
  <c r="V1398" i="16"/>
  <c r="V1402" i="16"/>
  <c r="X1402" i="16" s="1"/>
  <c r="V1406" i="16"/>
  <c r="V1410" i="16"/>
  <c r="V1414" i="16"/>
  <c r="V1418" i="16"/>
  <c r="X1418" i="16" s="1"/>
  <c r="V1399" i="16"/>
  <c r="V1403" i="16"/>
  <c r="V1407" i="16"/>
  <c r="V1411" i="16"/>
  <c r="V1415" i="16"/>
  <c r="V1419" i="16"/>
  <c r="V1412" i="16"/>
  <c r="V1408" i="16"/>
  <c r="V1400" i="16"/>
  <c r="V1416" i="16"/>
  <c r="V1404" i="16"/>
  <c r="V1420" i="16"/>
  <c r="M1398" i="16"/>
  <c r="M1402" i="16"/>
  <c r="M1406" i="16"/>
  <c r="M1410" i="16"/>
  <c r="M1414" i="16"/>
  <c r="M1418" i="16"/>
  <c r="M1413" i="16"/>
  <c r="P1413" i="16" s="1"/>
  <c r="M1399" i="16"/>
  <c r="M1403" i="16"/>
  <c r="M1407" i="16"/>
  <c r="M1411" i="16"/>
  <c r="M1415" i="16"/>
  <c r="M1419" i="16"/>
  <c r="M1401" i="16"/>
  <c r="P1401" i="16" s="1"/>
  <c r="M1405" i="16"/>
  <c r="M1409" i="16"/>
  <c r="P1409" i="16" s="1"/>
  <c r="M1400" i="16"/>
  <c r="P1400" i="16" s="1"/>
  <c r="M1404" i="16"/>
  <c r="P1404" i="16" s="1"/>
  <c r="M1408" i="16"/>
  <c r="M1412" i="16"/>
  <c r="P1412" i="16" s="1"/>
  <c r="M1416" i="16"/>
  <c r="P1416" i="16" s="1"/>
  <c r="M1420" i="16"/>
  <c r="P1420" i="16" s="1"/>
  <c r="M1417" i="16"/>
  <c r="P1417" i="16" s="1"/>
  <c r="J1398" i="16"/>
  <c r="J1402" i="16"/>
  <c r="J1406" i="16"/>
  <c r="J1410" i="16"/>
  <c r="J1414" i="16"/>
  <c r="L1414" i="16" s="1"/>
  <c r="J1418" i="16"/>
  <c r="J1405" i="16"/>
  <c r="J1417" i="16"/>
  <c r="J1399" i="16"/>
  <c r="J1403" i="16"/>
  <c r="J1407" i="16"/>
  <c r="J1411" i="16"/>
  <c r="J1415" i="16"/>
  <c r="J1419" i="16"/>
  <c r="J1413" i="16"/>
  <c r="J1400" i="16"/>
  <c r="J1404" i="16"/>
  <c r="J1408" i="16"/>
  <c r="J1412" i="16"/>
  <c r="J1416" i="16"/>
  <c r="J1420" i="16"/>
  <c r="J1401" i="16"/>
  <c r="J1409" i="16"/>
  <c r="K1399" i="16"/>
  <c r="K1403" i="16"/>
  <c r="L1403" i="16" s="1"/>
  <c r="K1407" i="16"/>
  <c r="K1411" i="16"/>
  <c r="L1411" i="16" s="1"/>
  <c r="K1415" i="16"/>
  <c r="K1419" i="16"/>
  <c r="L1419" i="16" s="1"/>
  <c r="K1406" i="16"/>
  <c r="K1414" i="16"/>
  <c r="K1400" i="16"/>
  <c r="K1404" i="16"/>
  <c r="K1408" i="16"/>
  <c r="K1412" i="16"/>
  <c r="K1416" i="16"/>
  <c r="K1420" i="16"/>
  <c r="K1402" i="16"/>
  <c r="K1418" i="16"/>
  <c r="K1401" i="16"/>
  <c r="K1405" i="16"/>
  <c r="K1409" i="16"/>
  <c r="K1413" i="16"/>
  <c r="K1417" i="16"/>
  <c r="K1398" i="16"/>
  <c r="K1410" i="16"/>
  <c r="S1401" i="16"/>
  <c r="S1405" i="16"/>
  <c r="S1409" i="16"/>
  <c r="S1413" i="16"/>
  <c r="S1417" i="16"/>
  <c r="S1398" i="16"/>
  <c r="S1402" i="16"/>
  <c r="S1406" i="16"/>
  <c r="S1410" i="16"/>
  <c r="S1414" i="16"/>
  <c r="S1418" i="16"/>
  <c r="S1399" i="16"/>
  <c r="S1403" i="16"/>
  <c r="S1407" i="16"/>
  <c r="S1411" i="16"/>
  <c r="S1415" i="16"/>
  <c r="S1419" i="16"/>
  <c r="S1400" i="16"/>
  <c r="S1416" i="16"/>
  <c r="S1404" i="16"/>
  <c r="S1420" i="16"/>
  <c r="S1408" i="16"/>
  <c r="S1412" i="16"/>
  <c r="W1398" i="16"/>
  <c r="W1402" i="16"/>
  <c r="W1406" i="16"/>
  <c r="W1410" i="16"/>
  <c r="W1414" i="16"/>
  <c r="W1418" i="16"/>
  <c r="W1399" i="16"/>
  <c r="W1403" i="16"/>
  <c r="W1407" i="16"/>
  <c r="W1411" i="16"/>
  <c r="W1415" i="16"/>
  <c r="W1419" i="16"/>
  <c r="X1419" i="16" s="1"/>
  <c r="W1400" i="16"/>
  <c r="W1404" i="16"/>
  <c r="W1408" i="16"/>
  <c r="W1412" i="16"/>
  <c r="W1416" i="16"/>
  <c r="W1420" i="16"/>
  <c r="W1405" i="16"/>
  <c r="W1409" i="16"/>
  <c r="W1401" i="16"/>
  <c r="W1413" i="16"/>
  <c r="W1417" i="16"/>
  <c r="R1400" i="16"/>
  <c r="R1404" i="16"/>
  <c r="R1408" i="16"/>
  <c r="R1412" i="16"/>
  <c r="R1416" i="16"/>
  <c r="R1420" i="16"/>
  <c r="R1401" i="16"/>
  <c r="R1405" i="16"/>
  <c r="R1409" i="16"/>
  <c r="R1413" i="16"/>
  <c r="R1417" i="16"/>
  <c r="R1398" i="16"/>
  <c r="R1402" i="16"/>
  <c r="T1402" i="16" s="1"/>
  <c r="R1406" i="16"/>
  <c r="R1410" i="16"/>
  <c r="R1414" i="16"/>
  <c r="R1418" i="16"/>
  <c r="T1418" i="16" s="1"/>
  <c r="R1407" i="16"/>
  <c r="R1403" i="16"/>
  <c r="R1419" i="16"/>
  <c r="R1411" i="16"/>
  <c r="R1399" i="16"/>
  <c r="R1415" i="16"/>
  <c r="U1400" i="16"/>
  <c r="X1400" i="16" s="1"/>
  <c r="U1404" i="16"/>
  <c r="X1404" i="16" s="1"/>
  <c r="U1408" i="16"/>
  <c r="U1412" i="16"/>
  <c r="U1416" i="16"/>
  <c r="X1416" i="16" s="1"/>
  <c r="U1420" i="16"/>
  <c r="X1420" i="16" s="1"/>
  <c r="U1401" i="16"/>
  <c r="X1401" i="16" s="1"/>
  <c r="U1405" i="16"/>
  <c r="X1405" i="16" s="1"/>
  <c r="U1409" i="16"/>
  <c r="U1413" i="16"/>
  <c r="X1413" i="16" s="1"/>
  <c r="U1417" i="16"/>
  <c r="X1417" i="16" s="1"/>
  <c r="U1398" i="16"/>
  <c r="U1402" i="16"/>
  <c r="U1406" i="16"/>
  <c r="U1410" i="16"/>
  <c r="U1414" i="16"/>
  <c r="U1418" i="16"/>
  <c r="U1403" i="16"/>
  <c r="U1419" i="16"/>
  <c r="U1399" i="16"/>
  <c r="U1407" i="16"/>
  <c r="U1411" i="16"/>
  <c r="U1415" i="16"/>
  <c r="Q1399" i="16"/>
  <c r="Q1403" i="16"/>
  <c r="Q1407" i="16"/>
  <c r="Q1411" i="16"/>
  <c r="Q1415" i="16"/>
  <c r="Q1419" i="16"/>
  <c r="Q1400" i="16"/>
  <c r="T1400" i="16" s="1"/>
  <c r="Q1404" i="16"/>
  <c r="T1404" i="16" s="1"/>
  <c r="Q1408" i="16"/>
  <c r="T1408" i="16" s="1"/>
  <c r="Q1412" i="16"/>
  <c r="Q1416" i="16"/>
  <c r="T1416" i="16" s="1"/>
  <c r="Q1420" i="16"/>
  <c r="T1420" i="16" s="1"/>
  <c r="Q1401" i="16"/>
  <c r="T1401" i="16" s="1"/>
  <c r="Q1405" i="16"/>
  <c r="T1405" i="16" s="1"/>
  <c r="Q1409" i="16"/>
  <c r="T1409" i="16" s="1"/>
  <c r="Q1413" i="16"/>
  <c r="T1413" i="16" s="1"/>
  <c r="Q1417" i="16"/>
  <c r="T1417" i="16" s="1"/>
  <c r="Q1398" i="16"/>
  <c r="Q1414" i="16"/>
  <c r="Q1410" i="16"/>
  <c r="Q1402" i="16"/>
  <c r="Q1418" i="16"/>
  <c r="Q1406" i="16"/>
  <c r="R1378" i="16"/>
  <c r="R1382" i="16"/>
  <c r="R1386" i="16"/>
  <c r="R1390" i="16"/>
  <c r="R1394" i="16"/>
  <c r="R1375" i="16"/>
  <c r="R1379" i="16"/>
  <c r="R1383" i="16"/>
  <c r="R1387" i="16"/>
  <c r="R1391" i="16"/>
  <c r="R1395" i="16"/>
  <c r="R1377" i="16"/>
  <c r="R1385" i="16"/>
  <c r="R1393" i="16"/>
  <c r="R1380" i="16"/>
  <c r="R1388" i="16"/>
  <c r="R1396" i="16"/>
  <c r="R1381" i="16"/>
  <c r="R1389" i="16"/>
  <c r="R1397" i="16"/>
  <c r="R1376" i="16"/>
  <c r="R1384" i="16"/>
  <c r="R1392" i="16"/>
  <c r="K1377" i="16"/>
  <c r="K1381" i="16"/>
  <c r="K1385" i="16"/>
  <c r="K1389" i="16"/>
  <c r="K1393" i="16"/>
  <c r="K1397" i="16"/>
  <c r="K1378" i="16"/>
  <c r="K1382" i="16"/>
  <c r="K1386" i="16"/>
  <c r="K1390" i="16"/>
  <c r="K1394" i="16"/>
  <c r="K1375" i="16"/>
  <c r="K1379" i="16"/>
  <c r="K1383" i="16"/>
  <c r="K1387" i="16"/>
  <c r="K1391" i="16"/>
  <c r="K1395" i="16"/>
  <c r="K1380" i="16"/>
  <c r="K1396" i="16"/>
  <c r="K1384" i="16"/>
  <c r="K1388" i="16"/>
  <c r="L1388" i="16" s="1"/>
  <c r="K1376" i="16"/>
  <c r="K1392" i="16"/>
  <c r="N1377" i="16"/>
  <c r="N1381" i="16"/>
  <c r="N1385" i="16"/>
  <c r="N1389" i="16"/>
  <c r="N1393" i="16"/>
  <c r="N1397" i="16"/>
  <c r="N1378" i="16"/>
  <c r="N1382" i="16"/>
  <c r="N1386" i="16"/>
  <c r="N1390" i="16"/>
  <c r="N1394" i="16"/>
  <c r="N1375" i="16"/>
  <c r="N1379" i="16"/>
  <c r="N1383" i="16"/>
  <c r="N1387" i="16"/>
  <c r="N1391" i="16"/>
  <c r="N1395" i="16"/>
  <c r="N1376" i="16"/>
  <c r="N1392" i="16"/>
  <c r="N1380" i="16"/>
  <c r="N1396" i="16"/>
  <c r="N1384" i="16"/>
  <c r="N1388" i="16"/>
  <c r="S1375" i="16"/>
  <c r="S1379" i="16"/>
  <c r="S1383" i="16"/>
  <c r="S1387" i="16"/>
  <c r="S1391" i="16"/>
  <c r="S1395" i="16"/>
  <c r="S1376" i="16"/>
  <c r="S1380" i="16"/>
  <c r="S1384" i="16"/>
  <c r="S1388" i="16"/>
  <c r="S1392" i="16"/>
  <c r="T1392" i="16" s="1"/>
  <c r="S1396" i="16"/>
  <c r="S1378" i="16"/>
  <c r="S1386" i="16"/>
  <c r="S1394" i="16"/>
  <c r="S1381" i="16"/>
  <c r="S1389" i="16"/>
  <c r="S1397" i="16"/>
  <c r="S1382" i="16"/>
  <c r="S1390" i="16"/>
  <c r="S1377" i="16"/>
  <c r="S1393" i="16"/>
  <c r="S1385" i="16"/>
  <c r="U1378" i="16"/>
  <c r="U1382" i="16"/>
  <c r="U1386" i="16"/>
  <c r="U1390" i="16"/>
  <c r="U1394" i="16"/>
  <c r="U1375" i="16"/>
  <c r="U1379" i="16"/>
  <c r="U1383" i="16"/>
  <c r="U1387" i="16"/>
  <c r="U1391" i="16"/>
  <c r="U1395" i="16"/>
  <c r="U1381" i="16"/>
  <c r="U1389" i="16"/>
  <c r="U1397" i="16"/>
  <c r="U1376" i="16"/>
  <c r="U1384" i="16"/>
  <c r="U1392" i="16"/>
  <c r="U1377" i="16"/>
  <c r="U1385" i="16"/>
  <c r="U1393" i="16"/>
  <c r="X1393" i="16" s="1"/>
  <c r="U1380" i="16"/>
  <c r="U1396" i="16"/>
  <c r="U1388" i="16"/>
  <c r="O1378" i="16"/>
  <c r="O1382" i="16"/>
  <c r="O1386" i="16"/>
  <c r="O1390" i="16"/>
  <c r="O1394" i="16"/>
  <c r="O1388" i="16"/>
  <c r="O1396" i="16"/>
  <c r="O1375" i="16"/>
  <c r="O1379" i="16"/>
  <c r="O1383" i="16"/>
  <c r="O1387" i="16"/>
  <c r="O1391" i="16"/>
  <c r="O1395" i="16"/>
  <c r="O1376" i="16"/>
  <c r="O1380" i="16"/>
  <c r="O1384" i="16"/>
  <c r="O1385" i="16"/>
  <c r="O1397" i="16"/>
  <c r="O1389" i="16"/>
  <c r="O1377" i="16"/>
  <c r="O1392" i="16"/>
  <c r="P1392" i="16" s="1"/>
  <c r="O1393" i="16"/>
  <c r="O1381" i="16"/>
  <c r="V1375" i="16"/>
  <c r="V1379" i="16"/>
  <c r="V1383" i="16"/>
  <c r="V1387" i="16"/>
  <c r="X1387" i="16" s="1"/>
  <c r="V1391" i="16"/>
  <c r="V1395" i="16"/>
  <c r="X1395" i="16" s="1"/>
  <c r="V1384" i="16"/>
  <c r="V1392" i="16"/>
  <c r="V1396" i="16"/>
  <c r="V1376" i="16"/>
  <c r="V1380" i="16"/>
  <c r="V1388" i="16"/>
  <c r="V1382" i="16"/>
  <c r="V1390" i="16"/>
  <c r="V1377" i="16"/>
  <c r="V1385" i="16"/>
  <c r="V1393" i="16"/>
  <c r="V1378" i="16"/>
  <c r="V1386" i="16"/>
  <c r="V1394" i="16"/>
  <c r="V1389" i="16"/>
  <c r="V1381" i="16"/>
  <c r="V1397" i="16"/>
  <c r="W1376" i="16"/>
  <c r="W1380" i="16"/>
  <c r="X1380" i="16" s="1"/>
  <c r="W1384" i="16"/>
  <c r="X1384" i="16" s="1"/>
  <c r="W1388" i="16"/>
  <c r="W1392" i="16"/>
  <c r="X1392" i="16" s="1"/>
  <c r="W1396" i="16"/>
  <c r="W1377" i="16"/>
  <c r="W1385" i="16"/>
  <c r="W1389" i="16"/>
  <c r="W1393" i="16"/>
  <c r="W1381" i="16"/>
  <c r="W1397" i="16"/>
  <c r="W1375" i="16"/>
  <c r="W1383" i="16"/>
  <c r="W1391" i="16"/>
  <c r="W1378" i="16"/>
  <c r="W1386" i="16"/>
  <c r="W1394" i="16"/>
  <c r="W1379" i="16"/>
  <c r="W1387" i="16"/>
  <c r="W1395" i="16"/>
  <c r="W1382" i="16"/>
  <c r="W1390" i="16"/>
  <c r="Q1377" i="16"/>
  <c r="Q1381" i="16"/>
  <c r="T1381" i="16" s="1"/>
  <c r="Q1385" i="16"/>
  <c r="Q1389" i="16"/>
  <c r="T1389" i="16" s="1"/>
  <c r="Q1393" i="16"/>
  <c r="Q1397" i="16"/>
  <c r="Q1378" i="16"/>
  <c r="Q1382" i="16"/>
  <c r="T1382" i="16" s="1"/>
  <c r="Q1386" i="16"/>
  <c r="T1386" i="16" s="1"/>
  <c r="Q1390" i="16"/>
  <c r="Q1394" i="16"/>
  <c r="Q1376" i="16"/>
  <c r="Q1384" i="16"/>
  <c r="Q1392" i="16"/>
  <c r="Q1379" i="16"/>
  <c r="Q1387" i="16"/>
  <c r="Q1395" i="16"/>
  <c r="Q1380" i="16"/>
  <c r="Q1388" i="16"/>
  <c r="Q1396" i="16"/>
  <c r="Q1383" i="16"/>
  <c r="Q1375" i="16"/>
  <c r="Q1391" i="16"/>
  <c r="I1375" i="16"/>
  <c r="I1379" i="16"/>
  <c r="I1383" i="16"/>
  <c r="I1387" i="16"/>
  <c r="I1391" i="16"/>
  <c r="I1395" i="16"/>
  <c r="I1376" i="16"/>
  <c r="I1380" i="16"/>
  <c r="I1384" i="16"/>
  <c r="I1388" i="16"/>
  <c r="I1392" i="16"/>
  <c r="I1396" i="16"/>
  <c r="I1377" i="16"/>
  <c r="I1381" i="16"/>
  <c r="I1385" i="16"/>
  <c r="I1389" i="16"/>
  <c r="I1393" i="16"/>
  <c r="I1397" i="16"/>
  <c r="I1378" i="16"/>
  <c r="I1394" i="16"/>
  <c r="I1382" i="16"/>
  <c r="L1382" i="16" s="1"/>
  <c r="I1386" i="16"/>
  <c r="I1390" i="16"/>
  <c r="L1390" i="16" s="1"/>
  <c r="M1376" i="16"/>
  <c r="M1380" i="16"/>
  <c r="M1384" i="16"/>
  <c r="M1388" i="16"/>
  <c r="M1392" i="16"/>
  <c r="M1396" i="16"/>
  <c r="M1377" i="16"/>
  <c r="P1377" i="16" s="1"/>
  <c r="M1381" i="16"/>
  <c r="M1385" i="16"/>
  <c r="M1389" i="16"/>
  <c r="P1389" i="16" s="1"/>
  <c r="M1393" i="16"/>
  <c r="P1393" i="16" s="1"/>
  <c r="M1397" i="16"/>
  <c r="M1378" i="16"/>
  <c r="M1382" i="16"/>
  <c r="P1382" i="16" s="1"/>
  <c r="M1386" i="16"/>
  <c r="M1390" i="16"/>
  <c r="M1394" i="16"/>
  <c r="M1383" i="16"/>
  <c r="M1387" i="16"/>
  <c r="M1375" i="16"/>
  <c r="M1391" i="16"/>
  <c r="M1379" i="16"/>
  <c r="M1395" i="16"/>
  <c r="J1376" i="16"/>
  <c r="J1380" i="16"/>
  <c r="J1384" i="16"/>
  <c r="J1388" i="16"/>
  <c r="J1392" i="16"/>
  <c r="J1396" i="16"/>
  <c r="J1377" i="16"/>
  <c r="J1381" i="16"/>
  <c r="J1385" i="16"/>
  <c r="J1389" i="16"/>
  <c r="J1393" i="16"/>
  <c r="J1397" i="16"/>
  <c r="J1378" i="16"/>
  <c r="J1382" i="16"/>
  <c r="J1386" i="16"/>
  <c r="J1390" i="16"/>
  <c r="J1394" i="16"/>
  <c r="J1387" i="16"/>
  <c r="J1375" i="16"/>
  <c r="L1375" i="16" s="1"/>
  <c r="J1391" i="16"/>
  <c r="J1379" i="16"/>
  <c r="J1395" i="16"/>
  <c r="J1383" i="16"/>
  <c r="L1383" i="16" s="1"/>
  <c r="I1356" i="16"/>
  <c r="I1358" i="16"/>
  <c r="I1360" i="16"/>
  <c r="I1364" i="16"/>
  <c r="I1368" i="16"/>
  <c r="I1372" i="16"/>
  <c r="I1367" i="16"/>
  <c r="I1361" i="16"/>
  <c r="I1365" i="16"/>
  <c r="I1369" i="16"/>
  <c r="I1373" i="16"/>
  <c r="I1371" i="16"/>
  <c r="I1357" i="16"/>
  <c r="I1359" i="16"/>
  <c r="I1362" i="16"/>
  <c r="I1366" i="16"/>
  <c r="I1370" i="16"/>
  <c r="I1374" i="16"/>
  <c r="I1363" i="16"/>
  <c r="R1364" i="16"/>
  <c r="R1368" i="16"/>
  <c r="R1372" i="16"/>
  <c r="R1356" i="16"/>
  <c r="R1358" i="16"/>
  <c r="R1360" i="16"/>
  <c r="R1361" i="16"/>
  <c r="R1365" i="16"/>
  <c r="R1369" i="16"/>
  <c r="R1373" i="16"/>
  <c r="R1362" i="16"/>
  <c r="R1366" i="16"/>
  <c r="R1370" i="16"/>
  <c r="R1374" i="16"/>
  <c r="R1357" i="16"/>
  <c r="R1359" i="16"/>
  <c r="R1367" i="16"/>
  <c r="R1371" i="16"/>
  <c r="R1363" i="16"/>
  <c r="S1357" i="16"/>
  <c r="S1359" i="16"/>
  <c r="S1362" i="16"/>
  <c r="S1366" i="16"/>
  <c r="S1370" i="16"/>
  <c r="S1374" i="16"/>
  <c r="S1363" i="16"/>
  <c r="S1367" i="16"/>
  <c r="S1371" i="16"/>
  <c r="S1356" i="16"/>
  <c r="S1358" i="16"/>
  <c r="S1360" i="16"/>
  <c r="S1364" i="16"/>
  <c r="S1368" i="16"/>
  <c r="S1372" i="16"/>
  <c r="S1369" i="16"/>
  <c r="S1373" i="16"/>
  <c r="S1365" i="16"/>
  <c r="S1361" i="16"/>
  <c r="V1364" i="16"/>
  <c r="V1368" i="16"/>
  <c r="V1372" i="16"/>
  <c r="V1356" i="16"/>
  <c r="V1358" i="16"/>
  <c r="V1360" i="16"/>
  <c r="V1361" i="16"/>
  <c r="V1365" i="16"/>
  <c r="V1369" i="16"/>
  <c r="V1373" i="16"/>
  <c r="V1362" i="16"/>
  <c r="V1366" i="16"/>
  <c r="V1370" i="16"/>
  <c r="V1374" i="16"/>
  <c r="V1357" i="16"/>
  <c r="V1359" i="16"/>
  <c r="V1367" i="16"/>
  <c r="V1371" i="16"/>
  <c r="V1363" i="16"/>
  <c r="M1356" i="16"/>
  <c r="M1358" i="16"/>
  <c r="M1360" i="16"/>
  <c r="M1363" i="16"/>
  <c r="M1367" i="16"/>
  <c r="M1371" i="16"/>
  <c r="M1362" i="16"/>
  <c r="M1370" i="16"/>
  <c r="M1364" i="16"/>
  <c r="M1368" i="16"/>
  <c r="M1372" i="16"/>
  <c r="M1366" i="16"/>
  <c r="M1374" i="16"/>
  <c r="M1357" i="16"/>
  <c r="M1359" i="16"/>
  <c r="M1361" i="16"/>
  <c r="M1365" i="16"/>
  <c r="M1369" i="16"/>
  <c r="M1373" i="16"/>
  <c r="K1357" i="16"/>
  <c r="K1359" i="16"/>
  <c r="K1364" i="16"/>
  <c r="K1368" i="16"/>
  <c r="K1372" i="16"/>
  <c r="K1363" i="16"/>
  <c r="K1361" i="16"/>
  <c r="K1365" i="16"/>
  <c r="K1369" i="16"/>
  <c r="K1373" i="16"/>
  <c r="K1371" i="16"/>
  <c r="K1356" i="16"/>
  <c r="K1358" i="16"/>
  <c r="K1360" i="16"/>
  <c r="K1362" i="16"/>
  <c r="K1366" i="16"/>
  <c r="K1370" i="16"/>
  <c r="K1374" i="16"/>
  <c r="K1367" i="16"/>
  <c r="U1356" i="16"/>
  <c r="U1358" i="16"/>
  <c r="X1358" i="16" s="1"/>
  <c r="U1360" i="16"/>
  <c r="U1363" i="16"/>
  <c r="U1367" i="16"/>
  <c r="U1371" i="16"/>
  <c r="U1364" i="16"/>
  <c r="U1368" i="16"/>
  <c r="U1372" i="16"/>
  <c r="U1357" i="16"/>
  <c r="X1357" i="16" s="1"/>
  <c r="U1359" i="16"/>
  <c r="U1361" i="16"/>
  <c r="U1365" i="16"/>
  <c r="U1369" i="16"/>
  <c r="X1369" i="16" s="1"/>
  <c r="U1373" i="16"/>
  <c r="U1366" i="16"/>
  <c r="U1370" i="16"/>
  <c r="U1374" i="16"/>
  <c r="U1362" i="16"/>
  <c r="W1357" i="16"/>
  <c r="W1361" i="16"/>
  <c r="W1365" i="16"/>
  <c r="W1369" i="16"/>
  <c r="W1373" i="16"/>
  <c r="W1366" i="16"/>
  <c r="W1374" i="16"/>
  <c r="W1358" i="16"/>
  <c r="W1362" i="16"/>
  <c r="W1370" i="16"/>
  <c r="W1359" i="16"/>
  <c r="W1363" i="16"/>
  <c r="W1367" i="16"/>
  <c r="W1371" i="16"/>
  <c r="W1364" i="16"/>
  <c r="W1368" i="16"/>
  <c r="W1372" i="16"/>
  <c r="W1360" i="16"/>
  <c r="W1356" i="16"/>
  <c r="J1362" i="16"/>
  <c r="J1366" i="16"/>
  <c r="J1370" i="16"/>
  <c r="J1374" i="16"/>
  <c r="J1365" i="16"/>
  <c r="J1356" i="16"/>
  <c r="J1358" i="16"/>
  <c r="J1360" i="16"/>
  <c r="J1363" i="16"/>
  <c r="J1367" i="16"/>
  <c r="J1371" i="16"/>
  <c r="J1369" i="16"/>
  <c r="J1364" i="16"/>
  <c r="J1368" i="16"/>
  <c r="J1372" i="16"/>
  <c r="J1357" i="16"/>
  <c r="J1359" i="16"/>
  <c r="J1361" i="16"/>
  <c r="J1373" i="16"/>
  <c r="N1361" i="16"/>
  <c r="N1365" i="16"/>
  <c r="N1369" i="16"/>
  <c r="N1373" i="16"/>
  <c r="N1368" i="16"/>
  <c r="N1356" i="16"/>
  <c r="N1358" i="16"/>
  <c r="N1360" i="16"/>
  <c r="N1362" i="16"/>
  <c r="N1366" i="16"/>
  <c r="N1370" i="16"/>
  <c r="N1374" i="16"/>
  <c r="N1372" i="16"/>
  <c r="N1363" i="16"/>
  <c r="N1367" i="16"/>
  <c r="N1371" i="16"/>
  <c r="N1357" i="16"/>
  <c r="N1359" i="16"/>
  <c r="N1364" i="16"/>
  <c r="O1357" i="16"/>
  <c r="O1359" i="16"/>
  <c r="O1363" i="16"/>
  <c r="O1367" i="16"/>
  <c r="P1367" i="16" s="1"/>
  <c r="O1371" i="16"/>
  <c r="O1370" i="16"/>
  <c r="O1364" i="16"/>
  <c r="O1368" i="16"/>
  <c r="O1372" i="16"/>
  <c r="O1366" i="16"/>
  <c r="O1356" i="16"/>
  <c r="O1358" i="16"/>
  <c r="O1360" i="16"/>
  <c r="O1361" i="16"/>
  <c r="O1365" i="16"/>
  <c r="O1369" i="16"/>
  <c r="O1373" i="16"/>
  <c r="O1362" i="16"/>
  <c r="O1374" i="16"/>
  <c r="Q1356" i="16"/>
  <c r="Q1358" i="16"/>
  <c r="Q1360" i="16"/>
  <c r="T1360" i="16" s="1"/>
  <c r="Q1362" i="16"/>
  <c r="Q1366" i="16"/>
  <c r="T1366" i="16" s="1"/>
  <c r="Q1370" i="16"/>
  <c r="Q1374" i="16"/>
  <c r="T1374" i="16" s="1"/>
  <c r="Q1363" i="16"/>
  <c r="Q1367" i="16"/>
  <c r="Q1371" i="16"/>
  <c r="Q1361" i="16"/>
  <c r="T1361" i="16" s="1"/>
  <c r="Q1357" i="16"/>
  <c r="Q1359" i="16"/>
  <c r="Q1364" i="16"/>
  <c r="Q1368" i="16"/>
  <c r="T1368" i="16" s="1"/>
  <c r="Q1372" i="16"/>
  <c r="Q1365" i="16"/>
  <c r="Q1369" i="16"/>
  <c r="Q1373" i="16"/>
  <c r="T1373" i="16" s="1"/>
  <c r="N1332" i="16"/>
  <c r="N1336" i="16"/>
  <c r="N1340" i="16"/>
  <c r="N1344" i="16"/>
  <c r="N1348" i="16"/>
  <c r="N1352" i="16"/>
  <c r="N1333" i="16"/>
  <c r="N1337" i="16"/>
  <c r="N1341" i="16"/>
  <c r="N1345" i="16"/>
  <c r="N1349" i="16"/>
  <c r="N1353" i="16"/>
  <c r="N1334" i="16"/>
  <c r="N1338" i="16"/>
  <c r="N1342" i="16"/>
  <c r="N1346" i="16"/>
  <c r="N1350" i="16"/>
  <c r="N1354" i="16"/>
  <c r="N1343" i="16"/>
  <c r="N1347" i="16"/>
  <c r="N1355" i="16"/>
  <c r="N1335" i="16"/>
  <c r="N1351" i="16"/>
  <c r="N1339" i="16"/>
  <c r="I1332" i="16"/>
  <c r="I1336" i="16"/>
  <c r="I1340" i="16"/>
  <c r="I1344" i="16"/>
  <c r="I1348" i="16"/>
  <c r="I1352" i="16"/>
  <c r="I1333" i="16"/>
  <c r="I1337" i="16"/>
  <c r="I1341" i="16"/>
  <c r="I1345" i="16"/>
  <c r="I1349" i="16"/>
  <c r="I1353" i="16"/>
  <c r="I1334" i="16"/>
  <c r="I1338" i="16"/>
  <c r="I1342" i="16"/>
  <c r="I1346" i="16"/>
  <c r="I1350" i="16"/>
  <c r="I1354" i="16"/>
  <c r="I1335" i="16"/>
  <c r="I1351" i="16"/>
  <c r="I1339" i="16"/>
  <c r="I1355" i="16"/>
  <c r="I1343" i="16"/>
  <c r="I1347" i="16"/>
  <c r="S1332" i="16"/>
  <c r="S1336" i="16"/>
  <c r="S1340" i="16"/>
  <c r="S1344" i="16"/>
  <c r="S1348" i="16"/>
  <c r="S1352" i="16"/>
  <c r="S1333" i="16"/>
  <c r="S1337" i="16"/>
  <c r="S1341" i="16"/>
  <c r="S1345" i="16"/>
  <c r="S1349" i="16"/>
  <c r="S1353" i="16"/>
  <c r="S1334" i="16"/>
  <c r="S1338" i="16"/>
  <c r="S1342" i="16"/>
  <c r="S1346" i="16"/>
  <c r="S1350" i="16"/>
  <c r="S1354" i="16"/>
  <c r="S1335" i="16"/>
  <c r="S1351" i="16"/>
  <c r="S1339" i="16"/>
  <c r="S1355" i="16"/>
  <c r="S1347" i="16"/>
  <c r="S1343" i="16"/>
  <c r="J1332" i="16"/>
  <c r="J1336" i="16"/>
  <c r="J1340" i="16"/>
  <c r="J1344" i="16"/>
  <c r="J1348" i="16"/>
  <c r="J1352" i="16"/>
  <c r="J1333" i="16"/>
  <c r="J1337" i="16"/>
  <c r="J1341" i="16"/>
  <c r="J1345" i="16"/>
  <c r="J1349" i="16"/>
  <c r="J1353" i="16"/>
  <c r="J1334" i="16"/>
  <c r="J1338" i="16"/>
  <c r="J1342" i="16"/>
  <c r="J1346" i="16"/>
  <c r="J1350" i="16"/>
  <c r="J1354" i="16"/>
  <c r="J1343" i="16"/>
  <c r="J1339" i="16"/>
  <c r="J1347" i="16"/>
  <c r="J1355" i="16"/>
  <c r="J1335" i="16"/>
  <c r="J1351" i="16"/>
  <c r="O1332" i="16"/>
  <c r="O1336" i="16"/>
  <c r="O1340" i="16"/>
  <c r="O1344" i="16"/>
  <c r="O1348" i="16"/>
  <c r="O1352" i="16"/>
  <c r="O1333" i="16"/>
  <c r="O1337" i="16"/>
  <c r="O1341" i="16"/>
  <c r="O1345" i="16"/>
  <c r="O1349" i="16"/>
  <c r="O1353" i="16"/>
  <c r="O1334" i="16"/>
  <c r="O1338" i="16"/>
  <c r="O1342" i="16"/>
  <c r="O1346" i="16"/>
  <c r="O1350" i="16"/>
  <c r="O1354" i="16"/>
  <c r="O1335" i="16"/>
  <c r="O1351" i="16"/>
  <c r="O1339" i="16"/>
  <c r="O1355" i="16"/>
  <c r="O1343" i="16"/>
  <c r="O1347" i="16"/>
  <c r="K1332" i="16"/>
  <c r="K1336" i="16"/>
  <c r="K1340" i="16"/>
  <c r="K1344" i="16"/>
  <c r="K1348" i="16"/>
  <c r="K1352" i="16"/>
  <c r="K1333" i="16"/>
  <c r="K1337" i="16"/>
  <c r="K1341" i="16"/>
  <c r="K1345" i="16"/>
  <c r="K1349" i="16"/>
  <c r="K1353" i="16"/>
  <c r="K1334" i="16"/>
  <c r="K1338" i="16"/>
  <c r="K1342" i="16"/>
  <c r="K1346" i="16"/>
  <c r="K1350" i="16"/>
  <c r="K1354" i="16"/>
  <c r="K1335" i="16"/>
  <c r="K1351" i="16"/>
  <c r="K1339" i="16"/>
  <c r="K1355" i="16"/>
  <c r="K1343" i="16"/>
  <c r="K1347" i="16"/>
  <c r="V1332" i="16"/>
  <c r="V1336" i="16"/>
  <c r="V1340" i="16"/>
  <c r="V1344" i="16"/>
  <c r="V1348" i="16"/>
  <c r="V1352" i="16"/>
  <c r="V1333" i="16"/>
  <c r="V1337" i="16"/>
  <c r="V1341" i="16"/>
  <c r="V1345" i="16"/>
  <c r="V1349" i="16"/>
  <c r="V1353" i="16"/>
  <c r="V1334" i="16"/>
  <c r="V1338" i="16"/>
  <c r="V1342" i="16"/>
  <c r="V1346" i="16"/>
  <c r="V1350" i="16"/>
  <c r="V1354" i="16"/>
  <c r="V1343" i="16"/>
  <c r="V1339" i="16"/>
  <c r="V1347" i="16"/>
  <c r="V1355" i="16"/>
  <c r="V1335" i="16"/>
  <c r="V1351" i="16"/>
  <c r="U1332" i="16"/>
  <c r="U1336" i="16"/>
  <c r="U1340" i="16"/>
  <c r="U1344" i="16"/>
  <c r="U1348" i="16"/>
  <c r="U1352" i="16"/>
  <c r="U1333" i="16"/>
  <c r="U1337" i="16"/>
  <c r="U1341" i="16"/>
  <c r="U1345" i="16"/>
  <c r="U1349" i="16"/>
  <c r="U1353" i="16"/>
  <c r="U1334" i="16"/>
  <c r="U1338" i="16"/>
  <c r="U1342" i="16"/>
  <c r="U1346" i="16"/>
  <c r="U1350" i="16"/>
  <c r="U1354" i="16"/>
  <c r="U1335" i="16"/>
  <c r="U1351" i="16"/>
  <c r="U1347" i="16"/>
  <c r="U1339" i="16"/>
  <c r="U1355" i="16"/>
  <c r="U1343" i="16"/>
  <c r="Q1332" i="16"/>
  <c r="Q1336" i="16"/>
  <c r="Q1340" i="16"/>
  <c r="Q1344" i="16"/>
  <c r="Q1348" i="16"/>
  <c r="Q1352" i="16"/>
  <c r="Q1333" i="16"/>
  <c r="Q1337" i="16"/>
  <c r="Q1341" i="16"/>
  <c r="Q1345" i="16"/>
  <c r="Q1349" i="16"/>
  <c r="Q1353" i="16"/>
  <c r="Q1334" i="16"/>
  <c r="Q1338" i="16"/>
  <c r="Q1342" i="16"/>
  <c r="Q1346" i="16"/>
  <c r="Q1350" i="16"/>
  <c r="Q1354" i="16"/>
  <c r="Q1335" i="16"/>
  <c r="Q1351" i="16"/>
  <c r="T1351" i="16" s="1"/>
  <c r="Q1339" i="16"/>
  <c r="Q1355" i="16"/>
  <c r="Q1343" i="16"/>
  <c r="Q1347" i="16"/>
  <c r="T1347" i="16" s="1"/>
  <c r="R1332" i="16"/>
  <c r="R1336" i="16"/>
  <c r="R1340" i="16"/>
  <c r="R1344" i="16"/>
  <c r="R1348" i="16"/>
  <c r="R1352" i="16"/>
  <c r="R1333" i="16"/>
  <c r="R1337" i="16"/>
  <c r="R1341" i="16"/>
  <c r="R1345" i="16"/>
  <c r="R1349" i="16"/>
  <c r="R1353" i="16"/>
  <c r="R1334" i="16"/>
  <c r="R1338" i="16"/>
  <c r="R1342" i="16"/>
  <c r="R1346" i="16"/>
  <c r="R1350" i="16"/>
  <c r="R1354" i="16"/>
  <c r="R1343" i="16"/>
  <c r="R1355" i="16"/>
  <c r="R1347" i="16"/>
  <c r="R1335" i="16"/>
  <c r="R1351" i="16"/>
  <c r="R1339" i="16"/>
  <c r="M1332" i="16"/>
  <c r="P1332" i="16" s="1"/>
  <c r="M1336" i="16"/>
  <c r="P1336" i="16" s="1"/>
  <c r="M1340" i="16"/>
  <c r="P1340" i="16" s="1"/>
  <c r="M1344" i="16"/>
  <c r="P1344" i="16" s="1"/>
  <c r="M1348" i="16"/>
  <c r="P1348" i="16" s="1"/>
  <c r="M1352" i="16"/>
  <c r="P1352" i="16" s="1"/>
  <c r="M1333" i="16"/>
  <c r="P1333" i="16" s="1"/>
  <c r="M1337" i="16"/>
  <c r="P1337" i="16" s="1"/>
  <c r="M1341" i="16"/>
  <c r="P1341" i="16" s="1"/>
  <c r="M1345" i="16"/>
  <c r="P1345" i="16" s="1"/>
  <c r="M1349" i="16"/>
  <c r="P1349" i="16" s="1"/>
  <c r="M1353" i="16"/>
  <c r="P1353" i="16" s="1"/>
  <c r="M1334" i="16"/>
  <c r="P1334" i="16" s="1"/>
  <c r="M1338" i="16"/>
  <c r="P1338" i="16" s="1"/>
  <c r="M1342" i="16"/>
  <c r="P1342" i="16" s="1"/>
  <c r="M1346" i="16"/>
  <c r="P1346" i="16" s="1"/>
  <c r="M1350" i="16"/>
  <c r="P1350" i="16" s="1"/>
  <c r="M1354" i="16"/>
  <c r="P1354" i="16" s="1"/>
  <c r="M1335" i="16"/>
  <c r="M1351" i="16"/>
  <c r="P1351" i="16" s="1"/>
  <c r="M1339" i="16"/>
  <c r="M1355" i="16"/>
  <c r="P1355" i="16" s="1"/>
  <c r="M1343" i="16"/>
  <c r="P1343" i="16" s="1"/>
  <c r="M1347" i="16"/>
  <c r="P1347" i="16" s="1"/>
  <c r="W1332" i="16"/>
  <c r="W1333" i="16"/>
  <c r="W1334" i="16"/>
  <c r="W1335" i="16"/>
  <c r="W1339" i="16"/>
  <c r="W1343" i="16"/>
  <c r="W1347" i="16"/>
  <c r="W1351" i="16"/>
  <c r="W1355" i="16"/>
  <c r="W1338" i="16"/>
  <c r="W1350" i="16"/>
  <c r="W1336" i="16"/>
  <c r="W1340" i="16"/>
  <c r="W1344" i="16"/>
  <c r="W1348" i="16"/>
  <c r="W1352" i="16"/>
  <c r="W1346" i="16"/>
  <c r="W1337" i="16"/>
  <c r="W1341" i="16"/>
  <c r="W1345" i="16"/>
  <c r="W1349" i="16"/>
  <c r="W1353" i="16"/>
  <c r="W1342" i="16"/>
  <c r="W1354" i="16"/>
  <c r="R5" i="16"/>
  <c r="R9" i="16"/>
  <c r="R13" i="16"/>
  <c r="R17" i="16"/>
  <c r="R21" i="16"/>
  <c r="R25" i="16"/>
  <c r="R29" i="16"/>
  <c r="R33" i="16"/>
  <c r="R37" i="16"/>
  <c r="R41" i="16"/>
  <c r="R45" i="16"/>
  <c r="R49" i="16"/>
  <c r="R53" i="16"/>
  <c r="R57" i="16"/>
  <c r="R61" i="16"/>
  <c r="R65" i="16"/>
  <c r="R69" i="16"/>
  <c r="R73" i="16"/>
  <c r="R77" i="16"/>
  <c r="R81" i="16"/>
  <c r="R85" i="16"/>
  <c r="R89" i="16"/>
  <c r="R93" i="16"/>
  <c r="R97" i="16"/>
  <c r="R101" i="16"/>
  <c r="R105" i="16"/>
  <c r="R109" i="16"/>
  <c r="R113" i="16"/>
  <c r="R117" i="16"/>
  <c r="R121" i="16"/>
  <c r="R125" i="16"/>
  <c r="R129" i="16"/>
  <c r="R133" i="16"/>
  <c r="R137" i="16"/>
  <c r="R141" i="16"/>
  <c r="R145" i="16"/>
  <c r="R149" i="16"/>
  <c r="R153" i="16"/>
  <c r="R157" i="16"/>
  <c r="R161" i="16"/>
  <c r="R165" i="16"/>
  <c r="R169" i="16"/>
  <c r="R173" i="16"/>
  <c r="R177" i="16"/>
  <c r="R181" i="16"/>
  <c r="R185" i="16"/>
  <c r="R189" i="16"/>
  <c r="R193" i="16"/>
  <c r="R197" i="16"/>
  <c r="R201" i="16"/>
  <c r="R205" i="16"/>
  <c r="R209" i="16"/>
  <c r="R213" i="16"/>
  <c r="R217" i="16"/>
  <c r="R221" i="16"/>
  <c r="R225" i="16"/>
  <c r="R229" i="16"/>
  <c r="R233" i="16"/>
  <c r="R237" i="16"/>
  <c r="R241" i="16"/>
  <c r="R245" i="16"/>
  <c r="R249" i="16"/>
  <c r="R253" i="16"/>
  <c r="R257" i="16"/>
  <c r="R261" i="16"/>
  <c r="R265" i="16"/>
  <c r="R269" i="16"/>
  <c r="R273" i="16"/>
  <c r="R277" i="16"/>
  <c r="R281" i="16"/>
  <c r="R285" i="16"/>
  <c r="R289" i="16"/>
  <c r="R293" i="16"/>
  <c r="R297" i="16"/>
  <c r="R301" i="16"/>
  <c r="R305" i="16"/>
  <c r="R309" i="16"/>
  <c r="R313" i="16"/>
  <c r="R317" i="16"/>
  <c r="R321" i="16"/>
  <c r="R325" i="16"/>
  <c r="R329" i="16"/>
  <c r="R333" i="16"/>
  <c r="R337" i="16"/>
  <c r="R341" i="16"/>
  <c r="R345" i="16"/>
  <c r="R349" i="16"/>
  <c r="R353" i="16"/>
  <c r="R357" i="16"/>
  <c r="R361" i="16"/>
  <c r="R365" i="16"/>
  <c r="R369" i="16"/>
  <c r="R373" i="16"/>
  <c r="R377" i="16"/>
  <c r="R381" i="16"/>
  <c r="R385" i="16"/>
  <c r="R389" i="16"/>
  <c r="R393" i="16"/>
  <c r="R397" i="16"/>
  <c r="R401" i="16"/>
  <c r="R405" i="16"/>
  <c r="R409" i="16"/>
  <c r="R413" i="16"/>
  <c r="R417" i="16"/>
  <c r="R421" i="16"/>
  <c r="R425" i="16"/>
  <c r="R429" i="16"/>
  <c r="R433" i="16"/>
  <c r="R437" i="16"/>
  <c r="R441" i="16"/>
  <c r="R445" i="16"/>
  <c r="R449" i="16"/>
  <c r="R453" i="16"/>
  <c r="R457" i="16"/>
  <c r="R461" i="16"/>
  <c r="R465" i="16"/>
  <c r="R469" i="16"/>
  <c r="R473" i="16"/>
  <c r="R477" i="16"/>
  <c r="R481" i="16"/>
  <c r="R485" i="16"/>
  <c r="R489" i="16"/>
  <c r="R493" i="16"/>
  <c r="R497" i="16"/>
  <c r="R501" i="16"/>
  <c r="R505" i="16"/>
  <c r="R509" i="16"/>
  <c r="R513" i="16"/>
  <c r="R517" i="16"/>
  <c r="R521" i="16"/>
  <c r="R525" i="16"/>
  <c r="R529" i="16"/>
  <c r="R533" i="16"/>
  <c r="R537" i="16"/>
  <c r="R541" i="16"/>
  <c r="R545" i="16"/>
  <c r="R549" i="16"/>
  <c r="R553" i="16"/>
  <c r="R3" i="16"/>
  <c r="R7" i="16"/>
  <c r="R11" i="16"/>
  <c r="R15" i="16"/>
  <c r="R19" i="16"/>
  <c r="R23" i="16"/>
  <c r="R27" i="16"/>
  <c r="R31" i="16"/>
  <c r="R35" i="16"/>
  <c r="R39" i="16"/>
  <c r="R43" i="16"/>
  <c r="R47" i="16"/>
  <c r="R51" i="16"/>
  <c r="R55" i="16"/>
  <c r="R59" i="16"/>
  <c r="R63" i="16"/>
  <c r="R67" i="16"/>
  <c r="R71" i="16"/>
  <c r="R75" i="16"/>
  <c r="R79" i="16"/>
  <c r="R83" i="16"/>
  <c r="R87" i="16"/>
  <c r="R91" i="16"/>
  <c r="R95" i="16"/>
  <c r="R99" i="16"/>
  <c r="R103" i="16"/>
  <c r="R107" i="16"/>
  <c r="R111" i="16"/>
  <c r="R115" i="16"/>
  <c r="R119" i="16"/>
  <c r="R123" i="16"/>
  <c r="R127" i="16"/>
  <c r="R131" i="16"/>
  <c r="R135" i="16"/>
  <c r="R139" i="16"/>
  <c r="R143" i="16"/>
  <c r="R147" i="16"/>
  <c r="R151" i="16"/>
  <c r="R155" i="16"/>
  <c r="R159" i="16"/>
  <c r="R163" i="16"/>
  <c r="R167" i="16"/>
  <c r="R171" i="16"/>
  <c r="R175" i="16"/>
  <c r="R179" i="16"/>
  <c r="R183" i="16"/>
  <c r="R187" i="16"/>
  <c r="R191" i="16"/>
  <c r="R195" i="16"/>
  <c r="R199" i="16"/>
  <c r="R203" i="16"/>
  <c r="R207" i="16"/>
  <c r="R211" i="16"/>
  <c r="R215" i="16"/>
  <c r="R219" i="16"/>
  <c r="R223" i="16"/>
  <c r="R227" i="16"/>
  <c r="R231" i="16"/>
  <c r="R235" i="16"/>
  <c r="R239" i="16"/>
  <c r="R243" i="16"/>
  <c r="R247" i="16"/>
  <c r="R251" i="16"/>
  <c r="R255" i="16"/>
  <c r="R259" i="16"/>
  <c r="R263" i="16"/>
  <c r="R267" i="16"/>
  <c r="R271" i="16"/>
  <c r="R275" i="16"/>
  <c r="R279" i="16"/>
  <c r="R283" i="16"/>
  <c r="R287" i="16"/>
  <c r="R291" i="16"/>
  <c r="R295" i="16"/>
  <c r="R299" i="16"/>
  <c r="R303" i="16"/>
  <c r="R307" i="16"/>
  <c r="R311" i="16"/>
  <c r="R315" i="16"/>
  <c r="R319" i="16"/>
  <c r="R323" i="16"/>
  <c r="R327" i="16"/>
  <c r="R331" i="16"/>
  <c r="R335" i="16"/>
  <c r="R339" i="16"/>
  <c r="R343" i="16"/>
  <c r="R347" i="16"/>
  <c r="R351" i="16"/>
  <c r="R4" i="16"/>
  <c r="R8" i="16"/>
  <c r="R12" i="16"/>
  <c r="R16" i="16"/>
  <c r="R20" i="16"/>
  <c r="R24" i="16"/>
  <c r="R28" i="16"/>
  <c r="R32" i="16"/>
  <c r="R36" i="16"/>
  <c r="R40" i="16"/>
  <c r="R44" i="16"/>
  <c r="R48" i="16"/>
  <c r="R52" i="16"/>
  <c r="R56" i="16"/>
  <c r="R60" i="16"/>
  <c r="R64" i="16"/>
  <c r="R68" i="16"/>
  <c r="R72" i="16"/>
  <c r="R76" i="16"/>
  <c r="R80" i="16"/>
  <c r="R84" i="16"/>
  <c r="R88" i="16"/>
  <c r="R92" i="16"/>
  <c r="R96" i="16"/>
  <c r="R100" i="16"/>
  <c r="R104" i="16"/>
  <c r="R108" i="16"/>
  <c r="R112" i="16"/>
  <c r="R116" i="16"/>
  <c r="R120" i="16"/>
  <c r="R124" i="16"/>
  <c r="R128" i="16"/>
  <c r="R132" i="16"/>
  <c r="R136" i="16"/>
  <c r="R140" i="16"/>
  <c r="R144" i="16"/>
  <c r="R148" i="16"/>
  <c r="R152" i="16"/>
  <c r="R156" i="16"/>
  <c r="R160" i="16"/>
  <c r="R164" i="16"/>
  <c r="R168" i="16"/>
  <c r="R172" i="16"/>
  <c r="R176" i="16"/>
  <c r="R180" i="16"/>
  <c r="R184" i="16"/>
  <c r="R188" i="16"/>
  <c r="R192" i="16"/>
  <c r="R196" i="16"/>
  <c r="R200" i="16"/>
  <c r="R204" i="16"/>
  <c r="R208" i="16"/>
  <c r="R212" i="16"/>
  <c r="R216" i="16"/>
  <c r="R220" i="16"/>
  <c r="R224" i="16"/>
  <c r="R228" i="16"/>
  <c r="R232" i="16"/>
  <c r="R236" i="16"/>
  <c r="R240" i="16"/>
  <c r="R244" i="16"/>
  <c r="R248" i="16"/>
  <c r="R252" i="16"/>
  <c r="R256" i="16"/>
  <c r="R260" i="16"/>
  <c r="R264" i="16"/>
  <c r="R268" i="16"/>
  <c r="R272" i="16"/>
  <c r="R276" i="16"/>
  <c r="R280" i="16"/>
  <c r="R284" i="16"/>
  <c r="R288" i="16"/>
  <c r="R292" i="16"/>
  <c r="R296" i="16"/>
  <c r="R300" i="16"/>
  <c r="R304" i="16"/>
  <c r="R308" i="16"/>
  <c r="R312" i="16"/>
  <c r="R316" i="16"/>
  <c r="R320" i="16"/>
  <c r="R324" i="16"/>
  <c r="R328" i="16"/>
  <c r="R332" i="16"/>
  <c r="R336" i="16"/>
  <c r="R340" i="16"/>
  <c r="R344" i="16"/>
  <c r="R348" i="16"/>
  <c r="R352" i="16"/>
  <c r="R356" i="16"/>
  <c r="R360" i="16"/>
  <c r="R364" i="16"/>
  <c r="R368" i="16"/>
  <c r="R372" i="16"/>
  <c r="R376" i="16"/>
  <c r="R380" i="16"/>
  <c r="R384" i="16"/>
  <c r="R388" i="16"/>
  <c r="R392" i="16"/>
  <c r="R396" i="16"/>
  <c r="R400" i="16"/>
  <c r="R404" i="16"/>
  <c r="R408" i="16"/>
  <c r="R412" i="16"/>
  <c r="R416" i="16"/>
  <c r="R420" i="16"/>
  <c r="R424" i="16"/>
  <c r="R428" i="16"/>
  <c r="R432" i="16"/>
  <c r="R436" i="16"/>
  <c r="R440" i="16"/>
  <c r="R444" i="16"/>
  <c r="R448" i="16"/>
  <c r="R452" i="16"/>
  <c r="R456" i="16"/>
  <c r="R460" i="16"/>
  <c r="R464" i="16"/>
  <c r="R468" i="16"/>
  <c r="R472" i="16"/>
  <c r="R476" i="16"/>
  <c r="R480" i="16"/>
  <c r="R484" i="16"/>
  <c r="R488" i="16"/>
  <c r="R492" i="16"/>
  <c r="R496" i="16"/>
  <c r="R500" i="16"/>
  <c r="R504" i="16"/>
  <c r="R508" i="16"/>
  <c r="R512" i="16"/>
  <c r="R516" i="16"/>
  <c r="R520" i="16"/>
  <c r="R524" i="16"/>
  <c r="R528" i="16"/>
  <c r="R532" i="16"/>
  <c r="R536" i="16"/>
  <c r="R540" i="16"/>
  <c r="R544" i="16"/>
  <c r="R548" i="16"/>
  <c r="R552" i="16"/>
  <c r="R556" i="16"/>
  <c r="R560" i="16"/>
  <c r="R564" i="16"/>
  <c r="R568" i="16"/>
  <c r="R572" i="16"/>
  <c r="R576" i="16"/>
  <c r="R580" i="16"/>
  <c r="R584" i="16"/>
  <c r="R588" i="16"/>
  <c r="R592" i="16"/>
  <c r="R596" i="16"/>
  <c r="R600" i="16"/>
  <c r="R604" i="16"/>
  <c r="R608" i="16"/>
  <c r="R612" i="16"/>
  <c r="R616" i="16"/>
  <c r="R620" i="16"/>
  <c r="R624" i="16"/>
  <c r="R628" i="16"/>
  <c r="R632" i="16"/>
  <c r="R636" i="16"/>
  <c r="R640" i="16"/>
  <c r="R644" i="16"/>
  <c r="R648" i="16"/>
  <c r="R652" i="16"/>
  <c r="R656" i="16"/>
  <c r="R14" i="16"/>
  <c r="R30" i="16"/>
  <c r="R46" i="16"/>
  <c r="R62" i="16"/>
  <c r="R78" i="16"/>
  <c r="R94" i="16"/>
  <c r="R110" i="16"/>
  <c r="R126" i="16"/>
  <c r="R142" i="16"/>
  <c r="R158" i="16"/>
  <c r="R174" i="16"/>
  <c r="R190" i="16"/>
  <c r="R206" i="16"/>
  <c r="R222" i="16"/>
  <c r="R238" i="16"/>
  <c r="R254" i="16"/>
  <c r="R270" i="16"/>
  <c r="R286" i="16"/>
  <c r="R302" i="16"/>
  <c r="R318" i="16"/>
  <c r="R334" i="16"/>
  <c r="R350" i="16"/>
  <c r="R359" i="16"/>
  <c r="R367" i="16"/>
  <c r="R375" i="16"/>
  <c r="R383" i="16"/>
  <c r="R391" i="16"/>
  <c r="R399" i="16"/>
  <c r="R407" i="16"/>
  <c r="R415" i="16"/>
  <c r="R423" i="16"/>
  <c r="R431" i="16"/>
  <c r="R439" i="16"/>
  <c r="R447" i="16"/>
  <c r="R455" i="16"/>
  <c r="R463" i="16"/>
  <c r="R471" i="16"/>
  <c r="R479" i="16"/>
  <c r="R487" i="16"/>
  <c r="R495" i="16"/>
  <c r="R503" i="16"/>
  <c r="R511" i="16"/>
  <c r="R519" i="16"/>
  <c r="R527" i="16"/>
  <c r="R535" i="16"/>
  <c r="R543" i="16"/>
  <c r="R551" i="16"/>
  <c r="R558" i="16"/>
  <c r="R563" i="16"/>
  <c r="R569" i="16"/>
  <c r="R574" i="16"/>
  <c r="R579" i="16"/>
  <c r="R585" i="16"/>
  <c r="R590" i="16"/>
  <c r="R595" i="16"/>
  <c r="R601" i="16"/>
  <c r="R606" i="16"/>
  <c r="R611" i="16"/>
  <c r="R617" i="16"/>
  <c r="R622" i="16"/>
  <c r="R627" i="16"/>
  <c r="R633" i="16"/>
  <c r="R638" i="16"/>
  <c r="R643" i="16"/>
  <c r="R649" i="16"/>
  <c r="R654" i="16"/>
  <c r="R659" i="16"/>
  <c r="R663" i="16"/>
  <c r="R667" i="16"/>
  <c r="R671" i="16"/>
  <c r="R675" i="16"/>
  <c r="R679" i="16"/>
  <c r="R683" i="16"/>
  <c r="R687" i="16"/>
  <c r="R691" i="16"/>
  <c r="R695" i="16"/>
  <c r="R699" i="16"/>
  <c r="R703" i="16"/>
  <c r="R707" i="16"/>
  <c r="R711" i="16"/>
  <c r="R715" i="16"/>
  <c r="R719" i="16"/>
  <c r="R723" i="16"/>
  <c r="R727" i="16"/>
  <c r="R731" i="16"/>
  <c r="R735" i="16"/>
  <c r="R739" i="16"/>
  <c r="R743" i="16"/>
  <c r="R747" i="16"/>
  <c r="R751" i="16"/>
  <c r="R755" i="16"/>
  <c r="R759" i="16"/>
  <c r="R763" i="16"/>
  <c r="R767" i="16"/>
  <c r="R771" i="16"/>
  <c r="R775" i="16"/>
  <c r="R779" i="16"/>
  <c r="R783" i="16"/>
  <c r="R787" i="16"/>
  <c r="R791" i="16"/>
  <c r="R795" i="16"/>
  <c r="R799" i="16"/>
  <c r="R803" i="16"/>
  <c r="R807" i="16"/>
  <c r="R811" i="16"/>
  <c r="R815" i="16"/>
  <c r="R819" i="16"/>
  <c r="R823" i="16"/>
  <c r="R827" i="16"/>
  <c r="R831" i="16"/>
  <c r="R835" i="16"/>
  <c r="R839" i="16"/>
  <c r="R843" i="16"/>
  <c r="R847" i="16"/>
  <c r="R851" i="16"/>
  <c r="R855" i="16"/>
  <c r="R859" i="16"/>
  <c r="R863" i="16"/>
  <c r="R867" i="16"/>
  <c r="R871" i="16"/>
  <c r="R875" i="16"/>
  <c r="R879" i="16"/>
  <c r="R883" i="16"/>
  <c r="R887" i="16"/>
  <c r="R891" i="16"/>
  <c r="R895" i="16"/>
  <c r="R899" i="16"/>
  <c r="R903" i="16"/>
  <c r="R907" i="16"/>
  <c r="R911" i="16"/>
  <c r="R915" i="16"/>
  <c r="R919" i="16"/>
  <c r="R923" i="16"/>
  <c r="R927" i="16"/>
  <c r="R931" i="16"/>
  <c r="R935" i="16"/>
  <c r="R939" i="16"/>
  <c r="R943" i="16"/>
  <c r="R947" i="16"/>
  <c r="R951" i="16"/>
  <c r="R955" i="16"/>
  <c r="R959" i="16"/>
  <c r="R963" i="16"/>
  <c r="R967" i="16"/>
  <c r="R971" i="16"/>
  <c r="R975" i="16"/>
  <c r="R979" i="16"/>
  <c r="R983" i="16"/>
  <c r="R987" i="16"/>
  <c r="R991" i="16"/>
  <c r="R995" i="16"/>
  <c r="R999" i="16"/>
  <c r="R1003" i="16"/>
  <c r="R1007" i="16"/>
  <c r="R1011" i="16"/>
  <c r="R1015" i="16"/>
  <c r="R1019" i="16"/>
  <c r="R1023" i="16"/>
  <c r="R1027" i="16"/>
  <c r="R1031" i="16"/>
  <c r="R1035" i="16"/>
  <c r="R1039" i="16"/>
  <c r="R1043" i="16"/>
  <c r="R1047" i="16"/>
  <c r="R1051" i="16"/>
  <c r="R1055" i="16"/>
  <c r="R1059" i="16"/>
  <c r="R1063" i="16"/>
  <c r="R1067" i="16"/>
  <c r="R1071" i="16"/>
  <c r="R1075" i="16"/>
  <c r="R1079" i="16"/>
  <c r="R1083" i="16"/>
  <c r="R1087" i="16"/>
  <c r="R1091" i="16"/>
  <c r="R1095" i="16"/>
  <c r="R1099" i="16"/>
  <c r="R1103" i="16"/>
  <c r="R1107" i="16"/>
  <c r="R1111" i="16"/>
  <c r="R1115" i="16"/>
  <c r="R1119" i="16"/>
  <c r="R1123" i="16"/>
  <c r="R1127" i="16"/>
  <c r="R1131" i="16"/>
  <c r="R1135" i="16"/>
  <c r="R1139" i="16"/>
  <c r="R1143" i="16"/>
  <c r="R1147" i="16"/>
  <c r="R1151" i="16"/>
  <c r="R1155" i="16"/>
  <c r="R1159" i="16"/>
  <c r="R1163" i="16"/>
  <c r="R1167" i="16"/>
  <c r="R1171" i="16"/>
  <c r="R1175" i="16"/>
  <c r="R1179" i="16"/>
  <c r="R1183" i="16"/>
  <c r="R1187" i="16"/>
  <c r="R1191" i="16"/>
  <c r="R1195" i="16"/>
  <c r="R1199" i="16"/>
  <c r="R1203" i="16"/>
  <c r="R1207" i="16"/>
  <c r="R1211" i="16"/>
  <c r="R1215" i="16"/>
  <c r="R1219" i="16"/>
  <c r="R1223" i="16"/>
  <c r="R1227" i="16"/>
  <c r="R1231" i="16"/>
  <c r="R1235" i="16"/>
  <c r="R1239" i="16"/>
  <c r="R1243" i="16"/>
  <c r="R1247" i="16"/>
  <c r="R1251" i="16"/>
  <c r="R1255" i="16"/>
  <c r="R1259" i="16"/>
  <c r="R1263" i="16"/>
  <c r="R1267" i="16"/>
  <c r="R1271" i="16"/>
  <c r="R1275" i="16"/>
  <c r="R1279" i="16"/>
  <c r="R1283" i="16"/>
  <c r="R1287" i="16"/>
  <c r="R1291" i="16"/>
  <c r="R1295" i="16"/>
  <c r="R1299" i="16"/>
  <c r="R1303" i="16"/>
  <c r="R1307" i="16"/>
  <c r="R1311" i="16"/>
  <c r="R1315" i="16"/>
  <c r="R1319" i="16"/>
  <c r="R1323" i="16"/>
  <c r="R1327" i="16"/>
  <c r="R1331" i="16"/>
  <c r="R2" i="16"/>
  <c r="R18" i="16"/>
  <c r="R34" i="16"/>
  <c r="R50" i="16"/>
  <c r="R66" i="16"/>
  <c r="R82" i="16"/>
  <c r="R98" i="16"/>
  <c r="R114" i="16"/>
  <c r="R130" i="16"/>
  <c r="R146" i="16"/>
  <c r="R162" i="16"/>
  <c r="R178" i="16"/>
  <c r="R194" i="16"/>
  <c r="R210" i="16"/>
  <c r="R226" i="16"/>
  <c r="R242" i="16"/>
  <c r="R258" i="16"/>
  <c r="R274" i="16"/>
  <c r="R290" i="16"/>
  <c r="R306" i="16"/>
  <c r="R322" i="16"/>
  <c r="R338" i="16"/>
  <c r="R354" i="16"/>
  <c r="R362" i="16"/>
  <c r="R370" i="16"/>
  <c r="R378" i="16"/>
  <c r="R386" i="16"/>
  <c r="R394" i="16"/>
  <c r="R402" i="16"/>
  <c r="R410" i="16"/>
  <c r="R418" i="16"/>
  <c r="R426" i="16"/>
  <c r="R434" i="16"/>
  <c r="R442" i="16"/>
  <c r="R450" i="16"/>
  <c r="R458" i="16"/>
  <c r="R466" i="16"/>
  <c r="R474" i="16"/>
  <c r="R482" i="16"/>
  <c r="R490" i="16"/>
  <c r="R498" i="16"/>
  <c r="R506" i="16"/>
  <c r="R514" i="16"/>
  <c r="R522" i="16"/>
  <c r="R530" i="16"/>
  <c r="R538" i="16"/>
  <c r="R546" i="16"/>
  <c r="R554" i="16"/>
  <c r="R559" i="16"/>
  <c r="R565" i="16"/>
  <c r="R570" i="16"/>
  <c r="R575" i="16"/>
  <c r="R581" i="16"/>
  <c r="R586" i="16"/>
  <c r="R591" i="16"/>
  <c r="R597" i="16"/>
  <c r="R602" i="16"/>
  <c r="R607" i="16"/>
  <c r="R613" i="16"/>
  <c r="R618" i="16"/>
  <c r="R623" i="16"/>
  <c r="R629" i="16"/>
  <c r="R634" i="16"/>
  <c r="R639" i="16"/>
  <c r="R645" i="16"/>
  <c r="R650" i="16"/>
  <c r="R655" i="16"/>
  <c r="R660" i="16"/>
  <c r="R664" i="16"/>
  <c r="R668" i="16"/>
  <c r="R672" i="16"/>
  <c r="R676" i="16"/>
  <c r="R680" i="16"/>
  <c r="R684" i="16"/>
  <c r="R688" i="16"/>
  <c r="R692" i="16"/>
  <c r="R696" i="16"/>
  <c r="R700" i="16"/>
  <c r="R704" i="16"/>
  <c r="R708" i="16"/>
  <c r="R712" i="16"/>
  <c r="R716" i="16"/>
  <c r="R720" i="16"/>
  <c r="R724" i="16"/>
  <c r="R728" i="16"/>
  <c r="R732" i="16"/>
  <c r="R736" i="16"/>
  <c r="R740" i="16"/>
  <c r="R744" i="16"/>
  <c r="R748" i="16"/>
  <c r="R752" i="16"/>
  <c r="R756" i="16"/>
  <c r="R760" i="16"/>
  <c r="R764" i="16"/>
  <c r="R768" i="16"/>
  <c r="R772" i="16"/>
  <c r="R776" i="16"/>
  <c r="R780" i="16"/>
  <c r="R784" i="16"/>
  <c r="R788" i="16"/>
  <c r="R792" i="16"/>
  <c r="R796" i="16"/>
  <c r="R800" i="16"/>
  <c r="R804" i="16"/>
  <c r="R808" i="16"/>
  <c r="R812" i="16"/>
  <c r="R816" i="16"/>
  <c r="R820" i="16"/>
  <c r="R824" i="16"/>
  <c r="R828" i="16"/>
  <c r="R832" i="16"/>
  <c r="R836" i="16"/>
  <c r="R840" i="16"/>
  <c r="R844" i="16"/>
  <c r="R848" i="16"/>
  <c r="R852" i="16"/>
  <c r="R856" i="16"/>
  <c r="R860" i="16"/>
  <c r="R864" i="16"/>
  <c r="R868" i="16"/>
  <c r="R872" i="16"/>
  <c r="R876" i="16"/>
  <c r="R880" i="16"/>
  <c r="R884" i="16"/>
  <c r="R888" i="16"/>
  <c r="R892" i="16"/>
  <c r="R896" i="16"/>
  <c r="R900" i="16"/>
  <c r="R904" i="16"/>
  <c r="R908" i="16"/>
  <c r="R912" i="16"/>
  <c r="R916" i="16"/>
  <c r="R920" i="16"/>
  <c r="R924" i="16"/>
  <c r="R928" i="16"/>
  <c r="R932" i="16"/>
  <c r="R936" i="16"/>
  <c r="R940" i="16"/>
  <c r="R944" i="16"/>
  <c r="R948" i="16"/>
  <c r="R952" i="16"/>
  <c r="R956" i="16"/>
  <c r="R960" i="16"/>
  <c r="R964" i="16"/>
  <c r="R968" i="16"/>
  <c r="R972" i="16"/>
  <c r="R976" i="16"/>
  <c r="R980" i="16"/>
  <c r="R984" i="16"/>
  <c r="R988" i="16"/>
  <c r="R992" i="16"/>
  <c r="R996" i="16"/>
  <c r="R1000" i="16"/>
  <c r="R1004" i="16"/>
  <c r="R1008" i="16"/>
  <c r="R1012" i="16"/>
  <c r="R1016" i="16"/>
  <c r="R1020" i="16"/>
  <c r="R1024" i="16"/>
  <c r="R1028" i="16"/>
  <c r="R1032" i="16"/>
  <c r="R1036" i="16"/>
  <c r="R1040" i="16"/>
  <c r="R1044" i="16"/>
  <c r="R1048" i="16"/>
  <c r="R1052" i="16"/>
  <c r="R1056" i="16"/>
  <c r="R1060" i="16"/>
  <c r="R1064" i="16"/>
  <c r="R1068" i="16"/>
  <c r="R1072" i="16"/>
  <c r="R1076" i="16"/>
  <c r="R1080" i="16"/>
  <c r="R1084" i="16"/>
  <c r="R1088" i="16"/>
  <c r="R1092" i="16"/>
  <c r="R1096" i="16"/>
  <c r="R1100" i="16"/>
  <c r="R1104" i="16"/>
  <c r="R1108" i="16"/>
  <c r="R1112" i="16"/>
  <c r="R1116" i="16"/>
  <c r="R1120" i="16"/>
  <c r="R1124" i="16"/>
  <c r="R1128" i="16"/>
  <c r="R1132" i="16"/>
  <c r="R1136" i="16"/>
  <c r="R1140" i="16"/>
  <c r="R1144" i="16"/>
  <c r="R1148" i="16"/>
  <c r="R1152" i="16"/>
  <c r="R1156" i="16"/>
  <c r="R1160" i="16"/>
  <c r="R1164" i="16"/>
  <c r="R1168" i="16"/>
  <c r="R1172" i="16"/>
  <c r="R1176" i="16"/>
  <c r="R1180" i="16"/>
  <c r="R1184" i="16"/>
  <c r="R1188" i="16"/>
  <c r="R1192" i="16"/>
  <c r="R1196" i="16"/>
  <c r="R1200" i="16"/>
  <c r="R1204" i="16"/>
  <c r="R1208" i="16"/>
  <c r="R1212" i="16"/>
  <c r="R1216" i="16"/>
  <c r="R1220" i="16"/>
  <c r="R1224" i="16"/>
  <c r="R1228" i="16"/>
  <c r="R1232" i="16"/>
  <c r="R1236" i="16"/>
  <c r="R1240" i="16"/>
  <c r="R1244" i="16"/>
  <c r="R1248" i="16"/>
  <c r="R1252" i="16"/>
  <c r="R1256" i="16"/>
  <c r="R1260" i="16"/>
  <c r="R1264" i="16"/>
  <c r="R1268" i="16"/>
  <c r="R1272" i="16"/>
  <c r="R1276" i="16"/>
  <c r="R1280" i="16"/>
  <c r="R1284" i="16"/>
  <c r="R1288" i="16"/>
  <c r="R1292" i="16"/>
  <c r="R1296" i="16"/>
  <c r="R1300" i="16"/>
  <c r="R1304" i="16"/>
  <c r="R1308" i="16"/>
  <c r="R1312" i="16"/>
  <c r="R1316" i="16"/>
  <c r="R1320" i="16"/>
  <c r="R1324" i="16"/>
  <c r="R1328" i="16"/>
  <c r="R6" i="16"/>
  <c r="R22" i="16"/>
  <c r="R38" i="16"/>
  <c r="R54" i="16"/>
  <c r="R70" i="16"/>
  <c r="R86" i="16"/>
  <c r="R102" i="16"/>
  <c r="R118" i="16"/>
  <c r="R134" i="16"/>
  <c r="R150" i="16"/>
  <c r="R166" i="16"/>
  <c r="R182" i="16"/>
  <c r="R198" i="16"/>
  <c r="R214" i="16"/>
  <c r="R230" i="16"/>
  <c r="R246" i="16"/>
  <c r="R262" i="16"/>
  <c r="R278" i="16"/>
  <c r="R294" i="16"/>
  <c r="R310" i="16"/>
  <c r="R326" i="16"/>
  <c r="R342" i="16"/>
  <c r="R355" i="16"/>
  <c r="R363" i="16"/>
  <c r="R371" i="16"/>
  <c r="R379" i="16"/>
  <c r="R387" i="16"/>
  <c r="R395" i="16"/>
  <c r="R403" i="16"/>
  <c r="R411" i="16"/>
  <c r="R419" i="16"/>
  <c r="R427" i="16"/>
  <c r="R435" i="16"/>
  <c r="R443" i="16"/>
  <c r="R451" i="16"/>
  <c r="R459" i="16"/>
  <c r="R467" i="16"/>
  <c r="R475" i="16"/>
  <c r="R483" i="16"/>
  <c r="R491" i="16"/>
  <c r="R499" i="16"/>
  <c r="R507" i="16"/>
  <c r="R515" i="16"/>
  <c r="R523" i="16"/>
  <c r="R531" i="16"/>
  <c r="R539" i="16"/>
  <c r="R547" i="16"/>
  <c r="R555" i="16"/>
  <c r="R561" i="16"/>
  <c r="R566" i="16"/>
  <c r="R571" i="16"/>
  <c r="R577" i="16"/>
  <c r="R582" i="16"/>
  <c r="R587" i="16"/>
  <c r="R593" i="16"/>
  <c r="R598" i="16"/>
  <c r="R603" i="16"/>
  <c r="R609" i="16"/>
  <c r="R614" i="16"/>
  <c r="R619" i="16"/>
  <c r="R625" i="16"/>
  <c r="R630" i="16"/>
  <c r="R635" i="16"/>
  <c r="R641" i="16"/>
  <c r="R646" i="16"/>
  <c r="R651" i="16"/>
  <c r="R657" i="16"/>
  <c r="R661" i="16"/>
  <c r="R665" i="16"/>
  <c r="R669" i="16"/>
  <c r="R673" i="16"/>
  <c r="R677" i="16"/>
  <c r="R681" i="16"/>
  <c r="R685" i="16"/>
  <c r="R689" i="16"/>
  <c r="R693" i="16"/>
  <c r="R697" i="16"/>
  <c r="R701" i="16"/>
  <c r="R705" i="16"/>
  <c r="R709" i="16"/>
  <c r="R713" i="16"/>
  <c r="R717" i="16"/>
  <c r="R721" i="16"/>
  <c r="R725" i="16"/>
  <c r="R729" i="16"/>
  <c r="R733" i="16"/>
  <c r="R737" i="16"/>
  <c r="R741" i="16"/>
  <c r="R745" i="16"/>
  <c r="R749" i="16"/>
  <c r="R753" i="16"/>
  <c r="R757" i="16"/>
  <c r="R761" i="16"/>
  <c r="R765" i="16"/>
  <c r="R769" i="16"/>
  <c r="R773" i="16"/>
  <c r="R777" i="16"/>
  <c r="R781" i="16"/>
  <c r="R785" i="16"/>
  <c r="R789" i="16"/>
  <c r="R793" i="16"/>
  <c r="R797" i="16"/>
  <c r="R801" i="16"/>
  <c r="R805" i="16"/>
  <c r="R809" i="16"/>
  <c r="R813" i="16"/>
  <c r="R817" i="16"/>
  <c r="R821" i="16"/>
  <c r="R825" i="16"/>
  <c r="R829" i="16"/>
  <c r="R833" i="16"/>
  <c r="R837" i="16"/>
  <c r="R841" i="16"/>
  <c r="R845" i="16"/>
  <c r="R849" i="16"/>
  <c r="R853" i="16"/>
  <c r="R857" i="16"/>
  <c r="R861" i="16"/>
  <c r="R865" i="16"/>
  <c r="R869" i="16"/>
  <c r="R873" i="16"/>
  <c r="R877" i="16"/>
  <c r="R881" i="16"/>
  <c r="R885" i="16"/>
  <c r="R889" i="16"/>
  <c r="R893" i="16"/>
  <c r="R897" i="16"/>
  <c r="R901" i="16"/>
  <c r="R905" i="16"/>
  <c r="R909" i="16"/>
  <c r="R913" i="16"/>
  <c r="R917" i="16"/>
  <c r="R921" i="16"/>
  <c r="R925" i="16"/>
  <c r="R929" i="16"/>
  <c r="R933" i="16"/>
  <c r="R937" i="16"/>
  <c r="R941" i="16"/>
  <c r="R945" i="16"/>
  <c r="R949" i="16"/>
  <c r="R953" i="16"/>
  <c r="R957" i="16"/>
  <c r="R961" i="16"/>
  <c r="R965" i="16"/>
  <c r="R969" i="16"/>
  <c r="R973" i="16"/>
  <c r="R977" i="16"/>
  <c r="R981" i="16"/>
  <c r="R985" i="16"/>
  <c r="R989" i="16"/>
  <c r="R993" i="16"/>
  <c r="R997" i="16"/>
  <c r="R1001" i="16"/>
  <c r="R1005" i="16"/>
  <c r="R1009" i="16"/>
  <c r="R1013" i="16"/>
  <c r="R1017" i="16"/>
  <c r="R1021" i="16"/>
  <c r="R1025" i="16"/>
  <c r="R1029" i="16"/>
  <c r="R1033" i="16"/>
  <c r="R1037" i="16"/>
  <c r="R1041" i="16"/>
  <c r="R1045" i="16"/>
  <c r="R1049" i="16"/>
  <c r="R1053" i="16"/>
  <c r="R1057" i="16"/>
  <c r="R1061" i="16"/>
  <c r="R1065" i="16"/>
  <c r="R1069" i="16"/>
  <c r="R1073" i="16"/>
  <c r="R1077" i="16"/>
  <c r="R1081" i="16"/>
  <c r="R1085" i="16"/>
  <c r="R1089" i="16"/>
  <c r="R1093" i="16"/>
  <c r="R1097" i="16"/>
  <c r="R1101" i="16"/>
  <c r="R1105" i="16"/>
  <c r="R1109" i="16"/>
  <c r="R1113" i="16"/>
  <c r="R1117" i="16"/>
  <c r="R1121" i="16"/>
  <c r="R1125" i="16"/>
  <c r="R1129" i="16"/>
  <c r="R1133" i="16"/>
  <c r="R1137" i="16"/>
  <c r="R1141" i="16"/>
  <c r="R1145" i="16"/>
  <c r="R1149" i="16"/>
  <c r="R1153" i="16"/>
  <c r="R1157" i="16"/>
  <c r="R1161" i="16"/>
  <c r="R1165" i="16"/>
  <c r="R1169" i="16"/>
  <c r="R1173" i="16"/>
  <c r="R1177" i="16"/>
  <c r="R1181" i="16"/>
  <c r="R1185" i="16"/>
  <c r="R1189" i="16"/>
  <c r="R1193" i="16"/>
  <c r="R1197" i="16"/>
  <c r="R1201" i="16"/>
  <c r="R1205" i="16"/>
  <c r="R1209" i="16"/>
  <c r="R1213" i="16"/>
  <c r="R1217" i="16"/>
  <c r="R1221" i="16"/>
  <c r="R1225" i="16"/>
  <c r="R1229" i="16"/>
  <c r="R1233" i="16"/>
  <c r="R1237" i="16"/>
  <c r="R1241" i="16"/>
  <c r="R1245" i="16"/>
  <c r="R1249" i="16"/>
  <c r="R1253" i="16"/>
  <c r="R1257" i="16"/>
  <c r="R1261" i="16"/>
  <c r="R1265" i="16"/>
  <c r="R1269" i="16"/>
  <c r="R1273" i="16"/>
  <c r="R1277" i="16"/>
  <c r="R1281" i="16"/>
  <c r="R1285" i="16"/>
  <c r="R1289" i="16"/>
  <c r="R1293" i="16"/>
  <c r="R1297" i="16"/>
  <c r="R1301" i="16"/>
  <c r="R1305" i="16"/>
  <c r="R1309" i="16"/>
  <c r="R1313" i="16"/>
  <c r="R1317" i="16"/>
  <c r="R1321" i="16"/>
  <c r="R1325" i="16"/>
  <c r="R1329" i="16"/>
  <c r="R10" i="16"/>
  <c r="R26" i="16"/>
  <c r="R42" i="16"/>
  <c r="R58" i="16"/>
  <c r="R74" i="16"/>
  <c r="R90" i="16"/>
  <c r="R106" i="16"/>
  <c r="R122" i="16"/>
  <c r="R138" i="16"/>
  <c r="R154" i="16"/>
  <c r="R170" i="16"/>
  <c r="R186" i="16"/>
  <c r="R202" i="16"/>
  <c r="R218" i="16"/>
  <c r="R234" i="16"/>
  <c r="R250" i="16"/>
  <c r="R266" i="16"/>
  <c r="R282" i="16"/>
  <c r="R298" i="16"/>
  <c r="R314" i="16"/>
  <c r="R330" i="16"/>
  <c r="R346" i="16"/>
  <c r="R358" i="16"/>
  <c r="R366" i="16"/>
  <c r="R374" i="16"/>
  <c r="R382" i="16"/>
  <c r="R390" i="16"/>
  <c r="R398" i="16"/>
  <c r="R406" i="16"/>
  <c r="R414" i="16"/>
  <c r="R422" i="16"/>
  <c r="R430" i="16"/>
  <c r="R438" i="16"/>
  <c r="R446" i="16"/>
  <c r="R454" i="16"/>
  <c r="R462" i="16"/>
  <c r="R470" i="16"/>
  <c r="R478" i="16"/>
  <c r="R486" i="16"/>
  <c r="R494" i="16"/>
  <c r="R502" i="16"/>
  <c r="R510" i="16"/>
  <c r="R518" i="16"/>
  <c r="R526" i="16"/>
  <c r="R534" i="16"/>
  <c r="R542" i="16"/>
  <c r="R550" i="16"/>
  <c r="R557" i="16"/>
  <c r="R562" i="16"/>
  <c r="R567" i="16"/>
  <c r="R573" i="16"/>
  <c r="R578" i="16"/>
  <c r="R583" i="16"/>
  <c r="R589" i="16"/>
  <c r="R594" i="16"/>
  <c r="R599" i="16"/>
  <c r="R605" i="16"/>
  <c r="R610" i="16"/>
  <c r="R615" i="16"/>
  <c r="R621" i="16"/>
  <c r="R626" i="16"/>
  <c r="R631" i="16"/>
  <c r="R637" i="16"/>
  <c r="R642" i="16"/>
  <c r="R647" i="16"/>
  <c r="R653" i="16"/>
  <c r="R658" i="16"/>
  <c r="R662" i="16"/>
  <c r="R666" i="16"/>
  <c r="R670" i="16"/>
  <c r="R674" i="16"/>
  <c r="R678" i="16"/>
  <c r="R682" i="16"/>
  <c r="R686" i="16"/>
  <c r="R690" i="16"/>
  <c r="R694" i="16"/>
  <c r="R698" i="16"/>
  <c r="R702" i="16"/>
  <c r="R706" i="16"/>
  <c r="R710" i="16"/>
  <c r="R714" i="16"/>
  <c r="R718" i="16"/>
  <c r="R722" i="16"/>
  <c r="R726" i="16"/>
  <c r="R730" i="16"/>
  <c r="R734" i="16"/>
  <c r="R738" i="16"/>
  <c r="R742" i="16"/>
  <c r="R746" i="16"/>
  <c r="R750" i="16"/>
  <c r="R754" i="16"/>
  <c r="R758" i="16"/>
  <c r="R762" i="16"/>
  <c r="R766" i="16"/>
  <c r="R770" i="16"/>
  <c r="R774" i="16"/>
  <c r="R778" i="16"/>
  <c r="R782" i="16"/>
  <c r="R786" i="16"/>
  <c r="R790" i="16"/>
  <c r="R794" i="16"/>
  <c r="R798" i="16"/>
  <c r="R802" i="16"/>
  <c r="R806" i="16"/>
  <c r="R810" i="16"/>
  <c r="R814" i="16"/>
  <c r="R818" i="16"/>
  <c r="R822" i="16"/>
  <c r="R826" i="16"/>
  <c r="R830" i="16"/>
  <c r="R834" i="16"/>
  <c r="R838" i="16"/>
  <c r="R842" i="16"/>
  <c r="R846" i="16"/>
  <c r="R850" i="16"/>
  <c r="R854" i="16"/>
  <c r="R858" i="16"/>
  <c r="R862" i="16"/>
  <c r="R866" i="16"/>
  <c r="R870" i="16"/>
  <c r="R874" i="16"/>
  <c r="R878" i="16"/>
  <c r="R882" i="16"/>
  <c r="R886" i="16"/>
  <c r="R890" i="16"/>
  <c r="R894" i="16"/>
  <c r="R898" i="16"/>
  <c r="R902" i="16"/>
  <c r="R906" i="16"/>
  <c r="R910" i="16"/>
  <c r="R914" i="16"/>
  <c r="R918" i="16"/>
  <c r="R922" i="16"/>
  <c r="R926" i="16"/>
  <c r="R930" i="16"/>
  <c r="R934" i="16"/>
  <c r="R938" i="16"/>
  <c r="R942" i="16"/>
  <c r="R946" i="16"/>
  <c r="R950" i="16"/>
  <c r="R954" i="16"/>
  <c r="R958" i="16"/>
  <c r="R962" i="16"/>
  <c r="R966" i="16"/>
  <c r="R970" i="16"/>
  <c r="R974" i="16"/>
  <c r="R978" i="16"/>
  <c r="R982" i="16"/>
  <c r="R986" i="16"/>
  <c r="R990" i="16"/>
  <c r="R994" i="16"/>
  <c r="R998" i="16"/>
  <c r="R1002" i="16"/>
  <c r="R1006" i="16"/>
  <c r="R1010" i="16"/>
  <c r="R1014" i="16"/>
  <c r="R1018" i="16"/>
  <c r="R1022" i="16"/>
  <c r="R1026" i="16"/>
  <c r="R1030" i="16"/>
  <c r="R1034" i="16"/>
  <c r="R1038" i="16"/>
  <c r="R1042" i="16"/>
  <c r="R1046" i="16"/>
  <c r="R1050" i="16"/>
  <c r="R1054" i="16"/>
  <c r="R1058" i="16"/>
  <c r="R1062" i="16"/>
  <c r="R1066" i="16"/>
  <c r="R1070" i="16"/>
  <c r="R1074" i="16"/>
  <c r="R1078" i="16"/>
  <c r="R1082" i="16"/>
  <c r="R1086" i="16"/>
  <c r="R1090" i="16"/>
  <c r="R1094" i="16"/>
  <c r="R1098" i="16"/>
  <c r="R1102" i="16"/>
  <c r="R1106" i="16"/>
  <c r="R1110" i="16"/>
  <c r="R1114" i="16"/>
  <c r="R1118" i="16"/>
  <c r="R1122" i="16"/>
  <c r="R1126" i="16"/>
  <c r="R1130" i="16"/>
  <c r="R1134" i="16"/>
  <c r="R1138" i="16"/>
  <c r="R1142" i="16"/>
  <c r="R1146" i="16"/>
  <c r="R1150" i="16"/>
  <c r="R1154" i="16"/>
  <c r="R1158" i="16"/>
  <c r="R1162" i="16"/>
  <c r="R1166" i="16"/>
  <c r="R1170" i="16"/>
  <c r="R1174" i="16"/>
  <c r="R1178" i="16"/>
  <c r="R1182" i="16"/>
  <c r="R1186" i="16"/>
  <c r="R1190" i="16"/>
  <c r="R1194" i="16"/>
  <c r="R1198" i="16"/>
  <c r="R1202" i="16"/>
  <c r="R1206" i="16"/>
  <c r="R1210" i="16"/>
  <c r="R1214" i="16"/>
  <c r="R1218" i="16"/>
  <c r="R1222" i="16"/>
  <c r="R1226" i="16"/>
  <c r="R1230" i="16"/>
  <c r="R1234" i="16"/>
  <c r="R1238" i="16"/>
  <c r="R1242" i="16"/>
  <c r="R1246" i="16"/>
  <c r="R1250" i="16"/>
  <c r="R1254" i="16"/>
  <c r="R1258" i="16"/>
  <c r="R1262" i="16"/>
  <c r="R1266" i="16"/>
  <c r="R1270" i="16"/>
  <c r="R1274" i="16"/>
  <c r="R1278" i="16"/>
  <c r="R1282" i="16"/>
  <c r="R1286" i="16"/>
  <c r="R1290" i="16"/>
  <c r="R1294" i="16"/>
  <c r="R1298" i="16"/>
  <c r="R1302" i="16"/>
  <c r="R1306" i="16"/>
  <c r="R1310" i="16"/>
  <c r="R1314" i="16"/>
  <c r="R1318" i="16"/>
  <c r="R1322" i="16"/>
  <c r="R1326" i="16"/>
  <c r="R1330" i="16"/>
  <c r="N2" i="16"/>
  <c r="N6" i="16"/>
  <c r="N10" i="16"/>
  <c r="N14" i="16"/>
  <c r="N18" i="16"/>
  <c r="N22" i="16"/>
  <c r="N26" i="16"/>
  <c r="N30" i="16"/>
  <c r="N34" i="16"/>
  <c r="N38" i="16"/>
  <c r="N42" i="16"/>
  <c r="N46" i="16"/>
  <c r="N50" i="16"/>
  <c r="N54" i="16"/>
  <c r="N58" i="16"/>
  <c r="N62" i="16"/>
  <c r="N66" i="16"/>
  <c r="N70" i="16"/>
  <c r="N74" i="16"/>
  <c r="N78" i="16"/>
  <c r="N82" i="16"/>
  <c r="N86" i="16"/>
  <c r="N90" i="16"/>
  <c r="N94" i="16"/>
  <c r="N98" i="16"/>
  <c r="N102" i="16"/>
  <c r="N106" i="16"/>
  <c r="N110" i="16"/>
  <c r="N114" i="16"/>
  <c r="N118" i="16"/>
  <c r="N122" i="16"/>
  <c r="N126" i="16"/>
  <c r="N130" i="16"/>
  <c r="N134" i="16"/>
  <c r="N138" i="16"/>
  <c r="N142" i="16"/>
  <c r="N146" i="16"/>
  <c r="N150" i="16"/>
  <c r="N154" i="16"/>
  <c r="N158" i="16"/>
  <c r="N162" i="16"/>
  <c r="N166" i="16"/>
  <c r="N170" i="16"/>
  <c r="N174" i="16"/>
  <c r="N178" i="16"/>
  <c r="N182" i="16"/>
  <c r="N186" i="16"/>
  <c r="N190" i="16"/>
  <c r="N194" i="16"/>
  <c r="N198" i="16"/>
  <c r="N202" i="16"/>
  <c r="N206" i="16"/>
  <c r="N210" i="16"/>
  <c r="N214" i="16"/>
  <c r="N218" i="16"/>
  <c r="N222" i="16"/>
  <c r="N226" i="16"/>
  <c r="N230" i="16"/>
  <c r="N234" i="16"/>
  <c r="N238" i="16"/>
  <c r="N242" i="16"/>
  <c r="N246" i="16"/>
  <c r="N250" i="16"/>
  <c r="N254" i="16"/>
  <c r="N258" i="16"/>
  <c r="N262" i="16"/>
  <c r="N266" i="16"/>
  <c r="N270" i="16"/>
  <c r="N274" i="16"/>
  <c r="N278" i="16"/>
  <c r="N282" i="16"/>
  <c r="N286" i="16"/>
  <c r="N290" i="16"/>
  <c r="N294" i="16"/>
  <c r="N298" i="16"/>
  <c r="N302" i="16"/>
  <c r="N306" i="16"/>
  <c r="N310" i="16"/>
  <c r="N314" i="16"/>
  <c r="N318" i="16"/>
  <c r="N322" i="16"/>
  <c r="N326" i="16"/>
  <c r="N330" i="16"/>
  <c r="N334" i="16"/>
  <c r="N338" i="16"/>
  <c r="N342" i="16"/>
  <c r="N346" i="16"/>
  <c r="N350" i="16"/>
  <c r="N354" i="16"/>
  <c r="N358" i="16"/>
  <c r="N362" i="16"/>
  <c r="N366" i="16"/>
  <c r="N370" i="16"/>
  <c r="N374" i="16"/>
  <c r="N378" i="16"/>
  <c r="N382" i="16"/>
  <c r="N386" i="16"/>
  <c r="N390" i="16"/>
  <c r="N394" i="16"/>
  <c r="N398" i="16"/>
  <c r="N402" i="16"/>
  <c r="N406" i="16"/>
  <c r="N410" i="16"/>
  <c r="N414" i="16"/>
  <c r="N418" i="16"/>
  <c r="N422" i="16"/>
  <c r="N426" i="16"/>
  <c r="N430" i="16"/>
  <c r="N434" i="16"/>
  <c r="N438" i="16"/>
  <c r="N442" i="16"/>
  <c r="N446" i="16"/>
  <c r="N450" i="16"/>
  <c r="N454" i="16"/>
  <c r="N458" i="16"/>
  <c r="N462" i="16"/>
  <c r="N466" i="16"/>
  <c r="N470" i="16"/>
  <c r="N474" i="16"/>
  <c r="N478" i="16"/>
  <c r="N482" i="16"/>
  <c r="N486" i="16"/>
  <c r="N490" i="16"/>
  <c r="N494" i="16"/>
  <c r="N498" i="16"/>
  <c r="N502" i="16"/>
  <c r="N506" i="16"/>
  <c r="N510" i="16"/>
  <c r="N514" i="16"/>
  <c r="N518" i="16"/>
  <c r="N522" i="16"/>
  <c r="N526" i="16"/>
  <c r="N530" i="16"/>
  <c r="N534" i="16"/>
  <c r="N538" i="16"/>
  <c r="N542" i="16"/>
  <c r="N546" i="16"/>
  <c r="N550" i="16"/>
  <c r="N554" i="16"/>
  <c r="N558" i="16"/>
  <c r="N562" i="16"/>
  <c r="N566" i="16"/>
  <c r="N570" i="16"/>
  <c r="N574" i="16"/>
  <c r="N578" i="16"/>
  <c r="N582" i="16"/>
  <c r="N586" i="16"/>
  <c r="N590" i="16"/>
  <c r="N594" i="16"/>
  <c r="N598" i="16"/>
  <c r="N602" i="16"/>
  <c r="N606" i="16"/>
  <c r="N610" i="16"/>
  <c r="N614" i="16"/>
  <c r="N618" i="16"/>
  <c r="N622" i="16"/>
  <c r="N626" i="16"/>
  <c r="N630" i="16"/>
  <c r="N634" i="16"/>
  <c r="N638" i="16"/>
  <c r="N642" i="16"/>
  <c r="N646" i="16"/>
  <c r="N650" i="16"/>
  <c r="N654" i="16"/>
  <c r="N658" i="16"/>
  <c r="N662" i="16"/>
  <c r="N666" i="16"/>
  <c r="N670" i="16"/>
  <c r="N674" i="16"/>
  <c r="N678" i="16"/>
  <c r="N682" i="16"/>
  <c r="N686" i="16"/>
  <c r="N690" i="16"/>
  <c r="N694" i="16"/>
  <c r="N698" i="16"/>
  <c r="N702" i="16"/>
  <c r="N706" i="16"/>
  <c r="N710" i="16"/>
  <c r="N714" i="16"/>
  <c r="N718" i="16"/>
  <c r="N722" i="16"/>
  <c r="N726" i="16"/>
  <c r="N730" i="16"/>
  <c r="N734" i="16"/>
  <c r="N738" i="16"/>
  <c r="N742" i="16"/>
  <c r="N746" i="16"/>
  <c r="N750" i="16"/>
  <c r="N754" i="16"/>
  <c r="N758" i="16"/>
  <c r="N762" i="16"/>
  <c r="N766" i="16"/>
  <c r="N770" i="16"/>
  <c r="N774" i="16"/>
  <c r="N778" i="16"/>
  <c r="N782" i="16"/>
  <c r="N786" i="16"/>
  <c r="N790" i="16"/>
  <c r="N794" i="16"/>
  <c r="N798" i="16"/>
  <c r="N802" i="16"/>
  <c r="N806" i="16"/>
  <c r="N810" i="16"/>
  <c r="N814" i="16"/>
  <c r="N818" i="16"/>
  <c r="N822" i="16"/>
  <c r="N826" i="16"/>
  <c r="N830" i="16"/>
  <c r="N834" i="16"/>
  <c r="N838" i="16"/>
  <c r="N842" i="16"/>
  <c r="N846" i="16"/>
  <c r="N850" i="16"/>
  <c r="N854" i="16"/>
  <c r="N858" i="16"/>
  <c r="N862" i="16"/>
  <c r="N866" i="16"/>
  <c r="N870" i="16"/>
  <c r="N874" i="16"/>
  <c r="N878" i="16"/>
  <c r="N882" i="16"/>
  <c r="N886" i="16"/>
  <c r="N890" i="16"/>
  <c r="N894" i="16"/>
  <c r="N898" i="16"/>
  <c r="N902" i="16"/>
  <c r="N906" i="16"/>
  <c r="N910" i="16"/>
  <c r="N914" i="16"/>
  <c r="N918" i="16"/>
  <c r="N922" i="16"/>
  <c r="N926" i="16"/>
  <c r="N930" i="16"/>
  <c r="N934" i="16"/>
  <c r="N938" i="16"/>
  <c r="N942" i="16"/>
  <c r="N946" i="16"/>
  <c r="N950" i="16"/>
  <c r="N954" i="16"/>
  <c r="N958" i="16"/>
  <c r="N962" i="16"/>
  <c r="N966" i="16"/>
  <c r="N970" i="16"/>
  <c r="N974" i="16"/>
  <c r="N978" i="16"/>
  <c r="N982" i="16"/>
  <c r="N986" i="16"/>
  <c r="N990" i="16"/>
  <c r="N994" i="16"/>
  <c r="N998" i="16"/>
  <c r="N1002" i="16"/>
  <c r="N1006" i="16"/>
  <c r="N1010" i="16"/>
  <c r="N1014" i="16"/>
  <c r="N1018" i="16"/>
  <c r="N1022" i="16"/>
  <c r="N1026" i="16"/>
  <c r="N1030" i="16"/>
  <c r="N1034" i="16"/>
  <c r="N1038" i="16"/>
  <c r="N1042" i="16"/>
  <c r="N1046" i="16"/>
  <c r="N3" i="16"/>
  <c r="N7" i="16"/>
  <c r="N11" i="16"/>
  <c r="N15" i="16"/>
  <c r="N19" i="16"/>
  <c r="N23" i="16"/>
  <c r="N27" i="16"/>
  <c r="N31" i="16"/>
  <c r="N35" i="16"/>
  <c r="N39" i="16"/>
  <c r="N43" i="16"/>
  <c r="N47" i="16"/>
  <c r="N51" i="16"/>
  <c r="N55" i="16"/>
  <c r="N59" i="16"/>
  <c r="N63" i="16"/>
  <c r="N67" i="16"/>
  <c r="N71" i="16"/>
  <c r="N75" i="16"/>
  <c r="N79" i="16"/>
  <c r="N83" i="16"/>
  <c r="N87" i="16"/>
  <c r="N91" i="16"/>
  <c r="N95" i="16"/>
  <c r="N99" i="16"/>
  <c r="N103" i="16"/>
  <c r="N107" i="16"/>
  <c r="N111" i="16"/>
  <c r="N115" i="16"/>
  <c r="N119" i="16"/>
  <c r="N123" i="16"/>
  <c r="N127" i="16"/>
  <c r="N131" i="16"/>
  <c r="N135" i="16"/>
  <c r="N139" i="16"/>
  <c r="N143" i="16"/>
  <c r="N147" i="16"/>
  <c r="N151" i="16"/>
  <c r="N155" i="16"/>
  <c r="N159" i="16"/>
  <c r="N163" i="16"/>
  <c r="N167" i="16"/>
  <c r="N171" i="16"/>
  <c r="N175" i="16"/>
  <c r="N4" i="16"/>
  <c r="N8" i="16"/>
  <c r="N12" i="16"/>
  <c r="N16" i="16"/>
  <c r="N20" i="16"/>
  <c r="N24" i="16"/>
  <c r="N28" i="16"/>
  <c r="N32" i="16"/>
  <c r="N36" i="16"/>
  <c r="N40" i="16"/>
  <c r="N44" i="16"/>
  <c r="N48" i="16"/>
  <c r="N52" i="16"/>
  <c r="N56" i="16"/>
  <c r="N60" i="16"/>
  <c r="N64" i="16"/>
  <c r="N68" i="16"/>
  <c r="N72" i="16"/>
  <c r="N76" i="16"/>
  <c r="N80" i="16"/>
  <c r="N84" i="16"/>
  <c r="N88" i="16"/>
  <c r="N92" i="16"/>
  <c r="N96" i="16"/>
  <c r="N100" i="16"/>
  <c r="N104" i="16"/>
  <c r="N108" i="16"/>
  <c r="N112" i="16"/>
  <c r="N116" i="16"/>
  <c r="N120" i="16"/>
  <c r="N124" i="16"/>
  <c r="N128" i="16"/>
  <c r="N132" i="16"/>
  <c r="N136" i="16"/>
  <c r="N140" i="16"/>
  <c r="N144" i="16"/>
  <c r="N148" i="16"/>
  <c r="N152" i="16"/>
  <c r="N156" i="16"/>
  <c r="N160" i="16"/>
  <c r="N164" i="16"/>
  <c r="N168" i="16"/>
  <c r="N172" i="16"/>
  <c r="N176" i="16"/>
  <c r="N180" i="16"/>
  <c r="N184" i="16"/>
  <c r="N188" i="16"/>
  <c r="N192" i="16"/>
  <c r="N196" i="16"/>
  <c r="N200" i="16"/>
  <c r="N204" i="16"/>
  <c r="N208" i="16"/>
  <c r="N212" i="16"/>
  <c r="N216" i="16"/>
  <c r="N220" i="16"/>
  <c r="N224" i="16"/>
  <c r="N228" i="16"/>
  <c r="N232" i="16"/>
  <c r="N236" i="16"/>
  <c r="N240" i="16"/>
  <c r="N244" i="16"/>
  <c r="N248" i="16"/>
  <c r="N252" i="16"/>
  <c r="N256" i="16"/>
  <c r="N260" i="16"/>
  <c r="N264" i="16"/>
  <c r="N268" i="16"/>
  <c r="N272" i="16"/>
  <c r="N276" i="16"/>
  <c r="N280" i="16"/>
  <c r="N284" i="16"/>
  <c r="N288" i="16"/>
  <c r="N292" i="16"/>
  <c r="N296" i="16"/>
  <c r="N300" i="16"/>
  <c r="N304" i="16"/>
  <c r="N308" i="16"/>
  <c r="N312" i="16"/>
  <c r="N316" i="16"/>
  <c r="N320" i="16"/>
  <c r="N324" i="16"/>
  <c r="N328" i="16"/>
  <c r="N332" i="16"/>
  <c r="N336" i="16"/>
  <c r="N340" i="16"/>
  <c r="N344" i="16"/>
  <c r="N348" i="16"/>
  <c r="N352" i="16"/>
  <c r="N356" i="16"/>
  <c r="N360" i="16"/>
  <c r="N364" i="16"/>
  <c r="N368" i="16"/>
  <c r="N372" i="16"/>
  <c r="N376" i="16"/>
  <c r="N380" i="16"/>
  <c r="N384" i="16"/>
  <c r="N388" i="16"/>
  <c r="N392" i="16"/>
  <c r="N396" i="16"/>
  <c r="N400" i="16"/>
  <c r="N404" i="16"/>
  <c r="N408" i="16"/>
  <c r="N412" i="16"/>
  <c r="N416" i="16"/>
  <c r="N420" i="16"/>
  <c r="N424" i="16"/>
  <c r="N428" i="16"/>
  <c r="N432" i="16"/>
  <c r="N436" i="16"/>
  <c r="N440" i="16"/>
  <c r="N444" i="16"/>
  <c r="N448" i="16"/>
  <c r="N452" i="16"/>
  <c r="N456" i="16"/>
  <c r="N460" i="16"/>
  <c r="N464" i="16"/>
  <c r="N468" i="16"/>
  <c r="N472" i="16"/>
  <c r="N476" i="16"/>
  <c r="N480" i="16"/>
  <c r="N484" i="16"/>
  <c r="N488" i="16"/>
  <c r="N492" i="16"/>
  <c r="N496" i="16"/>
  <c r="N500" i="16"/>
  <c r="N504" i="16"/>
  <c r="N508" i="16"/>
  <c r="N512" i="16"/>
  <c r="N516" i="16"/>
  <c r="N520" i="16"/>
  <c r="N524" i="16"/>
  <c r="N528" i="16"/>
  <c r="N532" i="16"/>
  <c r="N536" i="16"/>
  <c r="N540" i="16"/>
  <c r="N544" i="16"/>
  <c r="N548" i="16"/>
  <c r="N552" i="16"/>
  <c r="N556" i="16"/>
  <c r="N560" i="16"/>
  <c r="N564" i="16"/>
  <c r="N568" i="16"/>
  <c r="N572" i="16"/>
  <c r="N576" i="16"/>
  <c r="N580" i="16"/>
  <c r="N584" i="16"/>
  <c r="N588" i="16"/>
  <c r="N592" i="16"/>
  <c r="N596" i="16"/>
  <c r="N600" i="16"/>
  <c r="N604" i="16"/>
  <c r="N608" i="16"/>
  <c r="N612" i="16"/>
  <c r="N616" i="16"/>
  <c r="N620" i="16"/>
  <c r="N624" i="16"/>
  <c r="N628" i="16"/>
  <c r="N632" i="16"/>
  <c r="N636" i="16"/>
  <c r="N640" i="16"/>
  <c r="N644" i="16"/>
  <c r="N648" i="16"/>
  <c r="N652" i="16"/>
  <c r="N656" i="16"/>
  <c r="N660" i="16"/>
  <c r="N664" i="16"/>
  <c r="N668" i="16"/>
  <c r="N672" i="16"/>
  <c r="N676" i="16"/>
  <c r="N680" i="16"/>
  <c r="N684" i="16"/>
  <c r="N688" i="16"/>
  <c r="N692" i="16"/>
  <c r="N696" i="16"/>
  <c r="N700" i="16"/>
  <c r="N704" i="16"/>
  <c r="N708" i="16"/>
  <c r="N712" i="16"/>
  <c r="N716" i="16"/>
  <c r="N720" i="16"/>
  <c r="N724" i="16"/>
  <c r="N728" i="16"/>
  <c r="N732" i="16"/>
  <c r="N736" i="16"/>
  <c r="N740" i="16"/>
  <c r="N744" i="16"/>
  <c r="N748" i="16"/>
  <c r="N752" i="16"/>
  <c r="N756" i="16"/>
  <c r="N760" i="16"/>
  <c r="N764" i="16"/>
  <c r="N768" i="16"/>
  <c r="N772" i="16"/>
  <c r="N776" i="16"/>
  <c r="N780" i="16"/>
  <c r="N784" i="16"/>
  <c r="N788" i="16"/>
  <c r="N792" i="16"/>
  <c r="N796" i="16"/>
  <c r="N800" i="16"/>
  <c r="N804" i="16"/>
  <c r="N808" i="16"/>
  <c r="N812" i="16"/>
  <c r="N816" i="16"/>
  <c r="N820" i="16"/>
  <c r="N824" i="16"/>
  <c r="N828" i="16"/>
  <c r="N832" i="16"/>
  <c r="N836" i="16"/>
  <c r="N840" i="16"/>
  <c r="N844" i="16"/>
  <c r="N848" i="16"/>
  <c r="N852" i="16"/>
  <c r="N856" i="16"/>
  <c r="N860" i="16"/>
  <c r="N864" i="16"/>
  <c r="N868" i="16"/>
  <c r="N872" i="16"/>
  <c r="N876" i="16"/>
  <c r="N880" i="16"/>
  <c r="N884" i="16"/>
  <c r="N888" i="16"/>
  <c r="N892" i="16"/>
  <c r="N896" i="16"/>
  <c r="N900" i="16"/>
  <c r="N904" i="16"/>
  <c r="N908" i="16"/>
  <c r="N912" i="16"/>
  <c r="N916" i="16"/>
  <c r="N920" i="16"/>
  <c r="N924" i="16"/>
  <c r="N928" i="16"/>
  <c r="N932" i="16"/>
  <c r="N936" i="16"/>
  <c r="N940" i="16"/>
  <c r="N944" i="16"/>
  <c r="N948" i="16"/>
  <c r="N952" i="16"/>
  <c r="N956" i="16"/>
  <c r="N960" i="16"/>
  <c r="N964" i="16"/>
  <c r="N968" i="16"/>
  <c r="N972" i="16"/>
  <c r="N976" i="16"/>
  <c r="N980" i="16"/>
  <c r="N984" i="16"/>
  <c r="N988" i="16"/>
  <c r="N992" i="16"/>
  <c r="N996" i="16"/>
  <c r="N1000" i="16"/>
  <c r="N1004" i="16"/>
  <c r="N1008" i="16"/>
  <c r="N1012" i="16"/>
  <c r="N1016" i="16"/>
  <c r="N1020" i="16"/>
  <c r="N1024" i="16"/>
  <c r="N1028" i="16"/>
  <c r="N1032" i="16"/>
  <c r="N1036" i="16"/>
  <c r="N1040" i="16"/>
  <c r="N1044" i="16"/>
  <c r="N1048" i="16"/>
  <c r="N13" i="16"/>
  <c r="N29" i="16"/>
  <c r="N45" i="16"/>
  <c r="N61" i="16"/>
  <c r="N77" i="16"/>
  <c r="N93" i="16"/>
  <c r="N109" i="16"/>
  <c r="N125" i="16"/>
  <c r="N141" i="16"/>
  <c r="N157" i="16"/>
  <c r="N173" i="16"/>
  <c r="N183" i="16"/>
  <c r="N191" i="16"/>
  <c r="N199" i="16"/>
  <c r="N207" i="16"/>
  <c r="N215" i="16"/>
  <c r="N223" i="16"/>
  <c r="N231" i="16"/>
  <c r="N239" i="16"/>
  <c r="N247" i="16"/>
  <c r="N255" i="16"/>
  <c r="N263" i="16"/>
  <c r="N271" i="16"/>
  <c r="N279" i="16"/>
  <c r="N287" i="16"/>
  <c r="N295" i="16"/>
  <c r="N303" i="16"/>
  <c r="N311" i="16"/>
  <c r="N319" i="16"/>
  <c r="N327" i="16"/>
  <c r="N335" i="16"/>
  <c r="N343" i="16"/>
  <c r="N351" i="16"/>
  <c r="N359" i="16"/>
  <c r="N367" i="16"/>
  <c r="N375" i="16"/>
  <c r="N383" i="16"/>
  <c r="N391" i="16"/>
  <c r="N399" i="16"/>
  <c r="N407" i="16"/>
  <c r="N415" i="16"/>
  <c r="N423" i="16"/>
  <c r="N431" i="16"/>
  <c r="N439" i="16"/>
  <c r="N447" i="16"/>
  <c r="N455" i="16"/>
  <c r="N463" i="16"/>
  <c r="N471" i="16"/>
  <c r="N479" i="16"/>
  <c r="N487" i="16"/>
  <c r="N495" i="16"/>
  <c r="N503" i="16"/>
  <c r="N511" i="16"/>
  <c r="N519" i="16"/>
  <c r="N527" i="16"/>
  <c r="N535" i="16"/>
  <c r="N543" i="16"/>
  <c r="N551" i="16"/>
  <c r="N559" i="16"/>
  <c r="N567" i="16"/>
  <c r="N575" i="16"/>
  <c r="N583" i="16"/>
  <c r="N591" i="16"/>
  <c r="N599" i="16"/>
  <c r="N607" i="16"/>
  <c r="N615" i="16"/>
  <c r="N623" i="16"/>
  <c r="N631" i="16"/>
  <c r="N639" i="16"/>
  <c r="N647" i="16"/>
  <c r="N655" i="16"/>
  <c r="N663" i="16"/>
  <c r="N671" i="16"/>
  <c r="N679" i="16"/>
  <c r="N687" i="16"/>
  <c r="N695" i="16"/>
  <c r="N703" i="16"/>
  <c r="N711" i="16"/>
  <c r="N719" i="16"/>
  <c r="N727" i="16"/>
  <c r="N735" i="16"/>
  <c r="N743" i="16"/>
  <c r="N751" i="16"/>
  <c r="N759" i="16"/>
  <c r="N767" i="16"/>
  <c r="N775" i="16"/>
  <c r="N783" i="16"/>
  <c r="N791" i="16"/>
  <c r="N799" i="16"/>
  <c r="N807" i="16"/>
  <c r="N815" i="16"/>
  <c r="N823" i="16"/>
  <c r="N831" i="16"/>
  <c r="N839" i="16"/>
  <c r="N847" i="16"/>
  <c r="N855" i="16"/>
  <c r="N863" i="16"/>
  <c r="N871" i="16"/>
  <c r="N879" i="16"/>
  <c r="N887" i="16"/>
  <c r="N895" i="16"/>
  <c r="N903" i="16"/>
  <c r="N911" i="16"/>
  <c r="N919" i="16"/>
  <c r="N927" i="16"/>
  <c r="N935" i="16"/>
  <c r="N943" i="16"/>
  <c r="N951" i="16"/>
  <c r="N959" i="16"/>
  <c r="N967" i="16"/>
  <c r="N975" i="16"/>
  <c r="N983" i="16"/>
  <c r="N991" i="16"/>
  <c r="N999" i="16"/>
  <c r="N1007" i="16"/>
  <c r="N1015" i="16"/>
  <c r="N1023" i="16"/>
  <c r="N1031" i="16"/>
  <c r="N1039" i="16"/>
  <c r="N1047" i="16"/>
  <c r="N1052" i="16"/>
  <c r="N1056" i="16"/>
  <c r="N1060" i="16"/>
  <c r="N1064" i="16"/>
  <c r="N1068" i="16"/>
  <c r="N1072" i="16"/>
  <c r="N1076" i="16"/>
  <c r="N1080" i="16"/>
  <c r="N1084" i="16"/>
  <c r="N1088" i="16"/>
  <c r="N1092" i="16"/>
  <c r="N1096" i="16"/>
  <c r="N1100" i="16"/>
  <c r="N1104" i="16"/>
  <c r="N1108" i="16"/>
  <c r="N1112" i="16"/>
  <c r="N1116" i="16"/>
  <c r="N1120" i="16"/>
  <c r="N1124" i="16"/>
  <c r="N1128" i="16"/>
  <c r="N1132" i="16"/>
  <c r="N1136" i="16"/>
  <c r="N1140" i="16"/>
  <c r="N1144" i="16"/>
  <c r="N1148" i="16"/>
  <c r="N1152" i="16"/>
  <c r="N1156" i="16"/>
  <c r="N1160" i="16"/>
  <c r="N1164" i="16"/>
  <c r="N1168" i="16"/>
  <c r="N1172" i="16"/>
  <c r="N1176" i="16"/>
  <c r="N1180" i="16"/>
  <c r="N1184" i="16"/>
  <c r="N1188" i="16"/>
  <c r="N1192" i="16"/>
  <c r="N1196" i="16"/>
  <c r="N1200" i="16"/>
  <c r="N1204" i="16"/>
  <c r="N1208" i="16"/>
  <c r="N1212" i="16"/>
  <c r="N1216" i="16"/>
  <c r="N1220" i="16"/>
  <c r="N1224" i="16"/>
  <c r="N1228" i="16"/>
  <c r="N1232" i="16"/>
  <c r="N1236" i="16"/>
  <c r="N1240" i="16"/>
  <c r="N1244" i="16"/>
  <c r="N1248" i="16"/>
  <c r="N1252" i="16"/>
  <c r="N1256" i="16"/>
  <c r="N1260" i="16"/>
  <c r="N1264" i="16"/>
  <c r="N1268" i="16"/>
  <c r="N1272" i="16"/>
  <c r="N1276" i="16"/>
  <c r="N1280" i="16"/>
  <c r="N1284" i="16"/>
  <c r="N1288" i="16"/>
  <c r="N1292" i="16"/>
  <c r="N1296" i="16"/>
  <c r="N1300" i="16"/>
  <c r="N1304" i="16"/>
  <c r="N1308" i="16"/>
  <c r="N1312" i="16"/>
  <c r="N1316" i="16"/>
  <c r="N1320" i="16"/>
  <c r="N1324" i="16"/>
  <c r="N1328" i="16"/>
  <c r="N1201" i="16"/>
  <c r="N1213" i="16"/>
  <c r="N1221" i="16"/>
  <c r="N1229" i="16"/>
  <c r="N1233" i="16"/>
  <c r="N1241" i="16"/>
  <c r="N1249" i="16"/>
  <c r="N1257" i="16"/>
  <c r="N1265" i="16"/>
  <c r="N1273" i="16"/>
  <c r="N1277" i="16"/>
  <c r="N1281" i="16"/>
  <c r="N9" i="16"/>
  <c r="N41" i="16"/>
  <c r="N89" i="16"/>
  <c r="N153" i="16"/>
  <c r="N189" i="16"/>
  <c r="N213" i="16"/>
  <c r="N229" i="16"/>
  <c r="N261" i="16"/>
  <c r="N277" i="16"/>
  <c r="N301" i="16"/>
  <c r="N325" i="16"/>
  <c r="N341" i="16"/>
  <c r="N365" i="16"/>
  <c r="N389" i="16"/>
  <c r="N421" i="16"/>
  <c r="N445" i="16"/>
  <c r="N461" i="16"/>
  <c r="N485" i="16"/>
  <c r="N509" i="16"/>
  <c r="N533" i="16"/>
  <c r="N557" i="16"/>
  <c r="N581" i="16"/>
  <c r="N605" i="16"/>
  <c r="N629" i="16"/>
  <c r="N653" i="16"/>
  <c r="N669" i="16"/>
  <c r="N685" i="16"/>
  <c r="N709" i="16"/>
  <c r="N733" i="16"/>
  <c r="N765" i="16"/>
  <c r="N781" i="16"/>
  <c r="N805" i="16"/>
  <c r="N829" i="16"/>
  <c r="N853" i="16"/>
  <c r="N885" i="16"/>
  <c r="N909" i="16"/>
  <c r="N933" i="16"/>
  <c r="N957" i="16"/>
  <c r="N981" i="16"/>
  <c r="N997" i="16"/>
  <c r="N1021" i="16"/>
  <c r="N1051" i="16"/>
  <c r="N1063" i="16"/>
  <c r="N1071" i="16"/>
  <c r="N1083" i="16"/>
  <c r="N1095" i="16"/>
  <c r="N1107" i="16"/>
  <c r="N1119" i="16"/>
  <c r="N1127" i="16"/>
  <c r="N1139" i="16"/>
  <c r="N1151" i="16"/>
  <c r="N1167" i="16"/>
  <c r="N1175" i="16"/>
  <c r="N1191" i="16"/>
  <c r="N1199" i="16"/>
  <c r="N1215" i="16"/>
  <c r="N1223" i="16"/>
  <c r="N1235" i="16"/>
  <c r="N1247" i="16"/>
  <c r="N1259" i="16"/>
  <c r="N1271" i="16"/>
  <c r="N1287" i="16"/>
  <c r="N1295" i="16"/>
  <c r="N1307" i="16"/>
  <c r="N1315" i="16"/>
  <c r="N1327" i="16"/>
  <c r="N17" i="16"/>
  <c r="N33" i="16"/>
  <c r="N49" i="16"/>
  <c r="N65" i="16"/>
  <c r="N81" i="16"/>
  <c r="N97" i="16"/>
  <c r="N113" i="16"/>
  <c r="N129" i="16"/>
  <c r="N145" i="16"/>
  <c r="N161" i="16"/>
  <c r="N177" i="16"/>
  <c r="N185" i="16"/>
  <c r="N193" i="16"/>
  <c r="N201" i="16"/>
  <c r="N209" i="16"/>
  <c r="N217" i="16"/>
  <c r="N225" i="16"/>
  <c r="N233" i="16"/>
  <c r="N241" i="16"/>
  <c r="N249" i="16"/>
  <c r="N257" i="16"/>
  <c r="N265" i="16"/>
  <c r="N273" i="16"/>
  <c r="N281" i="16"/>
  <c r="N289" i="16"/>
  <c r="N297" i="16"/>
  <c r="N305" i="16"/>
  <c r="N313" i="16"/>
  <c r="N321" i="16"/>
  <c r="N329" i="16"/>
  <c r="N337" i="16"/>
  <c r="N345" i="16"/>
  <c r="N353" i="16"/>
  <c r="N361" i="16"/>
  <c r="N369" i="16"/>
  <c r="N377" i="16"/>
  <c r="N385" i="16"/>
  <c r="N393" i="16"/>
  <c r="N401" i="16"/>
  <c r="N409" i="16"/>
  <c r="N417" i="16"/>
  <c r="N425" i="16"/>
  <c r="N433" i="16"/>
  <c r="N441" i="16"/>
  <c r="N449" i="16"/>
  <c r="N457" i="16"/>
  <c r="N465" i="16"/>
  <c r="N473" i="16"/>
  <c r="N481" i="16"/>
  <c r="N489" i="16"/>
  <c r="N497" i="16"/>
  <c r="N505" i="16"/>
  <c r="N513" i="16"/>
  <c r="N521" i="16"/>
  <c r="N529" i="16"/>
  <c r="N537" i="16"/>
  <c r="N545" i="16"/>
  <c r="N553" i="16"/>
  <c r="N561" i="16"/>
  <c r="N569" i="16"/>
  <c r="N577" i="16"/>
  <c r="N585" i="16"/>
  <c r="N593" i="16"/>
  <c r="N601" i="16"/>
  <c r="N609" i="16"/>
  <c r="N617" i="16"/>
  <c r="N625" i="16"/>
  <c r="N633" i="16"/>
  <c r="N641" i="16"/>
  <c r="N649" i="16"/>
  <c r="N657" i="16"/>
  <c r="N665" i="16"/>
  <c r="N673" i="16"/>
  <c r="N681" i="16"/>
  <c r="N689" i="16"/>
  <c r="N697" i="16"/>
  <c r="N705" i="16"/>
  <c r="N713" i="16"/>
  <c r="N721" i="16"/>
  <c r="N729" i="16"/>
  <c r="N737" i="16"/>
  <c r="N745" i="16"/>
  <c r="N753" i="16"/>
  <c r="N761" i="16"/>
  <c r="N769" i="16"/>
  <c r="N777" i="16"/>
  <c r="N785" i="16"/>
  <c r="N793" i="16"/>
  <c r="N801" i="16"/>
  <c r="N809" i="16"/>
  <c r="N817" i="16"/>
  <c r="N825" i="16"/>
  <c r="N833" i="16"/>
  <c r="N841" i="16"/>
  <c r="N849" i="16"/>
  <c r="N857" i="16"/>
  <c r="N865" i="16"/>
  <c r="N873" i="16"/>
  <c r="N881" i="16"/>
  <c r="N889" i="16"/>
  <c r="N897" i="16"/>
  <c r="N905" i="16"/>
  <c r="N913" i="16"/>
  <c r="N921" i="16"/>
  <c r="N929" i="16"/>
  <c r="N937" i="16"/>
  <c r="N945" i="16"/>
  <c r="N953" i="16"/>
  <c r="N961" i="16"/>
  <c r="N969" i="16"/>
  <c r="N977" i="16"/>
  <c r="N985" i="16"/>
  <c r="N993" i="16"/>
  <c r="N1001" i="16"/>
  <c r="N1009" i="16"/>
  <c r="N1017" i="16"/>
  <c r="N1025" i="16"/>
  <c r="N1033" i="16"/>
  <c r="N1041" i="16"/>
  <c r="N1049" i="16"/>
  <c r="N1053" i="16"/>
  <c r="N1057" i="16"/>
  <c r="N1061" i="16"/>
  <c r="N1065" i="16"/>
  <c r="N1069" i="16"/>
  <c r="N1073" i="16"/>
  <c r="N1077" i="16"/>
  <c r="N1081" i="16"/>
  <c r="N1085" i="16"/>
  <c r="N1089" i="16"/>
  <c r="N1093" i="16"/>
  <c r="N1097" i="16"/>
  <c r="N1101" i="16"/>
  <c r="N1105" i="16"/>
  <c r="N1109" i="16"/>
  <c r="N1113" i="16"/>
  <c r="N1117" i="16"/>
  <c r="N1121" i="16"/>
  <c r="N1125" i="16"/>
  <c r="N1129" i="16"/>
  <c r="N1133" i="16"/>
  <c r="N1137" i="16"/>
  <c r="N1141" i="16"/>
  <c r="N1145" i="16"/>
  <c r="N1149" i="16"/>
  <c r="N1153" i="16"/>
  <c r="N1157" i="16"/>
  <c r="N1161" i="16"/>
  <c r="N1165" i="16"/>
  <c r="N1169" i="16"/>
  <c r="N1173" i="16"/>
  <c r="N1177" i="16"/>
  <c r="N1181" i="16"/>
  <c r="N1185" i="16"/>
  <c r="N1189" i="16"/>
  <c r="N1193" i="16"/>
  <c r="N1197" i="16"/>
  <c r="N1205" i="16"/>
  <c r="N1209" i="16"/>
  <c r="N1217" i="16"/>
  <c r="N1225" i="16"/>
  <c r="N1237" i="16"/>
  <c r="N1245" i="16"/>
  <c r="N1253" i="16"/>
  <c r="N1261" i="16"/>
  <c r="N1269" i="16"/>
  <c r="N1285" i="16"/>
  <c r="N1289" i="16"/>
  <c r="N1293" i="16"/>
  <c r="N1297" i="16"/>
  <c r="N1301" i="16"/>
  <c r="N1305" i="16"/>
  <c r="N1309" i="16"/>
  <c r="N1313" i="16"/>
  <c r="N1317" i="16"/>
  <c r="N1321" i="16"/>
  <c r="N1325" i="16"/>
  <c r="N1329" i="16"/>
  <c r="N73" i="16"/>
  <c r="N121" i="16"/>
  <c r="N169" i="16"/>
  <c r="N197" i="16"/>
  <c r="N221" i="16"/>
  <c r="N245" i="16"/>
  <c r="N269" i="16"/>
  <c r="N293" i="16"/>
  <c r="N317" i="16"/>
  <c r="N349" i="16"/>
  <c r="N373" i="16"/>
  <c r="N405" i="16"/>
  <c r="N437" i="16"/>
  <c r="N469" i="16"/>
  <c r="N501" i="16"/>
  <c r="N525" i="16"/>
  <c r="N549" i="16"/>
  <c r="N573" i="16"/>
  <c r="N597" i="16"/>
  <c r="N621" i="16"/>
  <c r="N645" i="16"/>
  <c r="N677" i="16"/>
  <c r="N701" i="16"/>
  <c r="N725" i="16"/>
  <c r="N749" i="16"/>
  <c r="N773" i="16"/>
  <c r="N797" i="16"/>
  <c r="N821" i="16"/>
  <c r="N845" i="16"/>
  <c r="N869" i="16"/>
  <c r="N893" i="16"/>
  <c r="N917" i="16"/>
  <c r="N941" i="16"/>
  <c r="N965" i="16"/>
  <c r="N989" i="16"/>
  <c r="N1013" i="16"/>
  <c r="N1037" i="16"/>
  <c r="N1055" i="16"/>
  <c r="N1067" i="16"/>
  <c r="N1079" i="16"/>
  <c r="N1091" i="16"/>
  <c r="N1103" i="16"/>
  <c r="N1123" i="16"/>
  <c r="N1135" i="16"/>
  <c r="N1147" i="16"/>
  <c r="N1159" i="16"/>
  <c r="N1171" i="16"/>
  <c r="N1183" i="16"/>
  <c r="N1195" i="16"/>
  <c r="N1207" i="16"/>
  <c r="N1219" i="16"/>
  <c r="N1231" i="16"/>
  <c r="N1243" i="16"/>
  <c r="N1255" i="16"/>
  <c r="N1267" i="16"/>
  <c r="N1279" i="16"/>
  <c r="N1299" i="16"/>
  <c r="N1311" i="16"/>
  <c r="N1323" i="16"/>
  <c r="N5" i="16"/>
  <c r="N21" i="16"/>
  <c r="N37" i="16"/>
  <c r="N53" i="16"/>
  <c r="N69" i="16"/>
  <c r="N85" i="16"/>
  <c r="N101" i="16"/>
  <c r="N117" i="16"/>
  <c r="N133" i="16"/>
  <c r="N149" i="16"/>
  <c r="N165" i="16"/>
  <c r="N179" i="16"/>
  <c r="N187" i="16"/>
  <c r="N195" i="16"/>
  <c r="N203" i="16"/>
  <c r="N211" i="16"/>
  <c r="N219" i="16"/>
  <c r="N227" i="16"/>
  <c r="N235" i="16"/>
  <c r="N243" i="16"/>
  <c r="N251" i="16"/>
  <c r="N259" i="16"/>
  <c r="N267" i="16"/>
  <c r="N275" i="16"/>
  <c r="N283" i="16"/>
  <c r="N291" i="16"/>
  <c r="N299" i="16"/>
  <c r="N307" i="16"/>
  <c r="N315" i="16"/>
  <c r="N323" i="16"/>
  <c r="N331" i="16"/>
  <c r="N339" i="16"/>
  <c r="N347" i="16"/>
  <c r="N355" i="16"/>
  <c r="N363" i="16"/>
  <c r="N371" i="16"/>
  <c r="N379" i="16"/>
  <c r="N387" i="16"/>
  <c r="N395" i="16"/>
  <c r="N403" i="16"/>
  <c r="N411" i="16"/>
  <c r="N419" i="16"/>
  <c r="N427" i="16"/>
  <c r="N435" i="16"/>
  <c r="N443" i="16"/>
  <c r="N451" i="16"/>
  <c r="N459" i="16"/>
  <c r="N467" i="16"/>
  <c r="N475" i="16"/>
  <c r="N483" i="16"/>
  <c r="N491" i="16"/>
  <c r="N499" i="16"/>
  <c r="N507" i="16"/>
  <c r="N515" i="16"/>
  <c r="N523" i="16"/>
  <c r="N531" i="16"/>
  <c r="N539" i="16"/>
  <c r="N547" i="16"/>
  <c r="N555" i="16"/>
  <c r="N563" i="16"/>
  <c r="N571" i="16"/>
  <c r="N579" i="16"/>
  <c r="N587" i="16"/>
  <c r="N595" i="16"/>
  <c r="N603" i="16"/>
  <c r="N611" i="16"/>
  <c r="N619" i="16"/>
  <c r="N627" i="16"/>
  <c r="N635" i="16"/>
  <c r="N643" i="16"/>
  <c r="N651" i="16"/>
  <c r="N659" i="16"/>
  <c r="N667" i="16"/>
  <c r="N675" i="16"/>
  <c r="N683" i="16"/>
  <c r="N691" i="16"/>
  <c r="N699" i="16"/>
  <c r="N707" i="16"/>
  <c r="N715" i="16"/>
  <c r="N723" i="16"/>
  <c r="N731" i="16"/>
  <c r="N739" i="16"/>
  <c r="N747" i="16"/>
  <c r="N755" i="16"/>
  <c r="N763" i="16"/>
  <c r="N771" i="16"/>
  <c r="N779" i="16"/>
  <c r="N787" i="16"/>
  <c r="N795" i="16"/>
  <c r="N803" i="16"/>
  <c r="N811" i="16"/>
  <c r="N819" i="16"/>
  <c r="N827" i="16"/>
  <c r="N835" i="16"/>
  <c r="N843" i="16"/>
  <c r="N851" i="16"/>
  <c r="N859" i="16"/>
  <c r="N867" i="16"/>
  <c r="N875" i="16"/>
  <c r="N883" i="16"/>
  <c r="N891" i="16"/>
  <c r="N899" i="16"/>
  <c r="N907" i="16"/>
  <c r="N915" i="16"/>
  <c r="N923" i="16"/>
  <c r="N931" i="16"/>
  <c r="N939" i="16"/>
  <c r="N947" i="16"/>
  <c r="N955" i="16"/>
  <c r="N963" i="16"/>
  <c r="N971" i="16"/>
  <c r="N979" i="16"/>
  <c r="N987" i="16"/>
  <c r="N995" i="16"/>
  <c r="N1003" i="16"/>
  <c r="N1011" i="16"/>
  <c r="N1019" i="16"/>
  <c r="N1027" i="16"/>
  <c r="N1035" i="16"/>
  <c r="N1043" i="16"/>
  <c r="N1050" i="16"/>
  <c r="N1054" i="16"/>
  <c r="N1058" i="16"/>
  <c r="N1062" i="16"/>
  <c r="N1066" i="16"/>
  <c r="N1070" i="16"/>
  <c r="N1074" i="16"/>
  <c r="N1078" i="16"/>
  <c r="N1082" i="16"/>
  <c r="N1086" i="16"/>
  <c r="N1090" i="16"/>
  <c r="N1094" i="16"/>
  <c r="N1098" i="16"/>
  <c r="N1102" i="16"/>
  <c r="N1106" i="16"/>
  <c r="N1110" i="16"/>
  <c r="N1114" i="16"/>
  <c r="N1118" i="16"/>
  <c r="N1122" i="16"/>
  <c r="N1126" i="16"/>
  <c r="N1130" i="16"/>
  <c r="N1134" i="16"/>
  <c r="N1138" i="16"/>
  <c r="N1142" i="16"/>
  <c r="N1146" i="16"/>
  <c r="N1150" i="16"/>
  <c r="N1154" i="16"/>
  <c r="N1158" i="16"/>
  <c r="N1162" i="16"/>
  <c r="N1166" i="16"/>
  <c r="N1170" i="16"/>
  <c r="N1174" i="16"/>
  <c r="N1178" i="16"/>
  <c r="N1182" i="16"/>
  <c r="N1186" i="16"/>
  <c r="N1190" i="16"/>
  <c r="N1194" i="16"/>
  <c r="N1198" i="16"/>
  <c r="N1202" i="16"/>
  <c r="N1206" i="16"/>
  <c r="N1210" i="16"/>
  <c r="N1214" i="16"/>
  <c r="N1218" i="16"/>
  <c r="N1222" i="16"/>
  <c r="N1226" i="16"/>
  <c r="N1230" i="16"/>
  <c r="N1234" i="16"/>
  <c r="N1238" i="16"/>
  <c r="N1242" i="16"/>
  <c r="N1246" i="16"/>
  <c r="N1250" i="16"/>
  <c r="N1254" i="16"/>
  <c r="N1258" i="16"/>
  <c r="N1262" i="16"/>
  <c r="N1266" i="16"/>
  <c r="N1270" i="16"/>
  <c r="N1274" i="16"/>
  <c r="N1278" i="16"/>
  <c r="N1282" i="16"/>
  <c r="N1286" i="16"/>
  <c r="N1290" i="16"/>
  <c r="N1294" i="16"/>
  <c r="N1298" i="16"/>
  <c r="N1302" i="16"/>
  <c r="N1306" i="16"/>
  <c r="N1310" i="16"/>
  <c r="N1314" i="16"/>
  <c r="N1318" i="16"/>
  <c r="N1322" i="16"/>
  <c r="N1326" i="16"/>
  <c r="N1330" i="16"/>
  <c r="N25" i="16"/>
  <c r="N57" i="16"/>
  <c r="N105" i="16"/>
  <c r="N137" i="16"/>
  <c r="N181" i="16"/>
  <c r="N205" i="16"/>
  <c r="N237" i="16"/>
  <c r="N253" i="16"/>
  <c r="N285" i="16"/>
  <c r="N309" i="16"/>
  <c r="N333" i="16"/>
  <c r="N357" i="16"/>
  <c r="N381" i="16"/>
  <c r="N397" i="16"/>
  <c r="N413" i="16"/>
  <c r="N429" i="16"/>
  <c r="N453" i="16"/>
  <c r="N477" i="16"/>
  <c r="N493" i="16"/>
  <c r="N517" i="16"/>
  <c r="N541" i="16"/>
  <c r="N565" i="16"/>
  <c r="N589" i="16"/>
  <c r="N613" i="16"/>
  <c r="N637" i="16"/>
  <c r="N661" i="16"/>
  <c r="N693" i="16"/>
  <c r="N717" i="16"/>
  <c r="N741" i="16"/>
  <c r="N757" i="16"/>
  <c r="N789" i="16"/>
  <c r="N813" i="16"/>
  <c r="N837" i="16"/>
  <c r="N861" i="16"/>
  <c r="N877" i="16"/>
  <c r="N901" i="16"/>
  <c r="N925" i="16"/>
  <c r="N949" i="16"/>
  <c r="N973" i="16"/>
  <c r="N1005" i="16"/>
  <c r="N1029" i="16"/>
  <c r="N1045" i="16"/>
  <c r="N1059" i="16"/>
  <c r="N1075" i="16"/>
  <c r="N1087" i="16"/>
  <c r="N1099" i="16"/>
  <c r="N1111" i="16"/>
  <c r="N1115" i="16"/>
  <c r="N1131" i="16"/>
  <c r="N1143" i="16"/>
  <c r="N1155" i="16"/>
  <c r="N1163" i="16"/>
  <c r="N1179" i="16"/>
  <c r="N1187" i="16"/>
  <c r="N1203" i="16"/>
  <c r="N1211" i="16"/>
  <c r="N1227" i="16"/>
  <c r="N1239" i="16"/>
  <c r="N1251" i="16"/>
  <c r="N1263" i="16"/>
  <c r="N1275" i="16"/>
  <c r="N1283" i="16"/>
  <c r="N1291" i="16"/>
  <c r="N1303" i="16"/>
  <c r="N1319" i="16"/>
  <c r="N1331" i="16"/>
  <c r="S3" i="16"/>
  <c r="S7" i="16"/>
  <c r="S11" i="16"/>
  <c r="S15" i="16"/>
  <c r="S19" i="16"/>
  <c r="S23" i="16"/>
  <c r="S27" i="16"/>
  <c r="S31" i="16"/>
  <c r="S35" i="16"/>
  <c r="S39" i="16"/>
  <c r="S43" i="16"/>
  <c r="S47" i="16"/>
  <c r="S51" i="16"/>
  <c r="S55" i="16"/>
  <c r="S59" i="16"/>
  <c r="S63" i="16"/>
  <c r="S67" i="16"/>
  <c r="S71" i="16"/>
  <c r="S75" i="16"/>
  <c r="S79" i="16"/>
  <c r="S83" i="16"/>
  <c r="S87" i="16"/>
  <c r="S91" i="16"/>
  <c r="S95" i="16"/>
  <c r="S5" i="16"/>
  <c r="S9" i="16"/>
  <c r="S13" i="16"/>
  <c r="S17" i="16"/>
  <c r="S21" i="16"/>
  <c r="S25" i="16"/>
  <c r="S29" i="16"/>
  <c r="S33" i="16"/>
  <c r="S37" i="16"/>
  <c r="S41" i="16"/>
  <c r="S45" i="16"/>
  <c r="S49" i="16"/>
  <c r="S53" i="16"/>
  <c r="S57" i="16"/>
  <c r="S61" i="16"/>
  <c r="S65" i="16"/>
  <c r="S69" i="16"/>
  <c r="S73" i="16"/>
  <c r="S77" i="16"/>
  <c r="S81" i="16"/>
  <c r="S85" i="16"/>
  <c r="S89" i="16"/>
  <c r="S93" i="16"/>
  <c r="S97" i="16"/>
  <c r="S2" i="16"/>
  <c r="S10" i="16"/>
  <c r="S18" i="16"/>
  <c r="S26" i="16"/>
  <c r="S34" i="16"/>
  <c r="S42" i="16"/>
  <c r="S50" i="16"/>
  <c r="S58" i="16"/>
  <c r="S66" i="16"/>
  <c r="S74" i="16"/>
  <c r="S82" i="16"/>
  <c r="S90" i="16"/>
  <c r="S98" i="16"/>
  <c r="S102" i="16"/>
  <c r="S106" i="16"/>
  <c r="S110" i="16"/>
  <c r="S114" i="16"/>
  <c r="S118" i="16"/>
  <c r="S122" i="16"/>
  <c r="S126" i="16"/>
  <c r="S130" i="16"/>
  <c r="S134" i="16"/>
  <c r="S138" i="16"/>
  <c r="S142" i="16"/>
  <c r="S146" i="16"/>
  <c r="S150" i="16"/>
  <c r="S154" i="16"/>
  <c r="S158" i="16"/>
  <c r="S162" i="16"/>
  <c r="S166" i="16"/>
  <c r="S170" i="16"/>
  <c r="S174" i="16"/>
  <c r="S178" i="16"/>
  <c r="S182" i="16"/>
  <c r="S186" i="16"/>
  <c r="S190" i="16"/>
  <c r="S194" i="16"/>
  <c r="S198" i="16"/>
  <c r="S202" i="16"/>
  <c r="S206" i="16"/>
  <c r="S210" i="16"/>
  <c r="S214" i="16"/>
  <c r="S218" i="16"/>
  <c r="S222" i="16"/>
  <c r="S226" i="16"/>
  <c r="S230" i="16"/>
  <c r="S234" i="16"/>
  <c r="S238" i="16"/>
  <c r="S242" i="16"/>
  <c r="S246" i="16"/>
  <c r="S250" i="16"/>
  <c r="S254" i="16"/>
  <c r="S258" i="16"/>
  <c r="S262" i="16"/>
  <c r="S266" i="16"/>
  <c r="S270" i="16"/>
  <c r="S274" i="16"/>
  <c r="S278" i="16"/>
  <c r="S282" i="16"/>
  <c r="S286" i="16"/>
  <c r="S290" i="16"/>
  <c r="S294" i="16"/>
  <c r="S298" i="16"/>
  <c r="S302" i="16"/>
  <c r="S306" i="16"/>
  <c r="S310" i="16"/>
  <c r="S314" i="16"/>
  <c r="S318" i="16"/>
  <c r="S322" i="16"/>
  <c r="S326" i="16"/>
  <c r="S330" i="16"/>
  <c r="S334" i="16"/>
  <c r="S338" i="16"/>
  <c r="S342" i="16"/>
  <c r="S346" i="16"/>
  <c r="S350" i="16"/>
  <c r="S354" i="16"/>
  <c r="S358" i="16"/>
  <c r="S362" i="16"/>
  <c r="S366" i="16"/>
  <c r="S370" i="16"/>
  <c r="S374" i="16"/>
  <c r="S378" i="16"/>
  <c r="S382" i="16"/>
  <c r="S386" i="16"/>
  <c r="S390" i="16"/>
  <c r="S394" i="16"/>
  <c r="S398" i="16"/>
  <c r="S402" i="16"/>
  <c r="S406" i="16"/>
  <c r="S410" i="16"/>
  <c r="S414" i="16"/>
  <c r="S418" i="16"/>
  <c r="S422" i="16"/>
  <c r="S426" i="16"/>
  <c r="S430" i="16"/>
  <c r="S434" i="16"/>
  <c r="S438" i="16"/>
  <c r="S442" i="16"/>
  <c r="S446" i="16"/>
  <c r="S450" i="16"/>
  <c r="S454" i="16"/>
  <c r="S458" i="16"/>
  <c r="S462" i="16"/>
  <c r="S466" i="16"/>
  <c r="S470" i="16"/>
  <c r="S474" i="16"/>
  <c r="S478" i="16"/>
  <c r="S482" i="16"/>
  <c r="S486" i="16"/>
  <c r="S490" i="16"/>
  <c r="S494" i="16"/>
  <c r="S498" i="16"/>
  <c r="S502" i="16"/>
  <c r="S506" i="16"/>
  <c r="S510" i="16"/>
  <c r="S514" i="16"/>
  <c r="S518" i="16"/>
  <c r="S522" i="16"/>
  <c r="S526" i="16"/>
  <c r="S530" i="16"/>
  <c r="S534" i="16"/>
  <c r="S538" i="16"/>
  <c r="S542" i="16"/>
  <c r="S546" i="16"/>
  <c r="S550" i="16"/>
  <c r="S554" i="16"/>
  <c r="S558" i="16"/>
  <c r="S562" i="16"/>
  <c r="S566" i="16"/>
  <c r="S570" i="16"/>
  <c r="S574" i="16"/>
  <c r="S578" i="16"/>
  <c r="S582" i="16"/>
  <c r="S586" i="16"/>
  <c r="S590" i="16"/>
  <c r="S594" i="16"/>
  <c r="S598" i="16"/>
  <c r="S602" i="16"/>
  <c r="S606" i="16"/>
  <c r="S610" i="16"/>
  <c r="S614" i="16"/>
  <c r="S618" i="16"/>
  <c r="S622" i="16"/>
  <c r="S626" i="16"/>
  <c r="S630" i="16"/>
  <c r="S634" i="16"/>
  <c r="S638" i="16"/>
  <c r="S642" i="16"/>
  <c r="S646" i="16"/>
  <c r="S650" i="16"/>
  <c r="S654" i="16"/>
  <c r="S658" i="16"/>
  <c r="S662" i="16"/>
  <c r="S666" i="16"/>
  <c r="S670" i="16"/>
  <c r="S674" i="16"/>
  <c r="S678" i="16"/>
  <c r="S682" i="16"/>
  <c r="S686" i="16"/>
  <c r="S690" i="16"/>
  <c r="S694" i="16"/>
  <c r="S698" i="16"/>
  <c r="S702" i="16"/>
  <c r="S706" i="16"/>
  <c r="S710" i="16"/>
  <c r="S714" i="16"/>
  <c r="S718" i="16"/>
  <c r="S722" i="16"/>
  <c r="S726" i="16"/>
  <c r="S730" i="16"/>
  <c r="S734" i="16"/>
  <c r="S738" i="16"/>
  <c r="S742" i="16"/>
  <c r="S746" i="16"/>
  <c r="S750" i="16"/>
  <c r="S754" i="16"/>
  <c r="S758" i="16"/>
  <c r="S762" i="16"/>
  <c r="S766" i="16"/>
  <c r="S770" i="16"/>
  <c r="S774" i="16"/>
  <c r="S778" i="16"/>
  <c r="S782" i="16"/>
  <c r="S786" i="16"/>
  <c r="S790" i="16"/>
  <c r="S794" i="16"/>
  <c r="S798" i="16"/>
  <c r="S802" i="16"/>
  <c r="S806" i="16"/>
  <c r="S810" i="16"/>
  <c r="S814" i="16"/>
  <c r="S818" i="16"/>
  <c r="S822" i="16"/>
  <c r="S826" i="16"/>
  <c r="S830" i="16"/>
  <c r="S834" i="16"/>
  <c r="S838" i="16"/>
  <c r="S842" i="16"/>
  <c r="S846" i="16"/>
  <c r="S850" i="16"/>
  <c r="S854" i="16"/>
  <c r="S858" i="16"/>
  <c r="S862" i="16"/>
  <c r="S866" i="16"/>
  <c r="S870" i="16"/>
  <c r="S874" i="16"/>
  <c r="S878" i="16"/>
  <c r="S882" i="16"/>
  <c r="S886" i="16"/>
  <c r="S890" i="16"/>
  <c r="S894" i="16"/>
  <c r="S898" i="16"/>
  <c r="S902" i="16"/>
  <c r="S906" i="16"/>
  <c r="S910" i="16"/>
  <c r="S914" i="16"/>
  <c r="S918" i="16"/>
  <c r="S922" i="16"/>
  <c r="S926" i="16"/>
  <c r="S930" i="16"/>
  <c r="S934" i="16"/>
  <c r="S938" i="16"/>
  <c r="S942" i="16"/>
  <c r="S946" i="16"/>
  <c r="S950" i="16"/>
  <c r="S954" i="16"/>
  <c r="S958" i="16"/>
  <c r="S962" i="16"/>
  <c r="S966" i="16"/>
  <c r="S970" i="16"/>
  <c r="S974" i="16"/>
  <c r="S978" i="16"/>
  <c r="S982" i="16"/>
  <c r="S986" i="16"/>
  <c r="S990" i="16"/>
  <c r="S994" i="16"/>
  <c r="S998" i="16"/>
  <c r="S1002" i="16"/>
  <c r="S1006" i="16"/>
  <c r="S1010" i="16"/>
  <c r="S1014" i="16"/>
  <c r="S1018" i="16"/>
  <c r="S1022" i="16"/>
  <c r="S1026" i="16"/>
  <c r="S1030" i="16"/>
  <c r="S1034" i="16"/>
  <c r="S1038" i="16"/>
  <c r="S1042" i="16"/>
  <c r="S1046" i="16"/>
  <c r="S1050" i="16"/>
  <c r="S1054" i="16"/>
  <c r="S1058" i="16"/>
  <c r="S1062" i="16"/>
  <c r="S1066" i="16"/>
  <c r="S1070" i="16"/>
  <c r="S1074" i="16"/>
  <c r="S1078" i="16"/>
  <c r="S1082" i="16"/>
  <c r="S1086" i="16"/>
  <c r="S1090" i="16"/>
  <c r="S1094" i="16"/>
  <c r="S1098" i="16"/>
  <c r="S1102" i="16"/>
  <c r="S1106" i="16"/>
  <c r="S1110" i="16"/>
  <c r="S1114" i="16"/>
  <c r="S4" i="16"/>
  <c r="S12" i="16"/>
  <c r="S20" i="16"/>
  <c r="S28" i="16"/>
  <c r="S36" i="16"/>
  <c r="S44" i="16"/>
  <c r="S52" i="16"/>
  <c r="S60" i="16"/>
  <c r="S68" i="16"/>
  <c r="S76" i="16"/>
  <c r="S84" i="16"/>
  <c r="S92" i="16"/>
  <c r="S99" i="16"/>
  <c r="S103" i="16"/>
  <c r="S107" i="16"/>
  <c r="S111" i="16"/>
  <c r="S115" i="16"/>
  <c r="S119" i="16"/>
  <c r="S123" i="16"/>
  <c r="S127" i="16"/>
  <c r="S131" i="16"/>
  <c r="S135" i="16"/>
  <c r="S139" i="16"/>
  <c r="S143" i="16"/>
  <c r="S147" i="16"/>
  <c r="S151" i="16"/>
  <c r="S155" i="16"/>
  <c r="S159" i="16"/>
  <c r="S163" i="16"/>
  <c r="S167" i="16"/>
  <c r="S171" i="16"/>
  <c r="S175" i="16"/>
  <c r="S179" i="16"/>
  <c r="S183" i="16"/>
  <c r="S187" i="16"/>
  <c r="S191" i="16"/>
  <c r="S195" i="16"/>
  <c r="S199" i="16"/>
  <c r="S203" i="16"/>
  <c r="S207" i="16"/>
  <c r="S211" i="16"/>
  <c r="S215" i="16"/>
  <c r="S219" i="16"/>
  <c r="S223" i="16"/>
  <c r="S227" i="16"/>
  <c r="S231" i="16"/>
  <c r="S235" i="16"/>
  <c r="S239" i="16"/>
  <c r="S243" i="16"/>
  <c r="S247" i="16"/>
  <c r="S251" i="16"/>
  <c r="S255" i="16"/>
  <c r="S259" i="16"/>
  <c r="S263" i="16"/>
  <c r="S267" i="16"/>
  <c r="S271" i="16"/>
  <c r="S275" i="16"/>
  <c r="S279" i="16"/>
  <c r="S283" i="16"/>
  <c r="S287" i="16"/>
  <c r="S291" i="16"/>
  <c r="S295" i="16"/>
  <c r="S299" i="16"/>
  <c r="S303" i="16"/>
  <c r="S307" i="16"/>
  <c r="S311" i="16"/>
  <c r="S315" i="16"/>
  <c r="S319" i="16"/>
  <c r="S323" i="16"/>
  <c r="S327" i="16"/>
  <c r="S331" i="16"/>
  <c r="S335" i="16"/>
  <c r="S339" i="16"/>
  <c r="S343" i="16"/>
  <c r="S347" i="16"/>
  <c r="S351" i="16"/>
  <c r="S355" i="16"/>
  <c r="S359" i="16"/>
  <c r="S363" i="16"/>
  <c r="S367" i="16"/>
  <c r="S371" i="16"/>
  <c r="S375" i="16"/>
  <c r="S379" i="16"/>
  <c r="S383" i="16"/>
  <c r="S387" i="16"/>
  <c r="S391" i="16"/>
  <c r="S395" i="16"/>
  <c r="S399" i="16"/>
  <c r="S403" i="16"/>
  <c r="S407" i="16"/>
  <c r="S411" i="16"/>
  <c r="S6" i="16"/>
  <c r="S14" i="16"/>
  <c r="S22" i="16"/>
  <c r="S30" i="16"/>
  <c r="S38" i="16"/>
  <c r="S46" i="16"/>
  <c r="S54" i="16"/>
  <c r="S62" i="16"/>
  <c r="S70" i="16"/>
  <c r="S78" i="16"/>
  <c r="S86" i="16"/>
  <c r="S94" i="16"/>
  <c r="S100" i="16"/>
  <c r="S104" i="16"/>
  <c r="S108" i="16"/>
  <c r="S112" i="16"/>
  <c r="S116" i="16"/>
  <c r="S120" i="16"/>
  <c r="S124" i="16"/>
  <c r="S128" i="16"/>
  <c r="S132" i="16"/>
  <c r="S136" i="16"/>
  <c r="S140" i="16"/>
  <c r="S144" i="16"/>
  <c r="S148" i="16"/>
  <c r="S152" i="16"/>
  <c r="S156" i="16"/>
  <c r="S160" i="16"/>
  <c r="S164" i="16"/>
  <c r="S168" i="16"/>
  <c r="S172" i="16"/>
  <c r="S176" i="16"/>
  <c r="S180" i="16"/>
  <c r="S184" i="16"/>
  <c r="S188" i="16"/>
  <c r="S192" i="16"/>
  <c r="S196" i="16"/>
  <c r="S200" i="16"/>
  <c r="S204" i="16"/>
  <c r="S208" i="16"/>
  <c r="S212" i="16"/>
  <c r="S216" i="16"/>
  <c r="S220" i="16"/>
  <c r="S224" i="16"/>
  <c r="S228" i="16"/>
  <c r="S232" i="16"/>
  <c r="S236" i="16"/>
  <c r="S240" i="16"/>
  <c r="S244" i="16"/>
  <c r="S248" i="16"/>
  <c r="S252" i="16"/>
  <c r="S256" i="16"/>
  <c r="S260" i="16"/>
  <c r="S264" i="16"/>
  <c r="S268" i="16"/>
  <c r="S272" i="16"/>
  <c r="S276" i="16"/>
  <c r="S280" i="16"/>
  <c r="S284" i="16"/>
  <c r="S288" i="16"/>
  <c r="S292" i="16"/>
  <c r="S296" i="16"/>
  <c r="S300" i="16"/>
  <c r="S304" i="16"/>
  <c r="S308" i="16"/>
  <c r="S312" i="16"/>
  <c r="S316" i="16"/>
  <c r="S320" i="16"/>
  <c r="S324" i="16"/>
  <c r="S328" i="16"/>
  <c r="S332" i="16"/>
  <c r="S336" i="16"/>
  <c r="S340" i="16"/>
  <c r="S344" i="16"/>
  <c r="S348" i="16"/>
  <c r="S352" i="16"/>
  <c r="S356" i="16"/>
  <c r="S360" i="16"/>
  <c r="S364" i="16"/>
  <c r="S368" i="16"/>
  <c r="S372" i="16"/>
  <c r="S376" i="16"/>
  <c r="S380" i="16"/>
  <c r="S384" i="16"/>
  <c r="S388" i="16"/>
  <c r="S392" i="16"/>
  <c r="S396" i="16"/>
  <c r="S400" i="16"/>
  <c r="S404" i="16"/>
  <c r="S408" i="16"/>
  <c r="S412" i="16"/>
  <c r="S416" i="16"/>
  <c r="S420" i="16"/>
  <c r="S424" i="16"/>
  <c r="S428" i="16"/>
  <c r="S432" i="16"/>
  <c r="S436" i="16"/>
  <c r="S440" i="16"/>
  <c r="S444" i="16"/>
  <c r="S448" i="16"/>
  <c r="S452" i="16"/>
  <c r="S456" i="16"/>
  <c r="S460" i="16"/>
  <c r="S464" i="16"/>
  <c r="S468" i="16"/>
  <c r="S472" i="16"/>
  <c r="S476" i="16"/>
  <c r="S480" i="16"/>
  <c r="S484" i="16"/>
  <c r="S488" i="16"/>
  <c r="S492" i="16"/>
  <c r="S496" i="16"/>
  <c r="S500" i="16"/>
  <c r="S504" i="16"/>
  <c r="S508" i="16"/>
  <c r="S512" i="16"/>
  <c r="S516" i="16"/>
  <c r="S520" i="16"/>
  <c r="S524" i="16"/>
  <c r="S528" i="16"/>
  <c r="S532" i="16"/>
  <c r="S536" i="16"/>
  <c r="S540" i="16"/>
  <c r="S544" i="16"/>
  <c r="S548" i="16"/>
  <c r="S552" i="16"/>
  <c r="S556" i="16"/>
  <c r="S560" i="16"/>
  <c r="S564" i="16"/>
  <c r="S568" i="16"/>
  <c r="S572" i="16"/>
  <c r="S576" i="16"/>
  <c r="S580" i="16"/>
  <c r="S584" i="16"/>
  <c r="S588" i="16"/>
  <c r="S592" i="16"/>
  <c r="S596" i="16"/>
  <c r="S600" i="16"/>
  <c r="S604" i="16"/>
  <c r="S608" i="16"/>
  <c r="S612" i="16"/>
  <c r="S616" i="16"/>
  <c r="S620" i="16"/>
  <c r="S624" i="16"/>
  <c r="S628" i="16"/>
  <c r="S632" i="16"/>
  <c r="S636" i="16"/>
  <c r="S640" i="16"/>
  <c r="S644" i="16"/>
  <c r="S648" i="16"/>
  <c r="S652" i="16"/>
  <c r="S656" i="16"/>
  <c r="S660" i="16"/>
  <c r="S664" i="16"/>
  <c r="S668" i="16"/>
  <c r="S672" i="16"/>
  <c r="S676" i="16"/>
  <c r="S680" i="16"/>
  <c r="S684" i="16"/>
  <c r="S688" i="16"/>
  <c r="S692" i="16"/>
  <c r="S696" i="16"/>
  <c r="S700" i="16"/>
  <c r="S704" i="16"/>
  <c r="S708" i="16"/>
  <c r="S712" i="16"/>
  <c r="S716" i="16"/>
  <c r="S720" i="16"/>
  <c r="S724" i="16"/>
  <c r="S728" i="16"/>
  <c r="S732" i="16"/>
  <c r="S736" i="16"/>
  <c r="S740" i="16"/>
  <c r="S744" i="16"/>
  <c r="S748" i="16"/>
  <c r="S752" i="16"/>
  <c r="S756" i="16"/>
  <c r="S760" i="16"/>
  <c r="S764" i="16"/>
  <c r="S768" i="16"/>
  <c r="S772" i="16"/>
  <c r="S776" i="16"/>
  <c r="S780" i="16"/>
  <c r="S784" i="16"/>
  <c r="S788" i="16"/>
  <c r="S792" i="16"/>
  <c r="S796" i="16"/>
  <c r="S800" i="16"/>
  <c r="S804" i="16"/>
  <c r="S808" i="16"/>
  <c r="S812" i="16"/>
  <c r="S816" i="16"/>
  <c r="S820" i="16"/>
  <c r="S824" i="16"/>
  <c r="S828" i="16"/>
  <c r="S832" i="16"/>
  <c r="S836" i="16"/>
  <c r="S840" i="16"/>
  <c r="S844" i="16"/>
  <c r="S848" i="16"/>
  <c r="S852" i="16"/>
  <c r="S856" i="16"/>
  <c r="S860" i="16"/>
  <c r="S864" i="16"/>
  <c r="S868" i="16"/>
  <c r="S872" i="16"/>
  <c r="S876" i="16"/>
  <c r="S880" i="16"/>
  <c r="S884" i="16"/>
  <c r="S888" i="16"/>
  <c r="S892" i="16"/>
  <c r="S896" i="16"/>
  <c r="S900" i="16"/>
  <c r="S904" i="16"/>
  <c r="S908" i="16"/>
  <c r="S912" i="16"/>
  <c r="S916" i="16"/>
  <c r="S920" i="16"/>
  <c r="S924" i="16"/>
  <c r="S928" i="16"/>
  <c r="S932" i="16"/>
  <c r="S936" i="16"/>
  <c r="S940" i="16"/>
  <c r="S944" i="16"/>
  <c r="S948" i="16"/>
  <c r="S952" i="16"/>
  <c r="S956" i="16"/>
  <c r="S960" i="16"/>
  <c r="S964" i="16"/>
  <c r="S968" i="16"/>
  <c r="S972" i="16"/>
  <c r="S976" i="16"/>
  <c r="S980" i="16"/>
  <c r="S984" i="16"/>
  <c r="S988" i="16"/>
  <c r="S992" i="16"/>
  <c r="S996" i="16"/>
  <c r="S1000" i="16"/>
  <c r="S1004" i="16"/>
  <c r="S1008" i="16"/>
  <c r="S1012" i="16"/>
  <c r="S1016" i="16"/>
  <c r="S1020" i="16"/>
  <c r="S1024" i="16"/>
  <c r="S1028" i="16"/>
  <c r="S1032" i="16"/>
  <c r="S1036" i="16"/>
  <c r="S1040" i="16"/>
  <c r="S1044" i="16"/>
  <c r="S1048" i="16"/>
  <c r="S1052" i="16"/>
  <c r="S1056" i="16"/>
  <c r="S1060" i="16"/>
  <c r="S1064" i="16"/>
  <c r="S1068" i="16"/>
  <c r="S1072" i="16"/>
  <c r="S1076" i="16"/>
  <c r="S1080" i="16"/>
  <c r="S1084" i="16"/>
  <c r="S1088" i="16"/>
  <c r="S1092" i="16"/>
  <c r="S1096" i="16"/>
  <c r="S1100" i="16"/>
  <c r="S1104" i="16"/>
  <c r="S1108" i="16"/>
  <c r="S1112" i="16"/>
  <c r="S16" i="16"/>
  <c r="S48" i="16"/>
  <c r="S80" i="16"/>
  <c r="S105" i="16"/>
  <c r="S121" i="16"/>
  <c r="S137" i="16"/>
  <c r="S153" i="16"/>
  <c r="S169" i="16"/>
  <c r="S185" i="16"/>
  <c r="S201" i="16"/>
  <c r="S217" i="16"/>
  <c r="S233" i="16"/>
  <c r="S249" i="16"/>
  <c r="S265" i="16"/>
  <c r="S281" i="16"/>
  <c r="S297" i="16"/>
  <c r="S313" i="16"/>
  <c r="S329" i="16"/>
  <c r="S345" i="16"/>
  <c r="S361" i="16"/>
  <c r="S377" i="16"/>
  <c r="S393" i="16"/>
  <c r="S409" i="16"/>
  <c r="S419" i="16"/>
  <c r="S427" i="16"/>
  <c r="S435" i="16"/>
  <c r="S443" i="16"/>
  <c r="S451" i="16"/>
  <c r="S459" i="16"/>
  <c r="S467" i="16"/>
  <c r="S475" i="16"/>
  <c r="S483" i="16"/>
  <c r="S491" i="16"/>
  <c r="S499" i="16"/>
  <c r="S507" i="16"/>
  <c r="S515" i="16"/>
  <c r="S523" i="16"/>
  <c r="S531" i="16"/>
  <c r="S539" i="16"/>
  <c r="S547" i="16"/>
  <c r="S555" i="16"/>
  <c r="S563" i="16"/>
  <c r="S571" i="16"/>
  <c r="S579" i="16"/>
  <c r="S587" i="16"/>
  <c r="S595" i="16"/>
  <c r="S603" i="16"/>
  <c r="S611" i="16"/>
  <c r="S619" i="16"/>
  <c r="S627" i="16"/>
  <c r="S635" i="16"/>
  <c r="S643" i="16"/>
  <c r="S651" i="16"/>
  <c r="S659" i="16"/>
  <c r="S667" i="16"/>
  <c r="S675" i="16"/>
  <c r="S683" i="16"/>
  <c r="S691" i="16"/>
  <c r="S699" i="16"/>
  <c r="S707" i="16"/>
  <c r="S715" i="16"/>
  <c r="S723" i="16"/>
  <c r="S731" i="16"/>
  <c r="S739" i="16"/>
  <c r="S747" i="16"/>
  <c r="S755" i="16"/>
  <c r="S763" i="16"/>
  <c r="S771" i="16"/>
  <c r="S779" i="16"/>
  <c r="S787" i="16"/>
  <c r="S795" i="16"/>
  <c r="S803" i="16"/>
  <c r="S811" i="16"/>
  <c r="S819" i="16"/>
  <c r="S827" i="16"/>
  <c r="S835" i="16"/>
  <c r="S843" i="16"/>
  <c r="S851" i="16"/>
  <c r="S859" i="16"/>
  <c r="S867" i="16"/>
  <c r="S875" i="16"/>
  <c r="S883" i="16"/>
  <c r="S891" i="16"/>
  <c r="S899" i="16"/>
  <c r="S907" i="16"/>
  <c r="S915" i="16"/>
  <c r="S923" i="16"/>
  <c r="S931" i="16"/>
  <c r="S939" i="16"/>
  <c r="S947" i="16"/>
  <c r="S955" i="16"/>
  <c r="S963" i="16"/>
  <c r="S971" i="16"/>
  <c r="S979" i="16"/>
  <c r="S987" i="16"/>
  <c r="S995" i="16"/>
  <c r="S1003" i="16"/>
  <c r="S1011" i="16"/>
  <c r="S1019" i="16"/>
  <c r="S1027" i="16"/>
  <c r="S1035" i="16"/>
  <c r="S1043" i="16"/>
  <c r="S1051" i="16"/>
  <c r="S1059" i="16"/>
  <c r="S1067" i="16"/>
  <c r="S1075" i="16"/>
  <c r="S1083" i="16"/>
  <c r="S1091" i="16"/>
  <c r="S1099" i="16"/>
  <c r="S1107" i="16"/>
  <c r="S1115" i="16"/>
  <c r="S1119" i="16"/>
  <c r="S1123" i="16"/>
  <c r="S1127" i="16"/>
  <c r="S1131" i="16"/>
  <c r="S1135" i="16"/>
  <c r="S1139" i="16"/>
  <c r="S1143" i="16"/>
  <c r="S1147" i="16"/>
  <c r="S1151" i="16"/>
  <c r="S1155" i="16"/>
  <c r="S1159" i="16"/>
  <c r="S1163" i="16"/>
  <c r="S1167" i="16"/>
  <c r="S1171" i="16"/>
  <c r="S1175" i="16"/>
  <c r="S1179" i="16"/>
  <c r="S1183" i="16"/>
  <c r="S1187" i="16"/>
  <c r="S1191" i="16"/>
  <c r="S1195" i="16"/>
  <c r="S1199" i="16"/>
  <c r="S1203" i="16"/>
  <c r="S1207" i="16"/>
  <c r="S1211" i="16"/>
  <c r="S1215" i="16"/>
  <c r="S1219" i="16"/>
  <c r="S1223" i="16"/>
  <c r="S1227" i="16"/>
  <c r="S1231" i="16"/>
  <c r="S1235" i="16"/>
  <c r="S1239" i="16"/>
  <c r="S1243" i="16"/>
  <c r="S1247" i="16"/>
  <c r="S1251" i="16"/>
  <c r="S1255" i="16"/>
  <c r="S1259" i="16"/>
  <c r="S1263" i="16"/>
  <c r="S1267" i="16"/>
  <c r="S1271" i="16"/>
  <c r="S1275" i="16"/>
  <c r="S1279" i="16"/>
  <c r="S1283" i="16"/>
  <c r="S1287" i="16"/>
  <c r="S1291" i="16"/>
  <c r="S1295" i="16"/>
  <c r="S1299" i="16"/>
  <c r="S1303" i="16"/>
  <c r="S1307" i="16"/>
  <c r="S1311" i="16"/>
  <c r="S1315" i="16"/>
  <c r="S1319" i="16"/>
  <c r="S1323" i="16"/>
  <c r="S1327" i="16"/>
  <c r="S1331" i="16"/>
  <c r="S32" i="16"/>
  <c r="S64" i="16"/>
  <c r="S96" i="16"/>
  <c r="S113" i="16"/>
  <c r="S129" i="16"/>
  <c r="S145" i="16"/>
  <c r="S161" i="16"/>
  <c r="S177" i="16"/>
  <c r="S193" i="16"/>
  <c r="S209" i="16"/>
  <c r="S225" i="16"/>
  <c r="S241" i="16"/>
  <c r="S257" i="16"/>
  <c r="S273" i="16"/>
  <c r="S289" i="16"/>
  <c r="S305" i="16"/>
  <c r="S321" i="16"/>
  <c r="S337" i="16"/>
  <c r="S353" i="16"/>
  <c r="S369" i="16"/>
  <c r="S385" i="16"/>
  <c r="S401" i="16"/>
  <c r="S415" i="16"/>
  <c r="S423" i="16"/>
  <c r="S431" i="16"/>
  <c r="S439" i="16"/>
  <c r="S447" i="16"/>
  <c r="S455" i="16"/>
  <c r="S463" i="16"/>
  <c r="S471" i="16"/>
  <c r="S479" i="16"/>
  <c r="S487" i="16"/>
  <c r="S495" i="16"/>
  <c r="S503" i="16"/>
  <c r="S511" i="16"/>
  <c r="S519" i="16"/>
  <c r="S527" i="16"/>
  <c r="S535" i="16"/>
  <c r="S543" i="16"/>
  <c r="S551" i="16"/>
  <c r="S559" i="16"/>
  <c r="S567" i="16"/>
  <c r="S575" i="16"/>
  <c r="S583" i="16"/>
  <c r="S591" i="16"/>
  <c r="S599" i="16"/>
  <c r="S607" i="16"/>
  <c r="S615" i="16"/>
  <c r="S623" i="16"/>
  <c r="S631" i="16"/>
  <c r="S639" i="16"/>
  <c r="S647" i="16"/>
  <c r="S655" i="16"/>
  <c r="S663" i="16"/>
  <c r="S671" i="16"/>
  <c r="S679" i="16"/>
  <c r="S687" i="16"/>
  <c r="S695" i="16"/>
  <c r="S703" i="16"/>
  <c r="S711" i="16"/>
  <c r="S719" i="16"/>
  <c r="S727" i="16"/>
  <c r="S735" i="16"/>
  <c r="S743" i="16"/>
  <c r="S751" i="16"/>
  <c r="S759" i="16"/>
  <c r="S767" i="16"/>
  <c r="S775" i="16"/>
  <c r="S783" i="16"/>
  <c r="S791" i="16"/>
  <c r="S799" i="16"/>
  <c r="S807" i="16"/>
  <c r="S815" i="16"/>
  <c r="S823" i="16"/>
  <c r="S831" i="16"/>
  <c r="S839" i="16"/>
  <c r="S847" i="16"/>
  <c r="S855" i="16"/>
  <c r="S863" i="16"/>
  <c r="S871" i="16"/>
  <c r="S879" i="16"/>
  <c r="S887" i="16"/>
  <c r="S895" i="16"/>
  <c r="S903" i="16"/>
  <c r="S911" i="16"/>
  <c r="S919" i="16"/>
  <c r="S927" i="16"/>
  <c r="S935" i="16"/>
  <c r="S943" i="16"/>
  <c r="S951" i="16"/>
  <c r="S959" i="16"/>
  <c r="S967" i="16"/>
  <c r="S975" i="16"/>
  <c r="S983" i="16"/>
  <c r="S991" i="16"/>
  <c r="S999" i="16"/>
  <c r="S1007" i="16"/>
  <c r="S1015" i="16"/>
  <c r="S1023" i="16"/>
  <c r="S1031" i="16"/>
  <c r="S1039" i="16"/>
  <c r="S1047" i="16"/>
  <c r="S1055" i="16"/>
  <c r="S1063" i="16"/>
  <c r="S1071" i="16"/>
  <c r="S1079" i="16"/>
  <c r="S1087" i="16"/>
  <c r="S1095" i="16"/>
  <c r="S1103" i="16"/>
  <c r="S1111" i="16"/>
  <c r="S1117" i="16"/>
  <c r="S1121" i="16"/>
  <c r="S1125" i="16"/>
  <c r="S1129" i="16"/>
  <c r="S1133" i="16"/>
  <c r="S1137" i="16"/>
  <c r="S1141" i="16"/>
  <c r="S1145" i="16"/>
  <c r="S1149" i="16"/>
  <c r="S1153" i="16"/>
  <c r="S1157" i="16"/>
  <c r="S1161" i="16"/>
  <c r="S1165" i="16"/>
  <c r="S1169" i="16"/>
  <c r="S1173" i="16"/>
  <c r="S1177" i="16"/>
  <c r="S1181" i="16"/>
  <c r="S1185" i="16"/>
  <c r="S1189" i="16"/>
  <c r="S1193" i="16"/>
  <c r="S1197" i="16"/>
  <c r="S1201" i="16"/>
  <c r="S1205" i="16"/>
  <c r="S1209" i="16"/>
  <c r="S1213" i="16"/>
  <c r="S1217" i="16"/>
  <c r="S1221" i="16"/>
  <c r="S1225" i="16"/>
  <c r="S1229" i="16"/>
  <c r="S1233" i="16"/>
  <c r="S1237" i="16"/>
  <c r="S1241" i="16"/>
  <c r="S1245" i="16"/>
  <c r="S1249" i="16"/>
  <c r="S1253" i="16"/>
  <c r="S1257" i="16"/>
  <c r="S1261" i="16"/>
  <c r="S1265" i="16"/>
  <c r="S1269" i="16"/>
  <c r="S1273" i="16"/>
  <c r="S1277" i="16"/>
  <c r="S1281" i="16"/>
  <c r="S1285" i="16"/>
  <c r="S1289" i="16"/>
  <c r="S1293" i="16"/>
  <c r="S1297" i="16"/>
  <c r="S1301" i="16"/>
  <c r="S1305" i="16"/>
  <c r="S1309" i="16"/>
  <c r="S1313" i="16"/>
  <c r="S1317" i="16"/>
  <c r="S1321" i="16"/>
  <c r="S1325" i="16"/>
  <c r="S1329" i="16"/>
  <c r="S8" i="16"/>
  <c r="S40" i="16"/>
  <c r="S72" i="16"/>
  <c r="S101" i="16"/>
  <c r="S117" i="16"/>
  <c r="S133" i="16"/>
  <c r="S149" i="16"/>
  <c r="S165" i="16"/>
  <c r="S181" i="16"/>
  <c r="S197" i="16"/>
  <c r="S213" i="16"/>
  <c r="S229" i="16"/>
  <c r="S245" i="16"/>
  <c r="S261" i="16"/>
  <c r="S277" i="16"/>
  <c r="S293" i="16"/>
  <c r="S309" i="16"/>
  <c r="S325" i="16"/>
  <c r="S341" i="16"/>
  <c r="S357" i="16"/>
  <c r="S373" i="16"/>
  <c r="S389" i="16"/>
  <c r="S405" i="16"/>
  <c r="S417" i="16"/>
  <c r="S425" i="16"/>
  <c r="S433" i="16"/>
  <c r="S441" i="16"/>
  <c r="S449" i="16"/>
  <c r="S457" i="16"/>
  <c r="S465" i="16"/>
  <c r="S473" i="16"/>
  <c r="S481" i="16"/>
  <c r="S489" i="16"/>
  <c r="S497" i="16"/>
  <c r="S505" i="16"/>
  <c r="S513" i="16"/>
  <c r="S521" i="16"/>
  <c r="S529" i="16"/>
  <c r="S537" i="16"/>
  <c r="S545" i="16"/>
  <c r="S553" i="16"/>
  <c r="S561" i="16"/>
  <c r="S569" i="16"/>
  <c r="S577" i="16"/>
  <c r="S585" i="16"/>
  <c r="S593" i="16"/>
  <c r="S601" i="16"/>
  <c r="S609" i="16"/>
  <c r="S617" i="16"/>
  <c r="S625" i="16"/>
  <c r="S633" i="16"/>
  <c r="S641" i="16"/>
  <c r="S649" i="16"/>
  <c r="S657" i="16"/>
  <c r="S665" i="16"/>
  <c r="S673" i="16"/>
  <c r="S681" i="16"/>
  <c r="S689" i="16"/>
  <c r="S697" i="16"/>
  <c r="S705" i="16"/>
  <c r="S713" i="16"/>
  <c r="S721" i="16"/>
  <c r="S729" i="16"/>
  <c r="S737" i="16"/>
  <c r="S745" i="16"/>
  <c r="S753" i="16"/>
  <c r="S761" i="16"/>
  <c r="S769" i="16"/>
  <c r="S777" i="16"/>
  <c r="S785" i="16"/>
  <c r="S793" i="16"/>
  <c r="S801" i="16"/>
  <c r="S809" i="16"/>
  <c r="S817" i="16"/>
  <c r="S825" i="16"/>
  <c r="S833" i="16"/>
  <c r="S841" i="16"/>
  <c r="S849" i="16"/>
  <c r="S857" i="16"/>
  <c r="S865" i="16"/>
  <c r="S873" i="16"/>
  <c r="S881" i="16"/>
  <c r="S889" i="16"/>
  <c r="S897" i="16"/>
  <c r="S905" i="16"/>
  <c r="S913" i="16"/>
  <c r="S921" i="16"/>
  <c r="S929" i="16"/>
  <c r="S937" i="16"/>
  <c r="S945" i="16"/>
  <c r="S953" i="16"/>
  <c r="S961" i="16"/>
  <c r="S969" i="16"/>
  <c r="S977" i="16"/>
  <c r="S985" i="16"/>
  <c r="S993" i="16"/>
  <c r="S1001" i="16"/>
  <c r="S1009" i="16"/>
  <c r="S1017" i="16"/>
  <c r="S1025" i="16"/>
  <c r="S1033" i="16"/>
  <c r="S1041" i="16"/>
  <c r="S1049" i="16"/>
  <c r="S1057" i="16"/>
  <c r="S1065" i="16"/>
  <c r="S1073" i="16"/>
  <c r="S1081" i="16"/>
  <c r="S1089" i="16"/>
  <c r="S1097" i="16"/>
  <c r="S1105" i="16"/>
  <c r="S1113" i="16"/>
  <c r="S1118" i="16"/>
  <c r="S1122" i="16"/>
  <c r="S1126" i="16"/>
  <c r="S1130" i="16"/>
  <c r="S1134" i="16"/>
  <c r="S1138" i="16"/>
  <c r="S1142" i="16"/>
  <c r="S1146" i="16"/>
  <c r="S1150" i="16"/>
  <c r="S1154" i="16"/>
  <c r="S1158" i="16"/>
  <c r="S1162" i="16"/>
  <c r="S1166" i="16"/>
  <c r="S1170" i="16"/>
  <c r="S1174" i="16"/>
  <c r="S1178" i="16"/>
  <c r="S1182" i="16"/>
  <c r="S1186" i="16"/>
  <c r="S1190" i="16"/>
  <c r="S1194" i="16"/>
  <c r="S1198" i="16"/>
  <c r="S1202" i="16"/>
  <c r="S1206" i="16"/>
  <c r="S1210" i="16"/>
  <c r="S1214" i="16"/>
  <c r="S1218" i="16"/>
  <c r="S1222" i="16"/>
  <c r="S1226" i="16"/>
  <c r="S1230" i="16"/>
  <c r="S1234" i="16"/>
  <c r="S1238" i="16"/>
  <c r="S1242" i="16"/>
  <c r="S1246" i="16"/>
  <c r="S1250" i="16"/>
  <c r="S1254" i="16"/>
  <c r="S1258" i="16"/>
  <c r="S1262" i="16"/>
  <c r="S1266" i="16"/>
  <c r="S1270" i="16"/>
  <c r="S1274" i="16"/>
  <c r="S1278" i="16"/>
  <c r="S1282" i="16"/>
  <c r="S1286" i="16"/>
  <c r="S1290" i="16"/>
  <c r="S1294" i="16"/>
  <c r="S1298" i="16"/>
  <c r="S1302" i="16"/>
  <c r="S1306" i="16"/>
  <c r="S1310" i="16"/>
  <c r="S1314" i="16"/>
  <c r="S1318" i="16"/>
  <c r="S1322" i="16"/>
  <c r="S1326" i="16"/>
  <c r="S1330" i="16"/>
  <c r="S109" i="16"/>
  <c r="S173" i="16"/>
  <c r="S237" i="16"/>
  <c r="S301" i="16"/>
  <c r="S365" i="16"/>
  <c r="S421" i="16"/>
  <c r="S453" i="16"/>
  <c r="S485" i="16"/>
  <c r="S517" i="16"/>
  <c r="S549" i="16"/>
  <c r="S581" i="16"/>
  <c r="S613" i="16"/>
  <c r="S645" i="16"/>
  <c r="S677" i="16"/>
  <c r="S709" i="16"/>
  <c r="S741" i="16"/>
  <c r="S773" i="16"/>
  <c r="S805" i="16"/>
  <c r="S837" i="16"/>
  <c r="S869" i="16"/>
  <c r="S901" i="16"/>
  <c r="S933" i="16"/>
  <c r="S965" i="16"/>
  <c r="S997" i="16"/>
  <c r="S1029" i="16"/>
  <c r="S1061" i="16"/>
  <c r="S1093" i="16"/>
  <c r="S1120" i="16"/>
  <c r="S1136" i="16"/>
  <c r="S1152" i="16"/>
  <c r="S1168" i="16"/>
  <c r="S1184" i="16"/>
  <c r="S1200" i="16"/>
  <c r="S1216" i="16"/>
  <c r="S1232" i="16"/>
  <c r="S1248" i="16"/>
  <c r="S1264" i="16"/>
  <c r="S1280" i="16"/>
  <c r="S1296" i="16"/>
  <c r="S1312" i="16"/>
  <c r="S1328" i="16"/>
  <c r="S24" i="16"/>
  <c r="S125" i="16"/>
  <c r="S189" i="16"/>
  <c r="S253" i="16"/>
  <c r="S317" i="16"/>
  <c r="S381" i="16"/>
  <c r="S429" i="16"/>
  <c r="S461" i="16"/>
  <c r="S493" i="16"/>
  <c r="S525" i="16"/>
  <c r="S557" i="16"/>
  <c r="S589" i="16"/>
  <c r="S621" i="16"/>
  <c r="S653" i="16"/>
  <c r="S685" i="16"/>
  <c r="S717" i="16"/>
  <c r="S749" i="16"/>
  <c r="S781" i="16"/>
  <c r="S813" i="16"/>
  <c r="S845" i="16"/>
  <c r="S877" i="16"/>
  <c r="S909" i="16"/>
  <c r="S941" i="16"/>
  <c r="S973" i="16"/>
  <c r="S1005" i="16"/>
  <c r="S1037" i="16"/>
  <c r="S1069" i="16"/>
  <c r="S1101" i="16"/>
  <c r="S1124" i="16"/>
  <c r="S1140" i="16"/>
  <c r="S1156" i="16"/>
  <c r="S1172" i="16"/>
  <c r="S1188" i="16"/>
  <c r="S1204" i="16"/>
  <c r="S1220" i="16"/>
  <c r="S1236" i="16"/>
  <c r="S1252" i="16"/>
  <c r="S1268" i="16"/>
  <c r="S1284" i="16"/>
  <c r="S1300" i="16"/>
  <c r="S1316" i="16"/>
  <c r="S56" i="16"/>
  <c r="S141" i="16"/>
  <c r="S205" i="16"/>
  <c r="S269" i="16"/>
  <c r="S333" i="16"/>
  <c r="S397" i="16"/>
  <c r="S437" i="16"/>
  <c r="S469" i="16"/>
  <c r="S501" i="16"/>
  <c r="S533" i="16"/>
  <c r="S565" i="16"/>
  <c r="S597" i="16"/>
  <c r="S629" i="16"/>
  <c r="S661" i="16"/>
  <c r="S693" i="16"/>
  <c r="S725" i="16"/>
  <c r="S757" i="16"/>
  <c r="S789" i="16"/>
  <c r="S821" i="16"/>
  <c r="S853" i="16"/>
  <c r="S885" i="16"/>
  <c r="S917" i="16"/>
  <c r="S949" i="16"/>
  <c r="S981" i="16"/>
  <c r="S1013" i="16"/>
  <c r="S1045" i="16"/>
  <c r="S1077" i="16"/>
  <c r="S1109" i="16"/>
  <c r="S1128" i="16"/>
  <c r="S1144" i="16"/>
  <c r="S1160" i="16"/>
  <c r="S1176" i="16"/>
  <c r="S1192" i="16"/>
  <c r="S1208" i="16"/>
  <c r="S1224" i="16"/>
  <c r="S1240" i="16"/>
  <c r="S1256" i="16"/>
  <c r="S1272" i="16"/>
  <c r="S1288" i="16"/>
  <c r="S1304" i="16"/>
  <c r="S1320" i="16"/>
  <c r="S88" i="16"/>
  <c r="S157" i="16"/>
  <c r="S221" i="16"/>
  <c r="S285" i="16"/>
  <c r="S349" i="16"/>
  <c r="S413" i="16"/>
  <c r="S445" i="16"/>
  <c r="S477" i="16"/>
  <c r="S509" i="16"/>
  <c r="S541" i="16"/>
  <c r="S573" i="16"/>
  <c r="S605" i="16"/>
  <c r="S637" i="16"/>
  <c r="S669" i="16"/>
  <c r="S701" i="16"/>
  <c r="S733" i="16"/>
  <c r="S765" i="16"/>
  <c r="S797" i="16"/>
  <c r="S829" i="16"/>
  <c r="S861" i="16"/>
  <c r="S893" i="16"/>
  <c r="S925" i="16"/>
  <c r="S957" i="16"/>
  <c r="S989" i="16"/>
  <c r="S1021" i="16"/>
  <c r="S1053" i="16"/>
  <c r="S1085" i="16"/>
  <c r="S1116" i="16"/>
  <c r="S1132" i="16"/>
  <c r="S1148" i="16"/>
  <c r="S1164" i="16"/>
  <c r="S1180" i="16"/>
  <c r="S1196" i="16"/>
  <c r="S1212" i="16"/>
  <c r="S1228" i="16"/>
  <c r="S1244" i="16"/>
  <c r="S1260" i="16"/>
  <c r="S1276" i="16"/>
  <c r="S1292" i="16"/>
  <c r="S1308" i="16"/>
  <c r="S1324" i="16"/>
  <c r="W2" i="16"/>
  <c r="W6" i="16"/>
  <c r="W10" i="16"/>
  <c r="W14" i="16"/>
  <c r="W18" i="16"/>
  <c r="W22" i="16"/>
  <c r="W26" i="16"/>
  <c r="W30" i="16"/>
  <c r="W34" i="16"/>
  <c r="W38" i="16"/>
  <c r="W42" i="16"/>
  <c r="W46" i="16"/>
  <c r="W50" i="16"/>
  <c r="W54" i="16"/>
  <c r="W58" i="16"/>
  <c r="W62" i="16"/>
  <c r="W66" i="16"/>
  <c r="W70" i="16"/>
  <c r="W74" i="16"/>
  <c r="W78" i="16"/>
  <c r="W82" i="16"/>
  <c r="W86" i="16"/>
  <c r="W90" i="16"/>
  <c r="W94" i="16"/>
  <c r="W98" i="16"/>
  <c r="W102" i="16"/>
  <c r="W106" i="16"/>
  <c r="W110" i="16"/>
  <c r="W114" i="16"/>
  <c r="W118" i="16"/>
  <c r="W122" i="16"/>
  <c r="W126" i="16"/>
  <c r="W130" i="16"/>
  <c r="W134" i="16"/>
  <c r="W138" i="16"/>
  <c r="W142" i="16"/>
  <c r="W146" i="16"/>
  <c r="W150" i="16"/>
  <c r="W154" i="16"/>
  <c r="W158" i="16"/>
  <c r="W162" i="16"/>
  <c r="W166" i="16"/>
  <c r="W170" i="16"/>
  <c r="W174" i="16"/>
  <c r="W178" i="16"/>
  <c r="W182" i="16"/>
  <c r="W186" i="16"/>
  <c r="W190" i="16"/>
  <c r="W194" i="16"/>
  <c r="W198" i="16"/>
  <c r="W202" i="16"/>
  <c r="W206" i="16"/>
  <c r="W210" i="16"/>
  <c r="W214" i="16"/>
  <c r="W218" i="16"/>
  <c r="W222" i="16"/>
  <c r="W226" i="16"/>
  <c r="W230" i="16"/>
  <c r="W234" i="16"/>
  <c r="W238" i="16"/>
  <c r="W242" i="16"/>
  <c r="W246" i="16"/>
  <c r="W250" i="16"/>
  <c r="W254" i="16"/>
  <c r="W258" i="16"/>
  <c r="W262" i="16"/>
  <c r="W266" i="16"/>
  <c r="W270" i="16"/>
  <c r="W274" i="16"/>
  <c r="W278" i="16"/>
  <c r="W282" i="16"/>
  <c r="W286" i="16"/>
  <c r="W290" i="16"/>
  <c r="W294" i="16"/>
  <c r="W298" i="16"/>
  <c r="W302" i="16"/>
  <c r="W306" i="16"/>
  <c r="W310" i="16"/>
  <c r="W314" i="16"/>
  <c r="W318" i="16"/>
  <c r="W322" i="16"/>
  <c r="W326" i="16"/>
  <c r="W330" i="16"/>
  <c r="W334" i="16"/>
  <c r="W338" i="16"/>
  <c r="W342" i="16"/>
  <c r="W346" i="16"/>
  <c r="W350" i="16"/>
  <c r="W354" i="16"/>
  <c r="W358" i="16"/>
  <c r="W362" i="16"/>
  <c r="W366" i="16"/>
  <c r="W370" i="16"/>
  <c r="W374" i="16"/>
  <c r="W378" i="16"/>
  <c r="W382" i="16"/>
  <c r="W386" i="16"/>
  <c r="W390" i="16"/>
  <c r="W394" i="16"/>
  <c r="W398" i="16"/>
  <c r="W402" i="16"/>
  <c r="W406" i="16"/>
  <c r="W410" i="16"/>
  <c r="W414" i="16"/>
  <c r="W418" i="16"/>
  <c r="W3" i="16"/>
  <c r="W7" i="16"/>
  <c r="W11" i="16"/>
  <c r="W15" i="16"/>
  <c r="W19" i="16"/>
  <c r="W23" i="16"/>
  <c r="W27" i="16"/>
  <c r="W31" i="16"/>
  <c r="W35" i="16"/>
  <c r="W39" i="16"/>
  <c r="W43" i="16"/>
  <c r="W47" i="16"/>
  <c r="W51" i="16"/>
  <c r="W55" i="16"/>
  <c r="W59" i="16"/>
  <c r="W63" i="16"/>
  <c r="W67" i="16"/>
  <c r="W71" i="16"/>
  <c r="W75" i="16"/>
  <c r="W79" i="16"/>
  <c r="W83" i="16"/>
  <c r="W87" i="16"/>
  <c r="W91" i="16"/>
  <c r="W95" i="16"/>
  <c r="W99" i="16"/>
  <c r="W103" i="16"/>
  <c r="W107" i="16"/>
  <c r="W111" i="16"/>
  <c r="W115" i="16"/>
  <c r="W119" i="16"/>
  <c r="W123" i="16"/>
  <c r="W127" i="16"/>
  <c r="W131" i="16"/>
  <c r="W135" i="16"/>
  <c r="W139" i="16"/>
  <c r="W143" i="16"/>
  <c r="W147" i="16"/>
  <c r="W151" i="16"/>
  <c r="W155" i="16"/>
  <c r="W159" i="16"/>
  <c r="W163" i="16"/>
  <c r="W167" i="16"/>
  <c r="W171" i="16"/>
  <c r="W175" i="16"/>
  <c r="W179" i="16"/>
  <c r="W183" i="16"/>
  <c r="W187" i="16"/>
  <c r="W191" i="16"/>
  <c r="W195" i="16"/>
  <c r="W199" i="16"/>
  <c r="W203" i="16"/>
  <c r="W207" i="16"/>
  <c r="W211" i="16"/>
  <c r="W215" i="16"/>
  <c r="W219" i="16"/>
  <c r="W223" i="16"/>
  <c r="W227" i="16"/>
  <c r="W231" i="16"/>
  <c r="W235" i="16"/>
  <c r="W239" i="16"/>
  <c r="W243" i="16"/>
  <c r="W247" i="16"/>
  <c r="W251" i="16"/>
  <c r="W255" i="16"/>
  <c r="W259" i="16"/>
  <c r="W263" i="16"/>
  <c r="W267" i="16"/>
  <c r="W271" i="16"/>
  <c r="W275" i="16"/>
  <c r="W279" i="16"/>
  <c r="W283" i="16"/>
  <c r="W287" i="16"/>
  <c r="W291" i="16"/>
  <c r="W295" i="16"/>
  <c r="W299" i="16"/>
  <c r="W303" i="16"/>
  <c r="W307" i="16"/>
  <c r="W311" i="16"/>
  <c r="W315" i="16"/>
  <c r="W319" i="16"/>
  <c r="W323" i="16"/>
  <c r="W327" i="16"/>
  <c r="W331" i="16"/>
  <c r="W335" i="16"/>
  <c r="W339" i="16"/>
  <c r="W343" i="16"/>
  <c r="W4" i="16"/>
  <c r="W8" i="16"/>
  <c r="W12" i="16"/>
  <c r="W16" i="16"/>
  <c r="W20" i="16"/>
  <c r="W24" i="16"/>
  <c r="W28" i="16"/>
  <c r="W32" i="16"/>
  <c r="W36" i="16"/>
  <c r="W40" i="16"/>
  <c r="W44" i="16"/>
  <c r="W48" i="16"/>
  <c r="W52" i="16"/>
  <c r="W56" i="16"/>
  <c r="W60" i="16"/>
  <c r="W64" i="16"/>
  <c r="W68" i="16"/>
  <c r="W72" i="16"/>
  <c r="W76" i="16"/>
  <c r="W80" i="16"/>
  <c r="W84" i="16"/>
  <c r="W88" i="16"/>
  <c r="W92" i="16"/>
  <c r="W96" i="16"/>
  <c r="W100" i="16"/>
  <c r="W104" i="16"/>
  <c r="W108" i="16"/>
  <c r="W112" i="16"/>
  <c r="W116" i="16"/>
  <c r="W120" i="16"/>
  <c r="W124" i="16"/>
  <c r="W128" i="16"/>
  <c r="W132" i="16"/>
  <c r="W136" i="16"/>
  <c r="W140" i="16"/>
  <c r="W144" i="16"/>
  <c r="W148" i="16"/>
  <c r="W152" i="16"/>
  <c r="W156" i="16"/>
  <c r="W160" i="16"/>
  <c r="W164" i="16"/>
  <c r="W168" i="16"/>
  <c r="W172" i="16"/>
  <c r="W176" i="16"/>
  <c r="W180" i="16"/>
  <c r="W184" i="16"/>
  <c r="W188" i="16"/>
  <c r="W192" i="16"/>
  <c r="W196" i="16"/>
  <c r="W200" i="16"/>
  <c r="W204" i="16"/>
  <c r="W208" i="16"/>
  <c r="W212" i="16"/>
  <c r="W216" i="16"/>
  <c r="W220" i="16"/>
  <c r="W224" i="16"/>
  <c r="W228" i="16"/>
  <c r="W232" i="16"/>
  <c r="W236" i="16"/>
  <c r="W240" i="16"/>
  <c r="W244" i="16"/>
  <c r="W248" i="16"/>
  <c r="W252" i="16"/>
  <c r="W256" i="16"/>
  <c r="W260" i="16"/>
  <c r="W264" i="16"/>
  <c r="W268" i="16"/>
  <c r="W272" i="16"/>
  <c r="W276" i="16"/>
  <c r="W280" i="16"/>
  <c r="W284" i="16"/>
  <c r="W288" i="16"/>
  <c r="W292" i="16"/>
  <c r="W296" i="16"/>
  <c r="W300" i="16"/>
  <c r="W304" i="16"/>
  <c r="W308" i="16"/>
  <c r="W312" i="16"/>
  <c r="W316" i="16"/>
  <c r="W320" i="16"/>
  <c r="W324" i="16"/>
  <c r="W328" i="16"/>
  <c r="W332" i="16"/>
  <c r="W336" i="16"/>
  <c r="W340" i="16"/>
  <c r="W344" i="16"/>
  <c r="W348" i="16"/>
  <c r="W352" i="16"/>
  <c r="W356" i="16"/>
  <c r="W360" i="16"/>
  <c r="W364" i="16"/>
  <c r="W368" i="16"/>
  <c r="W372" i="16"/>
  <c r="W376" i="16"/>
  <c r="W380" i="16"/>
  <c r="W384" i="16"/>
  <c r="W388" i="16"/>
  <c r="W392" i="16"/>
  <c r="W396" i="16"/>
  <c r="W400" i="16"/>
  <c r="W404" i="16"/>
  <c r="W408" i="16"/>
  <c r="W412" i="16"/>
  <c r="W416" i="16"/>
  <c r="W420" i="16"/>
  <c r="W17" i="16"/>
  <c r="W33" i="16"/>
  <c r="W49" i="16"/>
  <c r="W65" i="16"/>
  <c r="W81" i="16"/>
  <c r="W97" i="16"/>
  <c r="W113" i="16"/>
  <c r="W129" i="16"/>
  <c r="W145" i="16"/>
  <c r="W161" i="16"/>
  <c r="W177" i="16"/>
  <c r="W193" i="16"/>
  <c r="W209" i="16"/>
  <c r="W225" i="16"/>
  <c r="W241" i="16"/>
  <c r="W257" i="16"/>
  <c r="W273" i="16"/>
  <c r="W289" i="16"/>
  <c r="W305" i="16"/>
  <c r="W321" i="16"/>
  <c r="W337" i="16"/>
  <c r="W349" i="16"/>
  <c r="W357" i="16"/>
  <c r="W365" i="16"/>
  <c r="W373" i="16"/>
  <c r="W381" i="16"/>
  <c r="W389" i="16"/>
  <c r="W397" i="16"/>
  <c r="W405" i="16"/>
  <c r="W413" i="16"/>
  <c r="W421" i="16"/>
  <c r="W425" i="16"/>
  <c r="W429" i="16"/>
  <c r="W433" i="16"/>
  <c r="W437" i="16"/>
  <c r="W441" i="16"/>
  <c r="W445" i="16"/>
  <c r="W449" i="16"/>
  <c r="W453" i="16"/>
  <c r="W457" i="16"/>
  <c r="W461" i="16"/>
  <c r="W465" i="16"/>
  <c r="W469" i="16"/>
  <c r="W473" i="16"/>
  <c r="W477" i="16"/>
  <c r="W481" i="16"/>
  <c r="W485" i="16"/>
  <c r="W489" i="16"/>
  <c r="W493" i="16"/>
  <c r="W497" i="16"/>
  <c r="W501" i="16"/>
  <c r="W505" i="16"/>
  <c r="W509" i="16"/>
  <c r="W513" i="16"/>
  <c r="W517" i="16"/>
  <c r="W521" i="16"/>
  <c r="W525" i="16"/>
  <c r="W529" i="16"/>
  <c r="W533" i="16"/>
  <c r="W537" i="16"/>
  <c r="W541" i="16"/>
  <c r="W5" i="16"/>
  <c r="W21" i="16"/>
  <c r="W37" i="16"/>
  <c r="W53" i="16"/>
  <c r="W69" i="16"/>
  <c r="W85" i="16"/>
  <c r="W101" i="16"/>
  <c r="W117" i="16"/>
  <c r="W133" i="16"/>
  <c r="W149" i="16"/>
  <c r="W165" i="16"/>
  <c r="W181" i="16"/>
  <c r="W197" i="16"/>
  <c r="W213" i="16"/>
  <c r="W229" i="16"/>
  <c r="W245" i="16"/>
  <c r="W261" i="16"/>
  <c r="W277" i="16"/>
  <c r="W293" i="16"/>
  <c r="W309" i="16"/>
  <c r="W325" i="16"/>
  <c r="W341" i="16"/>
  <c r="W351" i="16"/>
  <c r="W359" i="16"/>
  <c r="W367" i="16"/>
  <c r="W375" i="16"/>
  <c r="W383" i="16"/>
  <c r="W391" i="16"/>
  <c r="W399" i="16"/>
  <c r="W407" i="16"/>
  <c r="W415" i="16"/>
  <c r="W422" i="16"/>
  <c r="W426" i="16"/>
  <c r="W430" i="16"/>
  <c r="W434" i="16"/>
  <c r="W438" i="16"/>
  <c r="W442" i="16"/>
  <c r="W446" i="16"/>
  <c r="W450" i="16"/>
  <c r="W454" i="16"/>
  <c r="W458" i="16"/>
  <c r="W462" i="16"/>
  <c r="W466" i="16"/>
  <c r="W470" i="16"/>
  <c r="W474" i="16"/>
  <c r="W478" i="16"/>
  <c r="W482" i="16"/>
  <c r="W486" i="16"/>
  <c r="W490" i="16"/>
  <c r="W494" i="16"/>
  <c r="W498" i="16"/>
  <c r="W502" i="16"/>
  <c r="W506" i="16"/>
  <c r="W510" i="16"/>
  <c r="W514" i="16"/>
  <c r="W518" i="16"/>
  <c r="W522" i="16"/>
  <c r="W526" i="16"/>
  <c r="W530" i="16"/>
  <c r="W534" i="16"/>
  <c r="W538" i="16"/>
  <c r="W542" i="16"/>
  <c r="W546" i="16"/>
  <c r="W550" i="16"/>
  <c r="W554" i="16"/>
  <c r="W558" i="16"/>
  <c r="W562" i="16"/>
  <c r="W566" i="16"/>
  <c r="W570" i="16"/>
  <c r="W574" i="16"/>
  <c r="W9" i="16"/>
  <c r="W25" i="16"/>
  <c r="W41" i="16"/>
  <c r="W57" i="16"/>
  <c r="W73" i="16"/>
  <c r="W89" i="16"/>
  <c r="W105" i="16"/>
  <c r="W121" i="16"/>
  <c r="W137" i="16"/>
  <c r="W153" i="16"/>
  <c r="W169" i="16"/>
  <c r="W185" i="16"/>
  <c r="W201" i="16"/>
  <c r="W217" i="16"/>
  <c r="W233" i="16"/>
  <c r="W249" i="16"/>
  <c r="W265" i="16"/>
  <c r="W281" i="16"/>
  <c r="W297" i="16"/>
  <c r="W313" i="16"/>
  <c r="W329" i="16"/>
  <c r="W345" i="16"/>
  <c r="W353" i="16"/>
  <c r="W361" i="16"/>
  <c r="W369" i="16"/>
  <c r="W377" i="16"/>
  <c r="W385" i="16"/>
  <c r="W393" i="16"/>
  <c r="W401" i="16"/>
  <c r="W409" i="16"/>
  <c r="W417" i="16"/>
  <c r="W423" i="16"/>
  <c r="W427" i="16"/>
  <c r="W431" i="16"/>
  <c r="W435" i="16"/>
  <c r="W439" i="16"/>
  <c r="W443" i="16"/>
  <c r="W447" i="16"/>
  <c r="W451" i="16"/>
  <c r="W455" i="16"/>
  <c r="W459" i="16"/>
  <c r="W463" i="16"/>
  <c r="W467" i="16"/>
  <c r="W471" i="16"/>
  <c r="W475" i="16"/>
  <c r="W479" i="16"/>
  <c r="W483" i="16"/>
  <c r="W487" i="16"/>
  <c r="W491" i="16"/>
  <c r="W495" i="16"/>
  <c r="W499" i="16"/>
  <c r="W503" i="16"/>
  <c r="W507" i="16"/>
  <c r="W511" i="16"/>
  <c r="W515" i="16"/>
  <c r="W519" i="16"/>
  <c r="W13" i="16"/>
  <c r="W29" i="16"/>
  <c r="W45" i="16"/>
  <c r="W61" i="16"/>
  <c r="W77" i="16"/>
  <c r="W93" i="16"/>
  <c r="W109" i="16"/>
  <c r="W125" i="16"/>
  <c r="W141" i="16"/>
  <c r="W157" i="16"/>
  <c r="W173" i="16"/>
  <c r="W189" i="16"/>
  <c r="W205" i="16"/>
  <c r="W221" i="16"/>
  <c r="W237" i="16"/>
  <c r="W253" i="16"/>
  <c r="W269" i="16"/>
  <c r="W285" i="16"/>
  <c r="W301" i="16"/>
  <c r="W317" i="16"/>
  <c r="W333" i="16"/>
  <c r="W347" i="16"/>
  <c r="W355" i="16"/>
  <c r="W363" i="16"/>
  <c r="W371" i="16"/>
  <c r="W379" i="16"/>
  <c r="W387" i="16"/>
  <c r="W395" i="16"/>
  <c r="W403" i="16"/>
  <c r="W411" i="16"/>
  <c r="W419" i="16"/>
  <c r="W424" i="16"/>
  <c r="W428" i="16"/>
  <c r="W432" i="16"/>
  <c r="W436" i="16"/>
  <c r="W440" i="16"/>
  <c r="W444" i="16"/>
  <c r="W448" i="16"/>
  <c r="W452" i="16"/>
  <c r="W456" i="16"/>
  <c r="W460" i="16"/>
  <c r="W464" i="16"/>
  <c r="W468" i="16"/>
  <c r="W472" i="16"/>
  <c r="W476" i="16"/>
  <c r="W480" i="16"/>
  <c r="W484" i="16"/>
  <c r="W488" i="16"/>
  <c r="W492" i="16"/>
  <c r="W496" i="16"/>
  <c r="W500" i="16"/>
  <c r="W504" i="16"/>
  <c r="W508" i="16"/>
  <c r="W512" i="16"/>
  <c r="W516" i="16"/>
  <c r="W520" i="16"/>
  <c r="W524" i="16"/>
  <c r="W528" i="16"/>
  <c r="W532" i="16"/>
  <c r="W536" i="16"/>
  <c r="W540" i="16"/>
  <c r="W544" i="16"/>
  <c r="W548" i="16"/>
  <c r="W552" i="16"/>
  <c r="W556" i="16"/>
  <c r="W560" i="16"/>
  <c r="W564" i="16"/>
  <c r="W568" i="16"/>
  <c r="W572" i="16"/>
  <c r="W523" i="16"/>
  <c r="W539" i="16"/>
  <c r="W549" i="16"/>
  <c r="W557" i="16"/>
  <c r="W565" i="16"/>
  <c r="W573" i="16"/>
  <c r="W578" i="16"/>
  <c r="W582" i="16"/>
  <c r="W586" i="16"/>
  <c r="W590" i="16"/>
  <c r="W594" i="16"/>
  <c r="W598" i="16"/>
  <c r="W602" i="16"/>
  <c r="W606" i="16"/>
  <c r="W610" i="16"/>
  <c r="W614" i="16"/>
  <c r="W618" i="16"/>
  <c r="W622" i="16"/>
  <c r="W626" i="16"/>
  <c r="W630" i="16"/>
  <c r="W634" i="16"/>
  <c r="W638" i="16"/>
  <c r="W642" i="16"/>
  <c r="W646" i="16"/>
  <c r="W650" i="16"/>
  <c r="W654" i="16"/>
  <c r="W658" i="16"/>
  <c r="W662" i="16"/>
  <c r="W666" i="16"/>
  <c r="W670" i="16"/>
  <c r="W674" i="16"/>
  <c r="W678" i="16"/>
  <c r="W682" i="16"/>
  <c r="W686" i="16"/>
  <c r="W690" i="16"/>
  <c r="W694" i="16"/>
  <c r="W698" i="16"/>
  <c r="W702" i="16"/>
  <c r="W706" i="16"/>
  <c r="W710" i="16"/>
  <c r="W714" i="16"/>
  <c r="W718" i="16"/>
  <c r="W722" i="16"/>
  <c r="W726" i="16"/>
  <c r="W730" i="16"/>
  <c r="W734" i="16"/>
  <c r="W738" i="16"/>
  <c r="W742" i="16"/>
  <c r="W746" i="16"/>
  <c r="W750" i="16"/>
  <c r="W754" i="16"/>
  <c r="W758" i="16"/>
  <c r="W762" i="16"/>
  <c r="W766" i="16"/>
  <c r="W770" i="16"/>
  <c r="W774" i="16"/>
  <c r="W778" i="16"/>
  <c r="W782" i="16"/>
  <c r="W786" i="16"/>
  <c r="W790" i="16"/>
  <c r="W794" i="16"/>
  <c r="W798" i="16"/>
  <c r="W802" i="16"/>
  <c r="W806" i="16"/>
  <c r="W810" i="16"/>
  <c r="W814" i="16"/>
  <c r="W818" i="16"/>
  <c r="W822" i="16"/>
  <c r="W826" i="16"/>
  <c r="W830" i="16"/>
  <c r="W834" i="16"/>
  <c r="W838" i="16"/>
  <c r="W842" i="16"/>
  <c r="W846" i="16"/>
  <c r="W850" i="16"/>
  <c r="W854" i="16"/>
  <c r="W858" i="16"/>
  <c r="W862" i="16"/>
  <c r="W866" i="16"/>
  <c r="W870" i="16"/>
  <c r="W874" i="16"/>
  <c r="W878" i="16"/>
  <c r="W882" i="16"/>
  <c r="W886" i="16"/>
  <c r="W890" i="16"/>
  <c r="W894" i="16"/>
  <c r="W898" i="16"/>
  <c r="W902" i="16"/>
  <c r="W906" i="16"/>
  <c r="W910" i="16"/>
  <c r="W914" i="16"/>
  <c r="W918" i="16"/>
  <c r="W922" i="16"/>
  <c r="W926" i="16"/>
  <c r="W930" i="16"/>
  <c r="W934" i="16"/>
  <c r="W938" i="16"/>
  <c r="W942" i="16"/>
  <c r="W946" i="16"/>
  <c r="W950" i="16"/>
  <c r="W954" i="16"/>
  <c r="W958" i="16"/>
  <c r="W962" i="16"/>
  <c r="W966" i="16"/>
  <c r="W970" i="16"/>
  <c r="W974" i="16"/>
  <c r="W978" i="16"/>
  <c r="W982" i="16"/>
  <c r="W986" i="16"/>
  <c r="W990" i="16"/>
  <c r="W994" i="16"/>
  <c r="W998" i="16"/>
  <c r="W1002" i="16"/>
  <c r="W1006" i="16"/>
  <c r="W1010" i="16"/>
  <c r="W1014" i="16"/>
  <c r="W1018" i="16"/>
  <c r="W1022" i="16"/>
  <c r="W1026" i="16"/>
  <c r="W1030" i="16"/>
  <c r="W1034" i="16"/>
  <c r="W1038" i="16"/>
  <c r="W1042" i="16"/>
  <c r="W1046" i="16"/>
  <c r="W1050" i="16"/>
  <c r="W1054" i="16"/>
  <c r="W1058" i="16"/>
  <c r="W1062" i="16"/>
  <c r="W1066" i="16"/>
  <c r="W1070" i="16"/>
  <c r="W1074" i="16"/>
  <c r="W1078" i="16"/>
  <c r="W1082" i="16"/>
  <c r="W1086" i="16"/>
  <c r="W1090" i="16"/>
  <c r="W1094" i="16"/>
  <c r="W1098" i="16"/>
  <c r="W1102" i="16"/>
  <c r="W1106" i="16"/>
  <c r="W1110" i="16"/>
  <c r="W1114" i="16"/>
  <c r="W1118" i="16"/>
  <c r="W1122" i="16"/>
  <c r="W1126" i="16"/>
  <c r="W1130" i="16"/>
  <c r="W1134" i="16"/>
  <c r="W1138" i="16"/>
  <c r="W1142" i="16"/>
  <c r="W1146" i="16"/>
  <c r="W1150" i="16"/>
  <c r="W1154" i="16"/>
  <c r="W1158" i="16"/>
  <c r="W1162" i="16"/>
  <c r="W1166" i="16"/>
  <c r="W1170" i="16"/>
  <c r="W1174" i="16"/>
  <c r="W1178" i="16"/>
  <c r="W1182" i="16"/>
  <c r="W1186" i="16"/>
  <c r="W1190" i="16"/>
  <c r="W1194" i="16"/>
  <c r="W531" i="16"/>
  <c r="W545" i="16"/>
  <c r="W553" i="16"/>
  <c r="W561" i="16"/>
  <c r="W569" i="16"/>
  <c r="W576" i="16"/>
  <c r="W580" i="16"/>
  <c r="W584" i="16"/>
  <c r="W588" i="16"/>
  <c r="W592" i="16"/>
  <c r="W596" i="16"/>
  <c r="W600" i="16"/>
  <c r="W604" i="16"/>
  <c r="W608" i="16"/>
  <c r="W612" i="16"/>
  <c r="W616" i="16"/>
  <c r="W620" i="16"/>
  <c r="W624" i="16"/>
  <c r="W628" i="16"/>
  <c r="W632" i="16"/>
  <c r="W636" i="16"/>
  <c r="W640" i="16"/>
  <c r="W644" i="16"/>
  <c r="W648" i="16"/>
  <c r="W652" i="16"/>
  <c r="W656" i="16"/>
  <c r="W660" i="16"/>
  <c r="W664" i="16"/>
  <c r="W668" i="16"/>
  <c r="W672" i="16"/>
  <c r="W676" i="16"/>
  <c r="W680" i="16"/>
  <c r="W684" i="16"/>
  <c r="W688" i="16"/>
  <c r="W692" i="16"/>
  <c r="W696" i="16"/>
  <c r="W700" i="16"/>
  <c r="W704" i="16"/>
  <c r="W708" i="16"/>
  <c r="W712" i="16"/>
  <c r="W716" i="16"/>
  <c r="W720" i="16"/>
  <c r="W724" i="16"/>
  <c r="W728" i="16"/>
  <c r="W732" i="16"/>
  <c r="W736" i="16"/>
  <c r="W740" i="16"/>
  <c r="W744" i="16"/>
  <c r="W748" i="16"/>
  <c r="W752" i="16"/>
  <c r="W756" i="16"/>
  <c r="W760" i="16"/>
  <c r="W764" i="16"/>
  <c r="W768" i="16"/>
  <c r="W772" i="16"/>
  <c r="W776" i="16"/>
  <c r="W780" i="16"/>
  <c r="W784" i="16"/>
  <c r="W788" i="16"/>
  <c r="W792" i="16"/>
  <c r="W796" i="16"/>
  <c r="W800" i="16"/>
  <c r="W804" i="16"/>
  <c r="W808" i="16"/>
  <c r="W812" i="16"/>
  <c r="W816" i="16"/>
  <c r="W820" i="16"/>
  <c r="W824" i="16"/>
  <c r="W828" i="16"/>
  <c r="W832" i="16"/>
  <c r="W836" i="16"/>
  <c r="W840" i="16"/>
  <c r="W844" i="16"/>
  <c r="W848" i="16"/>
  <c r="W852" i="16"/>
  <c r="W856" i="16"/>
  <c r="W860" i="16"/>
  <c r="W864" i="16"/>
  <c r="W868" i="16"/>
  <c r="W872" i="16"/>
  <c r="W876" i="16"/>
  <c r="W880" i="16"/>
  <c r="W884" i="16"/>
  <c r="W888" i="16"/>
  <c r="W892" i="16"/>
  <c r="W896" i="16"/>
  <c r="W900" i="16"/>
  <c r="W904" i="16"/>
  <c r="W908" i="16"/>
  <c r="W912" i="16"/>
  <c r="W916" i="16"/>
  <c r="W920" i="16"/>
  <c r="W924" i="16"/>
  <c r="W928" i="16"/>
  <c r="W932" i="16"/>
  <c r="W936" i="16"/>
  <c r="W940" i="16"/>
  <c r="W944" i="16"/>
  <c r="W948" i="16"/>
  <c r="W952" i="16"/>
  <c r="W956" i="16"/>
  <c r="W960" i="16"/>
  <c r="W964" i="16"/>
  <c r="W968" i="16"/>
  <c r="W972" i="16"/>
  <c r="W976" i="16"/>
  <c r="W980" i="16"/>
  <c r="W984" i="16"/>
  <c r="W988" i="16"/>
  <c r="W992" i="16"/>
  <c r="W996" i="16"/>
  <c r="W1000" i="16"/>
  <c r="W1004" i="16"/>
  <c r="W1008" i="16"/>
  <c r="W1012" i="16"/>
  <c r="W1016" i="16"/>
  <c r="W1020" i="16"/>
  <c r="W1024" i="16"/>
  <c r="W1028" i="16"/>
  <c r="W1032" i="16"/>
  <c r="W1036" i="16"/>
  <c r="W1040" i="16"/>
  <c r="W1044" i="16"/>
  <c r="W1048" i="16"/>
  <c r="W1052" i="16"/>
  <c r="W1056" i="16"/>
  <c r="W1060" i="16"/>
  <c r="W1064" i="16"/>
  <c r="W1068" i="16"/>
  <c r="W1072" i="16"/>
  <c r="W1076" i="16"/>
  <c r="W1080" i="16"/>
  <c r="W1084" i="16"/>
  <c r="W1088" i="16"/>
  <c r="W1092" i="16"/>
  <c r="W1096" i="16"/>
  <c r="W1100" i="16"/>
  <c r="W1104" i="16"/>
  <c r="W535" i="16"/>
  <c r="W547" i="16"/>
  <c r="W555" i="16"/>
  <c r="W563" i="16"/>
  <c r="W571" i="16"/>
  <c r="W577" i="16"/>
  <c r="W581" i="16"/>
  <c r="W585" i="16"/>
  <c r="W589" i="16"/>
  <c r="W593" i="16"/>
  <c r="W597" i="16"/>
  <c r="W601" i="16"/>
  <c r="W605" i="16"/>
  <c r="W609" i="16"/>
  <c r="W613" i="16"/>
  <c r="W617" i="16"/>
  <c r="W621" i="16"/>
  <c r="W625" i="16"/>
  <c r="W629" i="16"/>
  <c r="W633" i="16"/>
  <c r="W637" i="16"/>
  <c r="W641" i="16"/>
  <c r="W645" i="16"/>
  <c r="W649" i="16"/>
  <c r="W653" i="16"/>
  <c r="W657" i="16"/>
  <c r="W661" i="16"/>
  <c r="W665" i="16"/>
  <c r="W669" i="16"/>
  <c r="W673" i="16"/>
  <c r="W677" i="16"/>
  <c r="W681" i="16"/>
  <c r="W685" i="16"/>
  <c r="W689" i="16"/>
  <c r="W693" i="16"/>
  <c r="W697" i="16"/>
  <c r="W701" i="16"/>
  <c r="W705" i="16"/>
  <c r="W709" i="16"/>
  <c r="W713" i="16"/>
  <c r="W717" i="16"/>
  <c r="W721" i="16"/>
  <c r="W725" i="16"/>
  <c r="W729" i="16"/>
  <c r="W733" i="16"/>
  <c r="W737" i="16"/>
  <c r="W741" i="16"/>
  <c r="W745" i="16"/>
  <c r="W749" i="16"/>
  <c r="W753" i="16"/>
  <c r="W757" i="16"/>
  <c r="W761" i="16"/>
  <c r="W765" i="16"/>
  <c r="W769" i="16"/>
  <c r="W773" i="16"/>
  <c r="W777" i="16"/>
  <c r="W781" i="16"/>
  <c r="W785" i="16"/>
  <c r="W789" i="16"/>
  <c r="W793" i="16"/>
  <c r="W797" i="16"/>
  <c r="W801" i="16"/>
  <c r="W805" i="16"/>
  <c r="W809" i="16"/>
  <c r="W813" i="16"/>
  <c r="W817" i="16"/>
  <c r="W821" i="16"/>
  <c r="W825" i="16"/>
  <c r="W829" i="16"/>
  <c r="W833" i="16"/>
  <c r="W837" i="16"/>
  <c r="W841" i="16"/>
  <c r="W845" i="16"/>
  <c r="W849" i="16"/>
  <c r="W853" i="16"/>
  <c r="W857" i="16"/>
  <c r="W861" i="16"/>
  <c r="W865" i="16"/>
  <c r="W869" i="16"/>
  <c r="W873" i="16"/>
  <c r="W877" i="16"/>
  <c r="W881" i="16"/>
  <c r="W885" i="16"/>
  <c r="W889" i="16"/>
  <c r="W893" i="16"/>
  <c r="W897" i="16"/>
  <c r="W901" i="16"/>
  <c r="W905" i="16"/>
  <c r="W909" i="16"/>
  <c r="W913" i="16"/>
  <c r="W917" i="16"/>
  <c r="W921" i="16"/>
  <c r="W925" i="16"/>
  <c r="W929" i="16"/>
  <c r="W933" i="16"/>
  <c r="W937" i="16"/>
  <c r="W941" i="16"/>
  <c r="W945" i="16"/>
  <c r="W949" i="16"/>
  <c r="W953" i="16"/>
  <c r="W957" i="16"/>
  <c r="W961" i="16"/>
  <c r="W965" i="16"/>
  <c r="W969" i="16"/>
  <c r="W973" i="16"/>
  <c r="W977" i="16"/>
  <c r="W981" i="16"/>
  <c r="W985" i="16"/>
  <c r="W989" i="16"/>
  <c r="W993" i="16"/>
  <c r="W997" i="16"/>
  <c r="W1001" i="16"/>
  <c r="W1005" i="16"/>
  <c r="W1009" i="16"/>
  <c r="W1013" i="16"/>
  <c r="W1017" i="16"/>
  <c r="W1021" i="16"/>
  <c r="W1025" i="16"/>
  <c r="W1029" i="16"/>
  <c r="W1033" i="16"/>
  <c r="W1037" i="16"/>
  <c r="W1041" i="16"/>
  <c r="W1045" i="16"/>
  <c r="W1049" i="16"/>
  <c r="W1053" i="16"/>
  <c r="W1057" i="16"/>
  <c r="W1061" i="16"/>
  <c r="W1065" i="16"/>
  <c r="W1069" i="16"/>
  <c r="W1073" i="16"/>
  <c r="W1077" i="16"/>
  <c r="W1081" i="16"/>
  <c r="W1085" i="16"/>
  <c r="W1089" i="16"/>
  <c r="W1093" i="16"/>
  <c r="W1097" i="16"/>
  <c r="W1101" i="16"/>
  <c r="W1105" i="16"/>
  <c r="W1109" i="16"/>
  <c r="W1113" i="16"/>
  <c r="W1117" i="16"/>
  <c r="W1121" i="16"/>
  <c r="W1125" i="16"/>
  <c r="W1129" i="16"/>
  <c r="W1133" i="16"/>
  <c r="W1137" i="16"/>
  <c r="W1141" i="16"/>
  <c r="W1145" i="16"/>
  <c r="W1149" i="16"/>
  <c r="W1153" i="16"/>
  <c r="W1157" i="16"/>
  <c r="W1161" i="16"/>
  <c r="W1165" i="16"/>
  <c r="W1169" i="16"/>
  <c r="W1173" i="16"/>
  <c r="W1177" i="16"/>
  <c r="W1181" i="16"/>
  <c r="W1185" i="16"/>
  <c r="W1189" i="16"/>
  <c r="W1193" i="16"/>
  <c r="W1197" i="16"/>
  <c r="W1201" i="16"/>
  <c r="W1205" i="16"/>
  <c r="W1209" i="16"/>
  <c r="W1213" i="16"/>
  <c r="W1217" i="16"/>
  <c r="W1221" i="16"/>
  <c r="W1225" i="16"/>
  <c r="W1229" i="16"/>
  <c r="W1233" i="16"/>
  <c r="W527" i="16"/>
  <c r="W567" i="16"/>
  <c r="W587" i="16"/>
  <c r="W603" i="16"/>
  <c r="W619" i="16"/>
  <c r="W635" i="16"/>
  <c r="W651" i="16"/>
  <c r="W667" i="16"/>
  <c r="W683" i="16"/>
  <c r="W699" i="16"/>
  <c r="W715" i="16"/>
  <c r="W731" i="16"/>
  <c r="W747" i="16"/>
  <c r="W763" i="16"/>
  <c r="W779" i="16"/>
  <c r="W795" i="16"/>
  <c r="W811" i="16"/>
  <c r="W827" i="16"/>
  <c r="W843" i="16"/>
  <c r="W859" i="16"/>
  <c r="W875" i="16"/>
  <c r="W891" i="16"/>
  <c r="W907" i="16"/>
  <c r="W923" i="16"/>
  <c r="W939" i="16"/>
  <c r="W955" i="16"/>
  <c r="W971" i="16"/>
  <c r="W987" i="16"/>
  <c r="W1003" i="16"/>
  <c r="W1019" i="16"/>
  <c r="W1035" i="16"/>
  <c r="W1051" i="16"/>
  <c r="W1067" i="16"/>
  <c r="W1083" i="16"/>
  <c r="W1099" i="16"/>
  <c r="W1111" i="16"/>
  <c r="W1119" i="16"/>
  <c r="W1127" i="16"/>
  <c r="W1135" i="16"/>
  <c r="W1143" i="16"/>
  <c r="W1151" i="16"/>
  <c r="W1159" i="16"/>
  <c r="W1167" i="16"/>
  <c r="W1175" i="16"/>
  <c r="W1183" i="16"/>
  <c r="W1191" i="16"/>
  <c r="W1198" i="16"/>
  <c r="W1203" i="16"/>
  <c r="W1208" i="16"/>
  <c r="W1214" i="16"/>
  <c r="W1219" i="16"/>
  <c r="W1224" i="16"/>
  <c r="W1230" i="16"/>
  <c r="W1235" i="16"/>
  <c r="W1239" i="16"/>
  <c r="W1243" i="16"/>
  <c r="W1247" i="16"/>
  <c r="W1251" i="16"/>
  <c r="W1255" i="16"/>
  <c r="W1259" i="16"/>
  <c r="W1263" i="16"/>
  <c r="W1267" i="16"/>
  <c r="W1271" i="16"/>
  <c r="W1275" i="16"/>
  <c r="W1279" i="16"/>
  <c r="W1283" i="16"/>
  <c r="W1287" i="16"/>
  <c r="W1291" i="16"/>
  <c r="W1295" i="16"/>
  <c r="W1299" i="16"/>
  <c r="W1303" i="16"/>
  <c r="W1307" i="16"/>
  <c r="W1311" i="16"/>
  <c r="W1315" i="16"/>
  <c r="W1319" i="16"/>
  <c r="W1323" i="16"/>
  <c r="W1327" i="16"/>
  <c r="W1331" i="16"/>
  <c r="W543" i="16"/>
  <c r="W575" i="16"/>
  <c r="W591" i="16"/>
  <c r="W607" i="16"/>
  <c r="W623" i="16"/>
  <c r="W639" i="16"/>
  <c r="W655" i="16"/>
  <c r="W671" i="16"/>
  <c r="W687" i="16"/>
  <c r="W703" i="16"/>
  <c r="W719" i="16"/>
  <c r="W735" i="16"/>
  <c r="W751" i="16"/>
  <c r="W767" i="16"/>
  <c r="W783" i="16"/>
  <c r="W799" i="16"/>
  <c r="W815" i="16"/>
  <c r="W831" i="16"/>
  <c r="W847" i="16"/>
  <c r="W863" i="16"/>
  <c r="W879" i="16"/>
  <c r="W895" i="16"/>
  <c r="W911" i="16"/>
  <c r="W927" i="16"/>
  <c r="W943" i="16"/>
  <c r="W959" i="16"/>
  <c r="W975" i="16"/>
  <c r="W991" i="16"/>
  <c r="W1007" i="16"/>
  <c r="W1023" i="16"/>
  <c r="W1039" i="16"/>
  <c r="W1055" i="16"/>
  <c r="W1071" i="16"/>
  <c r="W1087" i="16"/>
  <c r="W1103" i="16"/>
  <c r="W1112" i="16"/>
  <c r="W1120" i="16"/>
  <c r="W1128" i="16"/>
  <c r="W1136" i="16"/>
  <c r="W1144" i="16"/>
  <c r="W1152" i="16"/>
  <c r="W1160" i="16"/>
  <c r="W1168" i="16"/>
  <c r="W1176" i="16"/>
  <c r="W1184" i="16"/>
  <c r="W1192" i="16"/>
  <c r="W1199" i="16"/>
  <c r="W1204" i="16"/>
  <c r="W1210" i="16"/>
  <c r="W1215" i="16"/>
  <c r="W1220" i="16"/>
  <c r="W1226" i="16"/>
  <c r="W1231" i="16"/>
  <c r="W1236" i="16"/>
  <c r="W1240" i="16"/>
  <c r="W1244" i="16"/>
  <c r="W1248" i="16"/>
  <c r="W1252" i="16"/>
  <c r="W1256" i="16"/>
  <c r="W1260" i="16"/>
  <c r="W1264" i="16"/>
  <c r="W1268" i="16"/>
  <c r="W1272" i="16"/>
  <c r="W1276" i="16"/>
  <c r="W1280" i="16"/>
  <c r="W1284" i="16"/>
  <c r="W1288" i="16"/>
  <c r="W1292" i="16"/>
  <c r="W1296" i="16"/>
  <c r="W1300" i="16"/>
  <c r="W1304" i="16"/>
  <c r="W1308" i="16"/>
  <c r="W1312" i="16"/>
  <c r="W1316" i="16"/>
  <c r="W1320" i="16"/>
  <c r="W1324" i="16"/>
  <c r="W1328" i="16"/>
  <c r="W551" i="16"/>
  <c r="W579" i="16"/>
  <c r="W595" i="16"/>
  <c r="W611" i="16"/>
  <c r="W627" i="16"/>
  <c r="W643" i="16"/>
  <c r="W659" i="16"/>
  <c r="W675" i="16"/>
  <c r="W691" i="16"/>
  <c r="W707" i="16"/>
  <c r="W723" i="16"/>
  <c r="W739" i="16"/>
  <c r="W755" i="16"/>
  <c r="W771" i="16"/>
  <c r="W787" i="16"/>
  <c r="W803" i="16"/>
  <c r="W819" i="16"/>
  <c r="W835" i="16"/>
  <c r="W851" i="16"/>
  <c r="W867" i="16"/>
  <c r="W883" i="16"/>
  <c r="W899" i="16"/>
  <c r="W915" i="16"/>
  <c r="W931" i="16"/>
  <c r="W947" i="16"/>
  <c r="W963" i="16"/>
  <c r="W979" i="16"/>
  <c r="W995" i="16"/>
  <c r="W1011" i="16"/>
  <c r="W1027" i="16"/>
  <c r="W1043" i="16"/>
  <c r="W1059" i="16"/>
  <c r="W1075" i="16"/>
  <c r="W1091" i="16"/>
  <c r="W1107" i="16"/>
  <c r="W1115" i="16"/>
  <c r="W1123" i="16"/>
  <c r="W1131" i="16"/>
  <c r="W1139" i="16"/>
  <c r="W1147" i="16"/>
  <c r="W1155" i="16"/>
  <c r="W1163" i="16"/>
  <c r="W1171" i="16"/>
  <c r="W1179" i="16"/>
  <c r="W1187" i="16"/>
  <c r="W1195" i="16"/>
  <c r="W1200" i="16"/>
  <c r="W1206" i="16"/>
  <c r="W1211" i="16"/>
  <c r="W1216" i="16"/>
  <c r="W1222" i="16"/>
  <c r="W1227" i="16"/>
  <c r="W1232" i="16"/>
  <c r="W1237" i="16"/>
  <c r="W1241" i="16"/>
  <c r="W1245" i="16"/>
  <c r="W1249" i="16"/>
  <c r="W1253" i="16"/>
  <c r="W1257" i="16"/>
  <c r="W1261" i="16"/>
  <c r="W1265" i="16"/>
  <c r="W1269" i="16"/>
  <c r="W1273" i="16"/>
  <c r="W1277" i="16"/>
  <c r="W1281" i="16"/>
  <c r="W1285" i="16"/>
  <c r="W1289" i="16"/>
  <c r="W1293" i="16"/>
  <c r="W1297" i="16"/>
  <c r="W1301" i="16"/>
  <c r="W1305" i="16"/>
  <c r="W1309" i="16"/>
  <c r="W1313" i="16"/>
  <c r="W1317" i="16"/>
  <c r="W1321" i="16"/>
  <c r="W1325" i="16"/>
  <c r="W1329" i="16"/>
  <c r="W559" i="16"/>
  <c r="W631" i="16"/>
  <c r="W695" i="16"/>
  <c r="W759" i="16"/>
  <c r="W823" i="16"/>
  <c r="W887" i="16"/>
  <c r="W951" i="16"/>
  <c r="W1015" i="16"/>
  <c r="W1079" i="16"/>
  <c r="W1124" i="16"/>
  <c r="W1156" i="16"/>
  <c r="W1188" i="16"/>
  <c r="W1212" i="16"/>
  <c r="W1234" i="16"/>
  <c r="W1250" i="16"/>
  <c r="W1266" i="16"/>
  <c r="W1282" i="16"/>
  <c r="W1298" i="16"/>
  <c r="W1314" i="16"/>
  <c r="W1330" i="16"/>
  <c r="W583" i="16"/>
  <c r="W647" i="16"/>
  <c r="W711" i="16"/>
  <c r="W775" i="16"/>
  <c r="W839" i="16"/>
  <c r="W903" i="16"/>
  <c r="W967" i="16"/>
  <c r="W1031" i="16"/>
  <c r="W1095" i="16"/>
  <c r="W1132" i="16"/>
  <c r="W1164" i="16"/>
  <c r="W1196" i="16"/>
  <c r="W1218" i="16"/>
  <c r="W1238" i="16"/>
  <c r="W1254" i="16"/>
  <c r="W1270" i="16"/>
  <c r="W1286" i="16"/>
  <c r="W1302" i="16"/>
  <c r="W1318" i="16"/>
  <c r="W599" i="16"/>
  <c r="W663" i="16"/>
  <c r="W727" i="16"/>
  <c r="W791" i="16"/>
  <c r="W855" i="16"/>
  <c r="W919" i="16"/>
  <c r="W983" i="16"/>
  <c r="W1047" i="16"/>
  <c r="W1108" i="16"/>
  <c r="W1140" i="16"/>
  <c r="W1172" i="16"/>
  <c r="W1202" i="16"/>
  <c r="W1223" i="16"/>
  <c r="W1242" i="16"/>
  <c r="W1258" i="16"/>
  <c r="W1274" i="16"/>
  <c r="W1290" i="16"/>
  <c r="W1306" i="16"/>
  <c r="W1322" i="16"/>
  <c r="W615" i="16"/>
  <c r="W679" i="16"/>
  <c r="W743" i="16"/>
  <c r="W807" i="16"/>
  <c r="W871" i="16"/>
  <c r="W935" i="16"/>
  <c r="W999" i="16"/>
  <c r="W1063" i="16"/>
  <c r="W1116" i="16"/>
  <c r="W1148" i="16"/>
  <c r="W1180" i="16"/>
  <c r="W1207" i="16"/>
  <c r="W1228" i="16"/>
  <c r="W1246" i="16"/>
  <c r="W1262" i="16"/>
  <c r="W1278" i="16"/>
  <c r="W1294" i="16"/>
  <c r="W1310" i="16"/>
  <c r="W1326" i="16"/>
  <c r="O3" i="16"/>
  <c r="O7" i="16"/>
  <c r="O11" i="16"/>
  <c r="O15" i="16"/>
  <c r="O19" i="16"/>
  <c r="O23" i="16"/>
  <c r="O27" i="16"/>
  <c r="O31" i="16"/>
  <c r="O35" i="16"/>
  <c r="O39" i="16"/>
  <c r="O4" i="16"/>
  <c r="O8" i="16"/>
  <c r="O12" i="16"/>
  <c r="O16" i="16"/>
  <c r="O20" i="16"/>
  <c r="O24" i="16"/>
  <c r="O28" i="16"/>
  <c r="O32" i="16"/>
  <c r="O36" i="16"/>
  <c r="O40" i="16"/>
  <c r="O44" i="16"/>
  <c r="O48" i="16"/>
  <c r="O52" i="16"/>
  <c r="O56" i="16"/>
  <c r="O60" i="16"/>
  <c r="O64" i="16"/>
  <c r="O68" i="16"/>
  <c r="O72" i="16"/>
  <c r="O76" i="16"/>
  <c r="O80" i="16"/>
  <c r="O84" i="16"/>
  <c r="O88" i="16"/>
  <c r="O92" i="16"/>
  <c r="O96" i="16"/>
  <c r="O100" i="16"/>
  <c r="O104" i="16"/>
  <c r="O108" i="16"/>
  <c r="O112" i="16"/>
  <c r="O116" i="16"/>
  <c r="O120" i="16"/>
  <c r="O124" i="16"/>
  <c r="O128" i="16"/>
  <c r="O132" i="16"/>
  <c r="O136" i="16"/>
  <c r="O140" i="16"/>
  <c r="O144" i="16"/>
  <c r="O148" i="16"/>
  <c r="O152" i="16"/>
  <c r="O156" i="16"/>
  <c r="O160" i="16"/>
  <c r="O164" i="16"/>
  <c r="O168" i="16"/>
  <c r="O172" i="16"/>
  <c r="O176" i="16"/>
  <c r="O180" i="16"/>
  <c r="O184" i="16"/>
  <c r="O188" i="16"/>
  <c r="O192" i="16"/>
  <c r="O196" i="16"/>
  <c r="O200" i="16"/>
  <c r="O204" i="16"/>
  <c r="O208" i="16"/>
  <c r="O212" i="16"/>
  <c r="O216" i="16"/>
  <c r="O220" i="16"/>
  <c r="O224" i="16"/>
  <c r="O228" i="16"/>
  <c r="O232" i="16"/>
  <c r="O236" i="16"/>
  <c r="O240" i="16"/>
  <c r="O244" i="16"/>
  <c r="O248" i="16"/>
  <c r="O252" i="16"/>
  <c r="O256" i="16"/>
  <c r="O260" i="16"/>
  <c r="O264" i="16"/>
  <c r="O268" i="16"/>
  <c r="O272" i="16"/>
  <c r="O276" i="16"/>
  <c r="O280" i="16"/>
  <c r="O6" i="16"/>
  <c r="O14" i="16"/>
  <c r="O22" i="16"/>
  <c r="O30" i="16"/>
  <c r="O38" i="16"/>
  <c r="O45" i="16"/>
  <c r="O50" i="16"/>
  <c r="O55" i="16"/>
  <c r="O61" i="16"/>
  <c r="O66" i="16"/>
  <c r="O71" i="16"/>
  <c r="O77" i="16"/>
  <c r="O82" i="16"/>
  <c r="O87" i="16"/>
  <c r="O93" i="16"/>
  <c r="O98" i="16"/>
  <c r="O103" i="16"/>
  <c r="O109" i="16"/>
  <c r="O114" i="16"/>
  <c r="O119" i="16"/>
  <c r="O125" i="16"/>
  <c r="O130" i="16"/>
  <c r="O135" i="16"/>
  <c r="O141" i="16"/>
  <c r="O146" i="16"/>
  <c r="O151" i="16"/>
  <c r="O157" i="16"/>
  <c r="O162" i="16"/>
  <c r="O167" i="16"/>
  <c r="O173" i="16"/>
  <c r="O178" i="16"/>
  <c r="O183" i="16"/>
  <c r="O189" i="16"/>
  <c r="O194" i="16"/>
  <c r="O199" i="16"/>
  <c r="O205" i="16"/>
  <c r="O210" i="16"/>
  <c r="O215" i="16"/>
  <c r="O221" i="16"/>
  <c r="O226" i="16"/>
  <c r="O231" i="16"/>
  <c r="O237" i="16"/>
  <c r="O242" i="16"/>
  <c r="O247" i="16"/>
  <c r="O253" i="16"/>
  <c r="O258" i="16"/>
  <c r="O263" i="16"/>
  <c r="O269" i="16"/>
  <c r="O274" i="16"/>
  <c r="O279" i="16"/>
  <c r="O284" i="16"/>
  <c r="O288" i="16"/>
  <c r="O292" i="16"/>
  <c r="O296" i="16"/>
  <c r="O300" i="16"/>
  <c r="O304" i="16"/>
  <c r="O308" i="16"/>
  <c r="O312" i="16"/>
  <c r="O316" i="16"/>
  <c r="O320" i="16"/>
  <c r="O324" i="16"/>
  <c r="O328" i="16"/>
  <c r="O332" i="16"/>
  <c r="O336" i="16"/>
  <c r="O340" i="16"/>
  <c r="O344" i="16"/>
  <c r="O348" i="16"/>
  <c r="O352" i="16"/>
  <c r="O356" i="16"/>
  <c r="O360" i="16"/>
  <c r="O364" i="16"/>
  <c r="O368" i="16"/>
  <c r="O372" i="16"/>
  <c r="O376" i="16"/>
  <c r="O380" i="16"/>
  <c r="O384" i="16"/>
  <c r="O388" i="16"/>
  <c r="O392" i="16"/>
  <c r="O396" i="16"/>
  <c r="O400" i="16"/>
  <c r="O404" i="16"/>
  <c r="O408" i="16"/>
  <c r="O412" i="16"/>
  <c r="O416" i="16"/>
  <c r="O420" i="16"/>
  <c r="O424" i="16"/>
  <c r="O428" i="16"/>
  <c r="O432" i="16"/>
  <c r="O436" i="16"/>
  <c r="O440" i="16"/>
  <c r="O444" i="16"/>
  <c r="O448" i="16"/>
  <c r="O452" i="16"/>
  <c r="O456" i="16"/>
  <c r="O460" i="16"/>
  <c r="O464" i="16"/>
  <c r="O468" i="16"/>
  <c r="O472" i="16"/>
  <c r="O476" i="16"/>
  <c r="O480" i="16"/>
  <c r="O484" i="16"/>
  <c r="O488" i="16"/>
  <c r="O492" i="16"/>
  <c r="O496" i="16"/>
  <c r="O500" i="16"/>
  <c r="O504" i="16"/>
  <c r="O508" i="16"/>
  <c r="O512" i="16"/>
  <c r="O516" i="16"/>
  <c r="O520" i="16"/>
  <c r="O524" i="16"/>
  <c r="O528" i="16"/>
  <c r="O532" i="16"/>
  <c r="O536" i="16"/>
  <c r="O540" i="16"/>
  <c r="O544" i="16"/>
  <c r="O548" i="16"/>
  <c r="O552" i="16"/>
  <c r="O556" i="16"/>
  <c r="O560" i="16"/>
  <c r="O564" i="16"/>
  <c r="O568" i="16"/>
  <c r="O572" i="16"/>
  <c r="O576" i="16"/>
  <c r="O580" i="16"/>
  <c r="O584" i="16"/>
  <c r="O588" i="16"/>
  <c r="O592" i="16"/>
  <c r="O596" i="16"/>
  <c r="O600" i="16"/>
  <c r="O604" i="16"/>
  <c r="O608" i="16"/>
  <c r="O612" i="16"/>
  <c r="O616" i="16"/>
  <c r="O620" i="16"/>
  <c r="O624" i="16"/>
  <c r="O628" i="16"/>
  <c r="O632" i="16"/>
  <c r="O636" i="16"/>
  <c r="O640" i="16"/>
  <c r="O644" i="16"/>
  <c r="O648" i="16"/>
  <c r="O652" i="16"/>
  <c r="O656" i="16"/>
  <c r="O660" i="16"/>
  <c r="O664" i="16"/>
  <c r="O668" i="16"/>
  <c r="O672" i="16"/>
  <c r="O676" i="16"/>
  <c r="O680" i="16"/>
  <c r="O684" i="16"/>
  <c r="O688" i="16"/>
  <c r="O692" i="16"/>
  <c r="O696" i="16"/>
  <c r="O700" i="16"/>
  <c r="O704" i="16"/>
  <c r="O708" i="16"/>
  <c r="O712" i="16"/>
  <c r="O716" i="16"/>
  <c r="O720" i="16"/>
  <c r="O724" i="16"/>
  <c r="O728" i="16"/>
  <c r="O732" i="16"/>
  <c r="O736" i="16"/>
  <c r="O740" i="16"/>
  <c r="O744" i="16"/>
  <c r="O748" i="16"/>
  <c r="O752" i="16"/>
  <c r="O756" i="16"/>
  <c r="O760" i="16"/>
  <c r="O764" i="16"/>
  <c r="O768" i="16"/>
  <c r="O772" i="16"/>
  <c r="O776" i="16"/>
  <c r="O780" i="16"/>
  <c r="O784" i="16"/>
  <c r="O788" i="16"/>
  <c r="O792" i="16"/>
  <c r="O796" i="16"/>
  <c r="O800" i="16"/>
  <c r="O804" i="16"/>
  <c r="O808" i="16"/>
  <c r="O812" i="16"/>
  <c r="O816" i="16"/>
  <c r="O820" i="16"/>
  <c r="O824" i="16"/>
  <c r="O828" i="16"/>
  <c r="O832" i="16"/>
  <c r="O836" i="16"/>
  <c r="O840" i="16"/>
  <c r="O844" i="16"/>
  <c r="O848" i="16"/>
  <c r="O852" i="16"/>
  <c r="O856" i="16"/>
  <c r="O860" i="16"/>
  <c r="O864" i="16"/>
  <c r="O868" i="16"/>
  <c r="O872" i="16"/>
  <c r="O876" i="16"/>
  <c r="O880" i="16"/>
  <c r="O884" i="16"/>
  <c r="O888" i="16"/>
  <c r="O892" i="16"/>
  <c r="O896" i="16"/>
  <c r="O900" i="16"/>
  <c r="O904" i="16"/>
  <c r="O908" i="16"/>
  <c r="O912" i="16"/>
  <c r="O916" i="16"/>
  <c r="O920" i="16"/>
  <c r="O924" i="16"/>
  <c r="O928" i="16"/>
  <c r="O932" i="16"/>
  <c r="O936" i="16"/>
  <c r="O940" i="16"/>
  <c r="O944" i="16"/>
  <c r="O948" i="16"/>
  <c r="O952" i="16"/>
  <c r="O956" i="16"/>
  <c r="O960" i="16"/>
  <c r="O964" i="16"/>
  <c r="O968" i="16"/>
  <c r="O972" i="16"/>
  <c r="O976" i="16"/>
  <c r="O980" i="16"/>
  <c r="O984" i="16"/>
  <c r="O988" i="16"/>
  <c r="O992" i="16"/>
  <c r="O996" i="16"/>
  <c r="O1000" i="16"/>
  <c r="O1004" i="16"/>
  <c r="O1008" i="16"/>
  <c r="O1012" i="16"/>
  <c r="O1016" i="16"/>
  <c r="O1020" i="16"/>
  <c r="O1024" i="16"/>
  <c r="O1028" i="16"/>
  <c r="O1032" i="16"/>
  <c r="O1036" i="16"/>
  <c r="O1040" i="16"/>
  <c r="O1044" i="16"/>
  <c r="O1048" i="16"/>
  <c r="O1052" i="16"/>
  <c r="O1056" i="16"/>
  <c r="O1060" i="16"/>
  <c r="O1064" i="16"/>
  <c r="O1068" i="16"/>
  <c r="O1072" i="16"/>
  <c r="O1076" i="16"/>
  <c r="O1080" i="16"/>
  <c r="O1084" i="16"/>
  <c r="O1088" i="16"/>
  <c r="O1092" i="16"/>
  <c r="O1096" i="16"/>
  <c r="O1100" i="16"/>
  <c r="O1104" i="16"/>
  <c r="O1108" i="16"/>
  <c r="O1112" i="16"/>
  <c r="O1116" i="16"/>
  <c r="O1120" i="16"/>
  <c r="O1124" i="16"/>
  <c r="O1128" i="16"/>
  <c r="O1132" i="16"/>
  <c r="O1136" i="16"/>
  <c r="O1140" i="16"/>
  <c r="O1144" i="16"/>
  <c r="O1148" i="16"/>
  <c r="O1152" i="16"/>
  <c r="O1156" i="16"/>
  <c r="O1160" i="16"/>
  <c r="O1164" i="16"/>
  <c r="O1168" i="16"/>
  <c r="O1172" i="16"/>
  <c r="O1176" i="16"/>
  <c r="O1180" i="16"/>
  <c r="O1184" i="16"/>
  <c r="O1188" i="16"/>
  <c r="O1192" i="16"/>
  <c r="O1196" i="16"/>
  <c r="O1200" i="16"/>
  <c r="O1204" i="16"/>
  <c r="O1208" i="16"/>
  <c r="O1212" i="16"/>
  <c r="O1216" i="16"/>
  <c r="O1220" i="16"/>
  <c r="O1224" i="16"/>
  <c r="O1228" i="16"/>
  <c r="O1232" i="16"/>
  <c r="O1236" i="16"/>
  <c r="O1240" i="16"/>
  <c r="O1244" i="16"/>
  <c r="O1248" i="16"/>
  <c r="O1252" i="16"/>
  <c r="O1256" i="16"/>
  <c r="O1260" i="16"/>
  <c r="O1264" i="16"/>
  <c r="O1268" i="16"/>
  <c r="O1272" i="16"/>
  <c r="O1276" i="16"/>
  <c r="O1280" i="16"/>
  <c r="O1284" i="16"/>
  <c r="O1288" i="16"/>
  <c r="O1292" i="16"/>
  <c r="O1296" i="16"/>
  <c r="O1300" i="16"/>
  <c r="O1304" i="16"/>
  <c r="O1308" i="16"/>
  <c r="O1312" i="16"/>
  <c r="O1316" i="16"/>
  <c r="O1320" i="16"/>
  <c r="O1324" i="16"/>
  <c r="O1328" i="16"/>
  <c r="O9" i="16"/>
  <c r="O17" i="16"/>
  <c r="O25" i="16"/>
  <c r="O33" i="16"/>
  <c r="O41" i="16"/>
  <c r="O46" i="16"/>
  <c r="O51" i="16"/>
  <c r="O57" i="16"/>
  <c r="O62" i="16"/>
  <c r="O67" i="16"/>
  <c r="O73" i="16"/>
  <c r="O78" i="16"/>
  <c r="O83" i="16"/>
  <c r="O89" i="16"/>
  <c r="O94" i="16"/>
  <c r="O99" i="16"/>
  <c r="O105" i="16"/>
  <c r="O110" i="16"/>
  <c r="O115" i="16"/>
  <c r="O121" i="16"/>
  <c r="O126" i="16"/>
  <c r="O131" i="16"/>
  <c r="O137" i="16"/>
  <c r="O142" i="16"/>
  <c r="O147" i="16"/>
  <c r="O153" i="16"/>
  <c r="O158" i="16"/>
  <c r="O163" i="16"/>
  <c r="O169" i="16"/>
  <c r="O174" i="16"/>
  <c r="O179" i="16"/>
  <c r="O185" i="16"/>
  <c r="O190" i="16"/>
  <c r="O195" i="16"/>
  <c r="O201" i="16"/>
  <c r="O206" i="16"/>
  <c r="O211" i="16"/>
  <c r="O217" i="16"/>
  <c r="O222" i="16"/>
  <c r="O227" i="16"/>
  <c r="O233" i="16"/>
  <c r="O238" i="16"/>
  <c r="O243" i="16"/>
  <c r="O249" i="16"/>
  <c r="O254" i="16"/>
  <c r="O259" i="16"/>
  <c r="O265" i="16"/>
  <c r="O270" i="16"/>
  <c r="O275" i="16"/>
  <c r="O281" i="16"/>
  <c r="O285" i="16"/>
  <c r="O289" i="16"/>
  <c r="O293" i="16"/>
  <c r="O297" i="16"/>
  <c r="O301" i="16"/>
  <c r="O305" i="16"/>
  <c r="O309" i="16"/>
  <c r="O313" i="16"/>
  <c r="O317" i="16"/>
  <c r="O321" i="16"/>
  <c r="O325" i="16"/>
  <c r="O329" i="16"/>
  <c r="O333" i="16"/>
  <c r="O337" i="16"/>
  <c r="O341" i="16"/>
  <c r="O345" i="16"/>
  <c r="O349" i="16"/>
  <c r="O353" i="16"/>
  <c r="O357" i="16"/>
  <c r="O361" i="16"/>
  <c r="O365" i="16"/>
  <c r="O369" i="16"/>
  <c r="O373" i="16"/>
  <c r="O377" i="16"/>
  <c r="O381" i="16"/>
  <c r="O385" i="16"/>
  <c r="O389" i="16"/>
  <c r="O393" i="16"/>
  <c r="O397" i="16"/>
  <c r="O401" i="16"/>
  <c r="O405" i="16"/>
  <c r="O409" i="16"/>
  <c r="O413" i="16"/>
  <c r="O417" i="16"/>
  <c r="O421" i="16"/>
  <c r="O425" i="16"/>
  <c r="O429" i="16"/>
  <c r="O433" i="16"/>
  <c r="O437" i="16"/>
  <c r="O441" i="16"/>
  <c r="O445" i="16"/>
  <c r="O449" i="16"/>
  <c r="O453" i="16"/>
  <c r="O457" i="16"/>
  <c r="O461" i="16"/>
  <c r="O465" i="16"/>
  <c r="O469" i="16"/>
  <c r="O473" i="16"/>
  <c r="O477" i="16"/>
  <c r="O481" i="16"/>
  <c r="O485" i="16"/>
  <c r="O489" i="16"/>
  <c r="O493" i="16"/>
  <c r="O497" i="16"/>
  <c r="O501" i="16"/>
  <c r="O505" i="16"/>
  <c r="O509" i="16"/>
  <c r="O513" i="16"/>
  <c r="O517" i="16"/>
  <c r="O521" i="16"/>
  <c r="O525" i="16"/>
  <c r="O529" i="16"/>
  <c r="O533" i="16"/>
  <c r="O537" i="16"/>
  <c r="O541" i="16"/>
  <c r="O545" i="16"/>
  <c r="O549" i="16"/>
  <c r="O553" i="16"/>
  <c r="O557" i="16"/>
  <c r="O561" i="16"/>
  <c r="O565" i="16"/>
  <c r="O569" i="16"/>
  <c r="O573" i="16"/>
  <c r="O577" i="16"/>
  <c r="O581" i="16"/>
  <c r="O585" i="16"/>
  <c r="O589" i="16"/>
  <c r="O593" i="16"/>
  <c r="O597" i="16"/>
  <c r="O601" i="16"/>
  <c r="O605" i="16"/>
  <c r="O609" i="16"/>
  <c r="O613" i="16"/>
  <c r="O617" i="16"/>
  <c r="O621" i="16"/>
  <c r="O625" i="16"/>
  <c r="O629" i="16"/>
  <c r="O633" i="16"/>
  <c r="O637" i="16"/>
  <c r="O641" i="16"/>
  <c r="O645" i="16"/>
  <c r="O649" i="16"/>
  <c r="O653" i="16"/>
  <c r="O657" i="16"/>
  <c r="O661" i="16"/>
  <c r="O665" i="16"/>
  <c r="O669" i="16"/>
  <c r="O673" i="16"/>
  <c r="O677" i="16"/>
  <c r="O681" i="16"/>
  <c r="O685" i="16"/>
  <c r="O689" i="16"/>
  <c r="O693" i="16"/>
  <c r="O697" i="16"/>
  <c r="O701" i="16"/>
  <c r="O705" i="16"/>
  <c r="O709" i="16"/>
  <c r="O713" i="16"/>
  <c r="O717" i="16"/>
  <c r="O721" i="16"/>
  <c r="O725" i="16"/>
  <c r="O729" i="16"/>
  <c r="O733" i="16"/>
  <c r="O737" i="16"/>
  <c r="O741" i="16"/>
  <c r="O745" i="16"/>
  <c r="O749" i="16"/>
  <c r="O753" i="16"/>
  <c r="O757" i="16"/>
  <c r="O761" i="16"/>
  <c r="O765" i="16"/>
  <c r="O769" i="16"/>
  <c r="O773" i="16"/>
  <c r="O777" i="16"/>
  <c r="O781" i="16"/>
  <c r="O785" i="16"/>
  <c r="O789" i="16"/>
  <c r="O793" i="16"/>
  <c r="O797" i="16"/>
  <c r="O801" i="16"/>
  <c r="O805" i="16"/>
  <c r="O809" i="16"/>
  <c r="O813" i="16"/>
  <c r="O817" i="16"/>
  <c r="O821" i="16"/>
  <c r="O825" i="16"/>
  <c r="O829" i="16"/>
  <c r="O833" i="16"/>
  <c r="O837" i="16"/>
  <c r="O841" i="16"/>
  <c r="O845" i="16"/>
  <c r="O849" i="16"/>
  <c r="O853" i="16"/>
  <c r="O857" i="16"/>
  <c r="O861" i="16"/>
  <c r="O865" i="16"/>
  <c r="O869" i="16"/>
  <c r="O873" i="16"/>
  <c r="O877" i="16"/>
  <c r="O881" i="16"/>
  <c r="O885" i="16"/>
  <c r="O889" i="16"/>
  <c r="O893" i="16"/>
  <c r="O897" i="16"/>
  <c r="O901" i="16"/>
  <c r="O905" i="16"/>
  <c r="O909" i="16"/>
  <c r="O913" i="16"/>
  <c r="O917" i="16"/>
  <c r="O921" i="16"/>
  <c r="O925" i="16"/>
  <c r="O929" i="16"/>
  <c r="O933" i="16"/>
  <c r="O937" i="16"/>
  <c r="O941" i="16"/>
  <c r="O945" i="16"/>
  <c r="O949" i="16"/>
  <c r="O953" i="16"/>
  <c r="O957" i="16"/>
  <c r="O961" i="16"/>
  <c r="O965" i="16"/>
  <c r="O969" i="16"/>
  <c r="O973" i="16"/>
  <c r="O977" i="16"/>
  <c r="O981" i="16"/>
  <c r="O985" i="16"/>
  <c r="O989" i="16"/>
  <c r="O993" i="16"/>
  <c r="O997" i="16"/>
  <c r="O1001" i="16"/>
  <c r="O1005" i="16"/>
  <c r="O1009" i="16"/>
  <c r="O1013" i="16"/>
  <c r="O1017" i="16"/>
  <c r="O1021" i="16"/>
  <c r="O1025" i="16"/>
  <c r="O1029" i="16"/>
  <c r="O1033" i="16"/>
  <c r="O1037" i="16"/>
  <c r="O1041" i="16"/>
  <c r="O1045" i="16"/>
  <c r="O1049" i="16"/>
  <c r="O1053" i="16"/>
  <c r="O1057" i="16"/>
  <c r="O1061" i="16"/>
  <c r="O1065" i="16"/>
  <c r="O1069" i="16"/>
  <c r="O1073" i="16"/>
  <c r="O1077" i="16"/>
  <c r="O1081" i="16"/>
  <c r="O1085" i="16"/>
  <c r="O1089" i="16"/>
  <c r="O1093" i="16"/>
  <c r="O1097" i="16"/>
  <c r="O1101" i="16"/>
  <c r="O1105" i="16"/>
  <c r="O1109" i="16"/>
  <c r="O1113" i="16"/>
  <c r="O1117" i="16"/>
  <c r="O1121" i="16"/>
  <c r="O1125" i="16"/>
  <c r="O1129" i="16"/>
  <c r="O1133" i="16"/>
  <c r="O1137" i="16"/>
  <c r="O1141" i="16"/>
  <c r="O1145" i="16"/>
  <c r="O1149" i="16"/>
  <c r="O1153" i="16"/>
  <c r="O1157" i="16"/>
  <c r="O1161" i="16"/>
  <c r="O1165" i="16"/>
  <c r="O1169" i="16"/>
  <c r="O1173" i="16"/>
  <c r="O1177" i="16"/>
  <c r="O1181" i="16"/>
  <c r="O1185" i="16"/>
  <c r="O1189" i="16"/>
  <c r="O1193" i="16"/>
  <c r="O1197" i="16"/>
  <c r="O1201" i="16"/>
  <c r="O1205" i="16"/>
  <c r="O1209" i="16"/>
  <c r="O1213" i="16"/>
  <c r="O1217" i="16"/>
  <c r="O1221" i="16"/>
  <c r="O1225" i="16"/>
  <c r="O1229" i="16"/>
  <c r="O1233" i="16"/>
  <c r="O1237" i="16"/>
  <c r="O1241" i="16"/>
  <c r="O1245" i="16"/>
  <c r="O1249" i="16"/>
  <c r="O1253" i="16"/>
  <c r="O1257" i="16"/>
  <c r="O1261" i="16"/>
  <c r="O1265" i="16"/>
  <c r="O1269" i="16"/>
  <c r="O1273" i="16"/>
  <c r="O1277" i="16"/>
  <c r="O1281" i="16"/>
  <c r="O1285" i="16"/>
  <c r="O1289" i="16"/>
  <c r="O1293" i="16"/>
  <c r="O1297" i="16"/>
  <c r="O1301" i="16"/>
  <c r="O1305" i="16"/>
  <c r="O1309" i="16"/>
  <c r="O1313" i="16"/>
  <c r="O1317" i="16"/>
  <c r="O1321" i="16"/>
  <c r="O1325" i="16"/>
  <c r="O1329" i="16"/>
  <c r="O2" i="16"/>
  <c r="O10" i="16"/>
  <c r="O18" i="16"/>
  <c r="O26" i="16"/>
  <c r="O34" i="16"/>
  <c r="O42" i="16"/>
  <c r="O47" i="16"/>
  <c r="O53" i="16"/>
  <c r="O58" i="16"/>
  <c r="O63" i="16"/>
  <c r="O69" i="16"/>
  <c r="O74" i="16"/>
  <c r="O79" i="16"/>
  <c r="O85" i="16"/>
  <c r="O90" i="16"/>
  <c r="O95" i="16"/>
  <c r="O101" i="16"/>
  <c r="O106" i="16"/>
  <c r="O111" i="16"/>
  <c r="O117" i="16"/>
  <c r="O122" i="16"/>
  <c r="O127" i="16"/>
  <c r="O133" i="16"/>
  <c r="O138" i="16"/>
  <c r="O143" i="16"/>
  <c r="O149" i="16"/>
  <c r="O154" i="16"/>
  <c r="O159" i="16"/>
  <c r="O165" i="16"/>
  <c r="O170" i="16"/>
  <c r="O175" i="16"/>
  <c r="O181" i="16"/>
  <c r="O186" i="16"/>
  <c r="O191" i="16"/>
  <c r="O197" i="16"/>
  <c r="O202" i="16"/>
  <c r="O207" i="16"/>
  <c r="O213" i="16"/>
  <c r="O218" i="16"/>
  <c r="O223" i="16"/>
  <c r="O229" i="16"/>
  <c r="O234" i="16"/>
  <c r="O239" i="16"/>
  <c r="O245" i="16"/>
  <c r="O250" i="16"/>
  <c r="O255" i="16"/>
  <c r="O261" i="16"/>
  <c r="O266" i="16"/>
  <c r="O271" i="16"/>
  <c r="O277" i="16"/>
  <c r="O282" i="16"/>
  <c r="O286" i="16"/>
  <c r="O290" i="16"/>
  <c r="O294" i="16"/>
  <c r="O298" i="16"/>
  <c r="O302" i="16"/>
  <c r="O306" i="16"/>
  <c r="O310" i="16"/>
  <c r="O314" i="16"/>
  <c r="O318" i="16"/>
  <c r="O322" i="16"/>
  <c r="O326" i="16"/>
  <c r="O330" i="16"/>
  <c r="O334" i="16"/>
  <c r="O338" i="16"/>
  <c r="O342" i="16"/>
  <c r="O346" i="16"/>
  <c r="O350" i="16"/>
  <c r="O354" i="16"/>
  <c r="O358" i="16"/>
  <c r="O362" i="16"/>
  <c r="O366" i="16"/>
  <c r="O370" i="16"/>
  <c r="O374" i="16"/>
  <c r="O378" i="16"/>
  <c r="O382" i="16"/>
  <c r="O386" i="16"/>
  <c r="O390" i="16"/>
  <c r="O394" i="16"/>
  <c r="O398" i="16"/>
  <c r="O402" i="16"/>
  <c r="O406" i="16"/>
  <c r="O410" i="16"/>
  <c r="O414" i="16"/>
  <c r="O418" i="16"/>
  <c r="O422" i="16"/>
  <c r="O426" i="16"/>
  <c r="O430" i="16"/>
  <c r="O434" i="16"/>
  <c r="O438" i="16"/>
  <c r="O442" i="16"/>
  <c r="O446" i="16"/>
  <c r="O450" i="16"/>
  <c r="O454" i="16"/>
  <c r="O458" i="16"/>
  <c r="O462" i="16"/>
  <c r="O466" i="16"/>
  <c r="O470" i="16"/>
  <c r="O474" i="16"/>
  <c r="O478" i="16"/>
  <c r="O482" i="16"/>
  <c r="O486" i="16"/>
  <c r="O490" i="16"/>
  <c r="O494" i="16"/>
  <c r="O498" i="16"/>
  <c r="O502" i="16"/>
  <c r="O506" i="16"/>
  <c r="O510" i="16"/>
  <c r="O514" i="16"/>
  <c r="O518" i="16"/>
  <c r="O522" i="16"/>
  <c r="O526" i="16"/>
  <c r="O530" i="16"/>
  <c r="O534" i="16"/>
  <c r="O538" i="16"/>
  <c r="O542" i="16"/>
  <c r="O546" i="16"/>
  <c r="O550" i="16"/>
  <c r="O554" i="16"/>
  <c r="O558" i="16"/>
  <c r="O562" i="16"/>
  <c r="O566" i="16"/>
  <c r="O570" i="16"/>
  <c r="O574" i="16"/>
  <c r="O578" i="16"/>
  <c r="O582" i="16"/>
  <c r="O586" i="16"/>
  <c r="O590" i="16"/>
  <c r="O594" i="16"/>
  <c r="O598" i="16"/>
  <c r="O602" i="16"/>
  <c r="O606" i="16"/>
  <c r="O610" i="16"/>
  <c r="O614" i="16"/>
  <c r="O618" i="16"/>
  <c r="O622" i="16"/>
  <c r="O626" i="16"/>
  <c r="O630" i="16"/>
  <c r="O634" i="16"/>
  <c r="O638" i="16"/>
  <c r="O642" i="16"/>
  <c r="O646" i="16"/>
  <c r="O650" i="16"/>
  <c r="O654" i="16"/>
  <c r="O658" i="16"/>
  <c r="O662" i="16"/>
  <c r="O666" i="16"/>
  <c r="O670" i="16"/>
  <c r="O674" i="16"/>
  <c r="O678" i="16"/>
  <c r="O682" i="16"/>
  <c r="O686" i="16"/>
  <c r="O690" i="16"/>
  <c r="O694" i="16"/>
  <c r="O698" i="16"/>
  <c r="O702" i="16"/>
  <c r="O706" i="16"/>
  <c r="O710" i="16"/>
  <c r="O714" i="16"/>
  <c r="O718" i="16"/>
  <c r="O722" i="16"/>
  <c r="O726" i="16"/>
  <c r="O730" i="16"/>
  <c r="O734" i="16"/>
  <c r="O738" i="16"/>
  <c r="O742" i="16"/>
  <c r="O746" i="16"/>
  <c r="O750" i="16"/>
  <c r="O754" i="16"/>
  <c r="O758" i="16"/>
  <c r="O762" i="16"/>
  <c r="O766" i="16"/>
  <c r="O770" i="16"/>
  <c r="O774" i="16"/>
  <c r="O778" i="16"/>
  <c r="O782" i="16"/>
  <c r="O786" i="16"/>
  <c r="O790" i="16"/>
  <c r="O794" i="16"/>
  <c r="O798" i="16"/>
  <c r="O802" i="16"/>
  <c r="O806" i="16"/>
  <c r="O810" i="16"/>
  <c r="O814" i="16"/>
  <c r="O818" i="16"/>
  <c r="O822" i="16"/>
  <c r="O826" i="16"/>
  <c r="O830" i="16"/>
  <c r="O834" i="16"/>
  <c r="O838" i="16"/>
  <c r="O842" i="16"/>
  <c r="O846" i="16"/>
  <c r="O850" i="16"/>
  <c r="O854" i="16"/>
  <c r="O858" i="16"/>
  <c r="O862" i="16"/>
  <c r="O866" i="16"/>
  <c r="O870" i="16"/>
  <c r="O874" i="16"/>
  <c r="O878" i="16"/>
  <c r="O882" i="16"/>
  <c r="O886" i="16"/>
  <c r="O890" i="16"/>
  <c r="O894" i="16"/>
  <c r="O898" i="16"/>
  <c r="O902" i="16"/>
  <c r="O906" i="16"/>
  <c r="O910" i="16"/>
  <c r="O914" i="16"/>
  <c r="O918" i="16"/>
  <c r="O922" i="16"/>
  <c r="O926" i="16"/>
  <c r="O930" i="16"/>
  <c r="O934" i="16"/>
  <c r="O938" i="16"/>
  <c r="O942" i="16"/>
  <c r="O946" i="16"/>
  <c r="O950" i="16"/>
  <c r="O954" i="16"/>
  <c r="O958" i="16"/>
  <c r="O962" i="16"/>
  <c r="O966" i="16"/>
  <c r="O970" i="16"/>
  <c r="O974" i="16"/>
  <c r="O978" i="16"/>
  <c r="O982" i="16"/>
  <c r="O986" i="16"/>
  <c r="O990" i="16"/>
  <c r="O994" i="16"/>
  <c r="O998" i="16"/>
  <c r="O1002" i="16"/>
  <c r="O1006" i="16"/>
  <c r="O1010" i="16"/>
  <c r="O1014" i="16"/>
  <c r="O1018" i="16"/>
  <c r="O1022" i="16"/>
  <c r="O1026" i="16"/>
  <c r="O1030" i="16"/>
  <c r="O1034" i="16"/>
  <c r="O1038" i="16"/>
  <c r="O1042" i="16"/>
  <c r="O1046" i="16"/>
  <c r="O1050" i="16"/>
  <c r="O1054" i="16"/>
  <c r="O1058" i="16"/>
  <c r="O1062" i="16"/>
  <c r="O1066" i="16"/>
  <c r="O1070" i="16"/>
  <c r="O1074" i="16"/>
  <c r="O1078" i="16"/>
  <c r="O1082" i="16"/>
  <c r="O1086" i="16"/>
  <c r="O1090" i="16"/>
  <c r="O1094" i="16"/>
  <c r="O1098" i="16"/>
  <c r="O1102" i="16"/>
  <c r="O1106" i="16"/>
  <c r="O1110" i="16"/>
  <c r="O1114" i="16"/>
  <c r="O1118" i="16"/>
  <c r="O1122" i="16"/>
  <c r="O1126" i="16"/>
  <c r="O1130" i="16"/>
  <c r="O1134" i="16"/>
  <c r="O1138" i="16"/>
  <c r="O1142" i="16"/>
  <c r="O1146" i="16"/>
  <c r="O1150" i="16"/>
  <c r="O1154" i="16"/>
  <c r="O1158" i="16"/>
  <c r="O1162" i="16"/>
  <c r="O1166" i="16"/>
  <c r="O1170" i="16"/>
  <c r="O1174" i="16"/>
  <c r="O1178" i="16"/>
  <c r="O1182" i="16"/>
  <c r="O1186" i="16"/>
  <c r="O1190" i="16"/>
  <c r="O1194" i="16"/>
  <c r="O1198" i="16"/>
  <c r="O1202" i="16"/>
  <c r="O1206" i="16"/>
  <c r="O1210" i="16"/>
  <c r="O1214" i="16"/>
  <c r="O1218" i="16"/>
  <c r="O1222" i="16"/>
  <c r="O1226" i="16"/>
  <c r="O1230" i="16"/>
  <c r="O1234" i="16"/>
  <c r="O1238" i="16"/>
  <c r="O1242" i="16"/>
  <c r="O1246" i="16"/>
  <c r="O1250" i="16"/>
  <c r="O1254" i="16"/>
  <c r="O1258" i="16"/>
  <c r="O1262" i="16"/>
  <c r="O1266" i="16"/>
  <c r="O1270" i="16"/>
  <c r="O1274" i="16"/>
  <c r="O1278" i="16"/>
  <c r="O1282" i="16"/>
  <c r="O1286" i="16"/>
  <c r="O1290" i="16"/>
  <c r="O1294" i="16"/>
  <c r="O1298" i="16"/>
  <c r="O1302" i="16"/>
  <c r="O1306" i="16"/>
  <c r="O1310" i="16"/>
  <c r="O1314" i="16"/>
  <c r="O1318" i="16"/>
  <c r="O1322" i="16"/>
  <c r="O1326" i="16"/>
  <c r="O1330" i="16"/>
  <c r="O29" i="16"/>
  <c r="O54" i="16"/>
  <c r="O75" i="16"/>
  <c r="O97" i="16"/>
  <c r="O118" i="16"/>
  <c r="O139" i="16"/>
  <c r="O161" i="16"/>
  <c r="O182" i="16"/>
  <c r="O203" i="16"/>
  <c r="O225" i="16"/>
  <c r="O246" i="16"/>
  <c r="O267" i="16"/>
  <c r="O287" i="16"/>
  <c r="O303" i="16"/>
  <c r="O319" i="16"/>
  <c r="O335" i="16"/>
  <c r="O351" i="16"/>
  <c r="O367" i="16"/>
  <c r="O383" i="16"/>
  <c r="O399" i="16"/>
  <c r="O415" i="16"/>
  <c r="O431" i="16"/>
  <c r="O447" i="16"/>
  <c r="O463" i="16"/>
  <c r="O479" i="16"/>
  <c r="O495" i="16"/>
  <c r="O511" i="16"/>
  <c r="O527" i="16"/>
  <c r="O543" i="16"/>
  <c r="O559" i="16"/>
  <c r="O575" i="16"/>
  <c r="O591" i="16"/>
  <c r="O607" i="16"/>
  <c r="O623" i="16"/>
  <c r="O639" i="16"/>
  <c r="O655" i="16"/>
  <c r="O671" i="16"/>
  <c r="O687" i="16"/>
  <c r="O703" i="16"/>
  <c r="O719" i="16"/>
  <c r="O735" i="16"/>
  <c r="O751" i="16"/>
  <c r="O767" i="16"/>
  <c r="O783" i="16"/>
  <c r="O799" i="16"/>
  <c r="O815" i="16"/>
  <c r="O831" i="16"/>
  <c r="O847" i="16"/>
  <c r="O863" i="16"/>
  <c r="O879" i="16"/>
  <c r="O895" i="16"/>
  <c r="O911" i="16"/>
  <c r="O927" i="16"/>
  <c r="O943" i="16"/>
  <c r="O959" i="16"/>
  <c r="O975" i="16"/>
  <c r="O991" i="16"/>
  <c r="O1007" i="16"/>
  <c r="O1023" i="16"/>
  <c r="O1039" i="16"/>
  <c r="O1055" i="16"/>
  <c r="O1071" i="16"/>
  <c r="O1087" i="16"/>
  <c r="O1103" i="16"/>
  <c r="O1119" i="16"/>
  <c r="O1135" i="16"/>
  <c r="O1151" i="16"/>
  <c r="O1167" i="16"/>
  <c r="O1183" i="16"/>
  <c r="O1199" i="16"/>
  <c r="O1215" i="16"/>
  <c r="O1231" i="16"/>
  <c r="O1247" i="16"/>
  <c r="O1263" i="16"/>
  <c r="O1279" i="16"/>
  <c r="O1295" i="16"/>
  <c r="O1311" i="16"/>
  <c r="O1327" i="16"/>
  <c r="O443" i="16"/>
  <c r="O523" i="16"/>
  <c r="O571" i="16"/>
  <c r="O619" i="16"/>
  <c r="O667" i="16"/>
  <c r="O715" i="16"/>
  <c r="O763" i="16"/>
  <c r="O827" i="16"/>
  <c r="O875" i="16"/>
  <c r="O907" i="16"/>
  <c r="O939" i="16"/>
  <c r="O987" i="16"/>
  <c r="O1035" i="16"/>
  <c r="O1067" i="16"/>
  <c r="O1131" i="16"/>
  <c r="O1179" i="16"/>
  <c r="O1227" i="16"/>
  <c r="O1243" i="16"/>
  <c r="O1259" i="16"/>
  <c r="O1275" i="16"/>
  <c r="O1291" i="16"/>
  <c r="O5" i="16"/>
  <c r="O37" i="16"/>
  <c r="O59" i="16"/>
  <c r="O81" i="16"/>
  <c r="O102" i="16"/>
  <c r="O123" i="16"/>
  <c r="O145" i="16"/>
  <c r="O166" i="16"/>
  <c r="O187" i="16"/>
  <c r="O209" i="16"/>
  <c r="O230" i="16"/>
  <c r="O251" i="16"/>
  <c r="O273" i="16"/>
  <c r="O291" i="16"/>
  <c r="O307" i="16"/>
  <c r="O323" i="16"/>
  <c r="O339" i="16"/>
  <c r="O355" i="16"/>
  <c r="O371" i="16"/>
  <c r="O387" i="16"/>
  <c r="O403" i="16"/>
  <c r="O419" i="16"/>
  <c r="O435" i="16"/>
  <c r="O451" i="16"/>
  <c r="O467" i="16"/>
  <c r="O483" i="16"/>
  <c r="O499" i="16"/>
  <c r="O515" i="16"/>
  <c r="O531" i="16"/>
  <c r="O547" i="16"/>
  <c r="O563" i="16"/>
  <c r="O579" i="16"/>
  <c r="O595" i="16"/>
  <c r="O611" i="16"/>
  <c r="O627" i="16"/>
  <c r="O643" i="16"/>
  <c r="O659" i="16"/>
  <c r="O675" i="16"/>
  <c r="O691" i="16"/>
  <c r="O707" i="16"/>
  <c r="O723" i="16"/>
  <c r="O739" i="16"/>
  <c r="O755" i="16"/>
  <c r="O771" i="16"/>
  <c r="O787" i="16"/>
  <c r="O803" i="16"/>
  <c r="O819" i="16"/>
  <c r="O835" i="16"/>
  <c r="O851" i="16"/>
  <c r="O867" i="16"/>
  <c r="O883" i="16"/>
  <c r="O899" i="16"/>
  <c r="O915" i="16"/>
  <c r="O931" i="16"/>
  <c r="O947" i="16"/>
  <c r="O963" i="16"/>
  <c r="O979" i="16"/>
  <c r="O995" i="16"/>
  <c r="O1011" i="16"/>
  <c r="O1027" i="16"/>
  <c r="O1043" i="16"/>
  <c r="O1059" i="16"/>
  <c r="O1075" i="16"/>
  <c r="O1091" i="16"/>
  <c r="O1107" i="16"/>
  <c r="O1123" i="16"/>
  <c r="O1139" i="16"/>
  <c r="O1155" i="16"/>
  <c r="O1171" i="16"/>
  <c r="O1187" i="16"/>
  <c r="O1203" i="16"/>
  <c r="O1219" i="16"/>
  <c r="O1235" i="16"/>
  <c r="O1251" i="16"/>
  <c r="O1267" i="16"/>
  <c r="O1283" i="16"/>
  <c r="O1299" i="16"/>
  <c r="O1315" i="16"/>
  <c r="O1331" i="16"/>
  <c r="O134" i="16"/>
  <c r="O198" i="16"/>
  <c r="O241" i="16"/>
  <c r="O283" i="16"/>
  <c r="O331" i="16"/>
  <c r="O363" i="16"/>
  <c r="O395" i="16"/>
  <c r="O427" i="16"/>
  <c r="O475" i="16"/>
  <c r="O507" i="16"/>
  <c r="O555" i="16"/>
  <c r="O603" i="16"/>
  <c r="O651" i="16"/>
  <c r="O699" i="16"/>
  <c r="O747" i="16"/>
  <c r="O795" i="16"/>
  <c r="O843" i="16"/>
  <c r="O923" i="16"/>
  <c r="O971" i="16"/>
  <c r="O1019" i="16"/>
  <c r="O1099" i="16"/>
  <c r="O1147" i="16"/>
  <c r="O1195" i="16"/>
  <c r="O1323" i="16"/>
  <c r="O13" i="16"/>
  <c r="O43" i="16"/>
  <c r="O65" i="16"/>
  <c r="O86" i="16"/>
  <c r="O107" i="16"/>
  <c r="O129" i="16"/>
  <c r="O150" i="16"/>
  <c r="O171" i="16"/>
  <c r="O193" i="16"/>
  <c r="O214" i="16"/>
  <c r="O235" i="16"/>
  <c r="O257" i="16"/>
  <c r="O278" i="16"/>
  <c r="O295" i="16"/>
  <c r="O311" i="16"/>
  <c r="O327" i="16"/>
  <c r="O343" i="16"/>
  <c r="O359" i="16"/>
  <c r="O375" i="16"/>
  <c r="O391" i="16"/>
  <c r="O407" i="16"/>
  <c r="O423" i="16"/>
  <c r="O439" i="16"/>
  <c r="O455" i="16"/>
  <c r="O471" i="16"/>
  <c r="O487" i="16"/>
  <c r="O503" i="16"/>
  <c r="O519" i="16"/>
  <c r="O535" i="16"/>
  <c r="O551" i="16"/>
  <c r="O567" i="16"/>
  <c r="O583" i="16"/>
  <c r="O599" i="16"/>
  <c r="O615" i="16"/>
  <c r="O631" i="16"/>
  <c r="O647" i="16"/>
  <c r="O663" i="16"/>
  <c r="O679" i="16"/>
  <c r="O695" i="16"/>
  <c r="O711" i="16"/>
  <c r="O727" i="16"/>
  <c r="O743" i="16"/>
  <c r="O759" i="16"/>
  <c r="O775" i="16"/>
  <c r="O791" i="16"/>
  <c r="O807" i="16"/>
  <c r="O823" i="16"/>
  <c r="O839" i="16"/>
  <c r="O855" i="16"/>
  <c r="O871" i="16"/>
  <c r="O887" i="16"/>
  <c r="O903" i="16"/>
  <c r="O919" i="16"/>
  <c r="O935" i="16"/>
  <c r="O951" i="16"/>
  <c r="O967" i="16"/>
  <c r="O983" i="16"/>
  <c r="O999" i="16"/>
  <c r="O1015" i="16"/>
  <c r="O1031" i="16"/>
  <c r="O1047" i="16"/>
  <c r="O1063" i="16"/>
  <c r="O1079" i="16"/>
  <c r="O1095" i="16"/>
  <c r="O1111" i="16"/>
  <c r="O1127" i="16"/>
  <c r="O1143" i="16"/>
  <c r="O1159" i="16"/>
  <c r="O1175" i="16"/>
  <c r="O1191" i="16"/>
  <c r="O1207" i="16"/>
  <c r="O1223" i="16"/>
  <c r="O1239" i="16"/>
  <c r="O1255" i="16"/>
  <c r="O1271" i="16"/>
  <c r="O1287" i="16"/>
  <c r="O1303" i="16"/>
  <c r="O1319" i="16"/>
  <c r="O21" i="16"/>
  <c r="O49" i="16"/>
  <c r="O70" i="16"/>
  <c r="O91" i="16"/>
  <c r="O113" i="16"/>
  <c r="O155" i="16"/>
  <c r="O177" i="16"/>
  <c r="O219" i="16"/>
  <c r="O262" i="16"/>
  <c r="O299" i="16"/>
  <c r="O315" i="16"/>
  <c r="O347" i="16"/>
  <c r="O379" i="16"/>
  <c r="O411" i="16"/>
  <c r="O459" i="16"/>
  <c r="O491" i="16"/>
  <c r="O539" i="16"/>
  <c r="O587" i="16"/>
  <c r="O635" i="16"/>
  <c r="O683" i="16"/>
  <c r="O731" i="16"/>
  <c r="O779" i="16"/>
  <c r="O811" i="16"/>
  <c r="O859" i="16"/>
  <c r="O891" i="16"/>
  <c r="O955" i="16"/>
  <c r="O1003" i="16"/>
  <c r="O1051" i="16"/>
  <c r="O1083" i="16"/>
  <c r="O1115" i="16"/>
  <c r="O1163" i="16"/>
  <c r="O1211" i="16"/>
  <c r="O1307" i="16"/>
  <c r="V5" i="16"/>
  <c r="V9" i="16"/>
  <c r="V13" i="16"/>
  <c r="V17" i="16"/>
  <c r="V21" i="16"/>
  <c r="V25" i="16"/>
  <c r="V29" i="16"/>
  <c r="V33" i="16"/>
  <c r="V37" i="16"/>
  <c r="V41" i="16"/>
  <c r="V45" i="16"/>
  <c r="V49" i="16"/>
  <c r="V53" i="16"/>
  <c r="V57" i="16"/>
  <c r="V61" i="16"/>
  <c r="V65" i="16"/>
  <c r="V69" i="16"/>
  <c r="V73" i="16"/>
  <c r="V77" i="16"/>
  <c r="V81" i="16"/>
  <c r="V85" i="16"/>
  <c r="V89" i="16"/>
  <c r="V93" i="16"/>
  <c r="V97" i="16"/>
  <c r="V101" i="16"/>
  <c r="V105" i="16"/>
  <c r="V109" i="16"/>
  <c r="V113" i="16"/>
  <c r="V117" i="16"/>
  <c r="V121" i="16"/>
  <c r="V125" i="16"/>
  <c r="V129" i="16"/>
  <c r="V133" i="16"/>
  <c r="V137" i="16"/>
  <c r="V141" i="16"/>
  <c r="V145" i="16"/>
  <c r="V149" i="16"/>
  <c r="V153" i="16"/>
  <c r="V157" i="16"/>
  <c r="V161" i="16"/>
  <c r="V165" i="16"/>
  <c r="V169" i="16"/>
  <c r="V173" i="16"/>
  <c r="V177" i="16"/>
  <c r="V181" i="16"/>
  <c r="V185" i="16"/>
  <c r="V189" i="16"/>
  <c r="V193" i="16"/>
  <c r="V197" i="16"/>
  <c r="V201" i="16"/>
  <c r="V205" i="16"/>
  <c r="V209" i="16"/>
  <c r="V213" i="16"/>
  <c r="V217" i="16"/>
  <c r="V221" i="16"/>
  <c r="V225" i="16"/>
  <c r="V229" i="16"/>
  <c r="V233" i="16"/>
  <c r="V237" i="16"/>
  <c r="V241" i="16"/>
  <c r="V245" i="16"/>
  <c r="V249" i="16"/>
  <c r="V253" i="16"/>
  <c r="V257" i="16"/>
  <c r="V261" i="16"/>
  <c r="V265" i="16"/>
  <c r="V269" i="16"/>
  <c r="V273" i="16"/>
  <c r="V277" i="16"/>
  <c r="V281" i="16"/>
  <c r="V285" i="16"/>
  <c r="V289" i="16"/>
  <c r="V293" i="16"/>
  <c r="V297" i="16"/>
  <c r="V301" i="16"/>
  <c r="V305" i="16"/>
  <c r="V309" i="16"/>
  <c r="V313" i="16"/>
  <c r="V317" i="16"/>
  <c r="V321" i="16"/>
  <c r="V325" i="16"/>
  <c r="V329" i="16"/>
  <c r="V333" i="16"/>
  <c r="V337" i="16"/>
  <c r="V341" i="16"/>
  <c r="V345" i="16"/>
  <c r="V349" i="16"/>
  <c r="V353" i="16"/>
  <c r="V357" i="16"/>
  <c r="V361" i="16"/>
  <c r="V365" i="16"/>
  <c r="V369" i="16"/>
  <c r="V373" i="16"/>
  <c r="V2" i="16"/>
  <c r="V6" i="16"/>
  <c r="V10" i="16"/>
  <c r="V14" i="16"/>
  <c r="V18" i="16"/>
  <c r="V22" i="16"/>
  <c r="V26" i="16"/>
  <c r="V30" i="16"/>
  <c r="V34" i="16"/>
  <c r="V38" i="16"/>
  <c r="V42" i="16"/>
  <c r="V46" i="16"/>
  <c r="V50" i="16"/>
  <c r="V54" i="16"/>
  <c r="V58" i="16"/>
  <c r="V62" i="16"/>
  <c r="V66" i="16"/>
  <c r="V70" i="16"/>
  <c r="V74" i="16"/>
  <c r="V78" i="16"/>
  <c r="V82" i="16"/>
  <c r="V86" i="16"/>
  <c r="V90" i="16"/>
  <c r="V94" i="16"/>
  <c r="V98" i="16"/>
  <c r="V102" i="16"/>
  <c r="V106" i="16"/>
  <c r="V110" i="16"/>
  <c r="V114" i="16"/>
  <c r="V118" i="16"/>
  <c r="V122" i="16"/>
  <c r="V126" i="16"/>
  <c r="V130" i="16"/>
  <c r="V134" i="16"/>
  <c r="V138" i="16"/>
  <c r="V142" i="16"/>
  <c r="V146" i="16"/>
  <c r="V150" i="16"/>
  <c r="V154" i="16"/>
  <c r="V158" i="16"/>
  <c r="V162" i="16"/>
  <c r="V166" i="16"/>
  <c r="V170" i="16"/>
  <c r="V174" i="16"/>
  <c r="V178" i="16"/>
  <c r="V182" i="16"/>
  <c r="V186" i="16"/>
  <c r="V190" i="16"/>
  <c r="V194" i="16"/>
  <c r="V198" i="16"/>
  <c r="V202" i="16"/>
  <c r="V206" i="16"/>
  <c r="V210" i="16"/>
  <c r="V214" i="16"/>
  <c r="V218" i="16"/>
  <c r="V222" i="16"/>
  <c r="V226" i="16"/>
  <c r="V230" i="16"/>
  <c r="V234" i="16"/>
  <c r="V238" i="16"/>
  <c r="V242" i="16"/>
  <c r="V246" i="16"/>
  <c r="V250" i="16"/>
  <c r="V254" i="16"/>
  <c r="V258" i="16"/>
  <c r="V262" i="16"/>
  <c r="V266" i="16"/>
  <c r="V270" i="16"/>
  <c r="V274" i="16"/>
  <c r="V278" i="16"/>
  <c r="V282" i="16"/>
  <c r="V286" i="16"/>
  <c r="V290" i="16"/>
  <c r="V294" i="16"/>
  <c r="V298" i="16"/>
  <c r="V302" i="16"/>
  <c r="V306" i="16"/>
  <c r="V310" i="16"/>
  <c r="V314" i="16"/>
  <c r="V318" i="16"/>
  <c r="V322" i="16"/>
  <c r="V326" i="16"/>
  <c r="V330" i="16"/>
  <c r="V334" i="16"/>
  <c r="V338" i="16"/>
  <c r="V342" i="16"/>
  <c r="V346" i="16"/>
  <c r="V350" i="16"/>
  <c r="V354" i="16"/>
  <c r="V3" i="16"/>
  <c r="V7" i="16"/>
  <c r="V11" i="16"/>
  <c r="V15" i="16"/>
  <c r="V19" i="16"/>
  <c r="V23" i="16"/>
  <c r="V27" i="16"/>
  <c r="V31" i="16"/>
  <c r="V35" i="16"/>
  <c r="V39" i="16"/>
  <c r="V43" i="16"/>
  <c r="V47" i="16"/>
  <c r="V51" i="16"/>
  <c r="V55" i="16"/>
  <c r="V59" i="16"/>
  <c r="V63" i="16"/>
  <c r="V67" i="16"/>
  <c r="V71" i="16"/>
  <c r="V75" i="16"/>
  <c r="V79" i="16"/>
  <c r="V83" i="16"/>
  <c r="V87" i="16"/>
  <c r="V91" i="16"/>
  <c r="V95" i="16"/>
  <c r="V99" i="16"/>
  <c r="V103" i="16"/>
  <c r="V107" i="16"/>
  <c r="V111" i="16"/>
  <c r="V115" i="16"/>
  <c r="V119" i="16"/>
  <c r="V123" i="16"/>
  <c r="V127" i="16"/>
  <c r="V131" i="16"/>
  <c r="V135" i="16"/>
  <c r="V139" i="16"/>
  <c r="V143" i="16"/>
  <c r="V147" i="16"/>
  <c r="V151" i="16"/>
  <c r="V155" i="16"/>
  <c r="V159" i="16"/>
  <c r="V163" i="16"/>
  <c r="V167" i="16"/>
  <c r="V171" i="16"/>
  <c r="V175" i="16"/>
  <c r="V179" i="16"/>
  <c r="V183" i="16"/>
  <c r="V187" i="16"/>
  <c r="V191" i="16"/>
  <c r="V195" i="16"/>
  <c r="V199" i="16"/>
  <c r="V203" i="16"/>
  <c r="V207" i="16"/>
  <c r="V211" i="16"/>
  <c r="V215" i="16"/>
  <c r="V219" i="16"/>
  <c r="V223" i="16"/>
  <c r="V227" i="16"/>
  <c r="V231" i="16"/>
  <c r="V235" i="16"/>
  <c r="V239" i="16"/>
  <c r="V243" i="16"/>
  <c r="V247" i="16"/>
  <c r="V251" i="16"/>
  <c r="V255" i="16"/>
  <c r="V259" i="16"/>
  <c r="V263" i="16"/>
  <c r="V267" i="16"/>
  <c r="V271" i="16"/>
  <c r="V275" i="16"/>
  <c r="V279" i="16"/>
  <c r="V283" i="16"/>
  <c r="V287" i="16"/>
  <c r="V291" i="16"/>
  <c r="V295" i="16"/>
  <c r="V299" i="16"/>
  <c r="V303" i="16"/>
  <c r="V307" i="16"/>
  <c r="V311" i="16"/>
  <c r="V315" i="16"/>
  <c r="V319" i="16"/>
  <c r="V323" i="16"/>
  <c r="V327" i="16"/>
  <c r="V331" i="16"/>
  <c r="V335" i="16"/>
  <c r="V339" i="16"/>
  <c r="V343" i="16"/>
  <c r="V347" i="16"/>
  <c r="V351" i="16"/>
  <c r="V355" i="16"/>
  <c r="V359" i="16"/>
  <c r="V363" i="16"/>
  <c r="V367" i="16"/>
  <c r="V371" i="16"/>
  <c r="V16" i="16"/>
  <c r="V32" i="16"/>
  <c r="V48" i="16"/>
  <c r="V64" i="16"/>
  <c r="V80" i="16"/>
  <c r="V96" i="16"/>
  <c r="V112" i="16"/>
  <c r="V128" i="16"/>
  <c r="V144" i="16"/>
  <c r="V160" i="16"/>
  <c r="V176" i="16"/>
  <c r="V192" i="16"/>
  <c r="V208" i="16"/>
  <c r="V224" i="16"/>
  <c r="V240" i="16"/>
  <c r="V256" i="16"/>
  <c r="V272" i="16"/>
  <c r="V288" i="16"/>
  <c r="V304" i="16"/>
  <c r="V320" i="16"/>
  <c r="V336" i="16"/>
  <c r="V352" i="16"/>
  <c r="V362" i="16"/>
  <c r="V370" i="16"/>
  <c r="V376" i="16"/>
  <c r="V380" i="16"/>
  <c r="V384" i="16"/>
  <c r="V388" i="16"/>
  <c r="V392" i="16"/>
  <c r="V396" i="16"/>
  <c r="V400" i="16"/>
  <c r="V404" i="16"/>
  <c r="V408" i="16"/>
  <c r="V412" i="16"/>
  <c r="V416" i="16"/>
  <c r="V420" i="16"/>
  <c r="V424" i="16"/>
  <c r="V428" i="16"/>
  <c r="V432" i="16"/>
  <c r="V436" i="16"/>
  <c r="V440" i="16"/>
  <c r="V444" i="16"/>
  <c r="V448" i="16"/>
  <c r="V452" i="16"/>
  <c r="V456" i="16"/>
  <c r="V460" i="16"/>
  <c r="V464" i="16"/>
  <c r="V468" i="16"/>
  <c r="V472" i="16"/>
  <c r="V476" i="16"/>
  <c r="V480" i="16"/>
  <c r="V484" i="16"/>
  <c r="V488" i="16"/>
  <c r="V492" i="16"/>
  <c r="V496" i="16"/>
  <c r="V500" i="16"/>
  <c r="V504" i="16"/>
  <c r="V508" i="16"/>
  <c r="V512" i="16"/>
  <c r="V516" i="16"/>
  <c r="V520" i="16"/>
  <c r="V524" i="16"/>
  <c r="V528" i="16"/>
  <c r="V532" i="16"/>
  <c r="V536" i="16"/>
  <c r="V540" i="16"/>
  <c r="V544" i="16"/>
  <c r="V548" i="16"/>
  <c r="V552" i="16"/>
  <c r="V556" i="16"/>
  <c r="V560" i="16"/>
  <c r="V564" i="16"/>
  <c r="V568" i="16"/>
  <c r="V572" i="16"/>
  <c r="V576" i="16"/>
  <c r="V580" i="16"/>
  <c r="V584" i="16"/>
  <c r="V588" i="16"/>
  <c r="V592" i="16"/>
  <c r="V596" i="16"/>
  <c r="V600" i="16"/>
  <c r="V604" i="16"/>
  <c r="V608" i="16"/>
  <c r="V612" i="16"/>
  <c r="V616" i="16"/>
  <c r="V620" i="16"/>
  <c r="V624" i="16"/>
  <c r="V628" i="16"/>
  <c r="V632" i="16"/>
  <c r="V636" i="16"/>
  <c r="V640" i="16"/>
  <c r="V644" i="16"/>
  <c r="V648" i="16"/>
  <c r="V652" i="16"/>
  <c r="V656" i="16"/>
  <c r="V660" i="16"/>
  <c r="V664" i="16"/>
  <c r="V668" i="16"/>
  <c r="V672" i="16"/>
  <c r="V676" i="16"/>
  <c r="V680" i="16"/>
  <c r="V684" i="16"/>
  <c r="V688" i="16"/>
  <c r="V692" i="16"/>
  <c r="V696" i="16"/>
  <c r="V700" i="16"/>
  <c r="V704" i="16"/>
  <c r="V708" i="16"/>
  <c r="V712" i="16"/>
  <c r="V716" i="16"/>
  <c r="V720" i="16"/>
  <c r="V724" i="16"/>
  <c r="V728" i="16"/>
  <c r="V732" i="16"/>
  <c r="V736" i="16"/>
  <c r="V740" i="16"/>
  <c r="V744" i="16"/>
  <c r="V748" i="16"/>
  <c r="V752" i="16"/>
  <c r="V756" i="16"/>
  <c r="V760" i="16"/>
  <c r="V764" i="16"/>
  <c r="V768" i="16"/>
  <c r="V772" i="16"/>
  <c r="V776" i="16"/>
  <c r="V780" i="16"/>
  <c r="V784" i="16"/>
  <c r="V788" i="16"/>
  <c r="V792" i="16"/>
  <c r="V796" i="16"/>
  <c r="V800" i="16"/>
  <c r="V804" i="16"/>
  <c r="V808" i="16"/>
  <c r="V812" i="16"/>
  <c r="V816" i="16"/>
  <c r="V820" i="16"/>
  <c r="V824" i="16"/>
  <c r="V828" i="16"/>
  <c r="V832" i="16"/>
  <c r="V836" i="16"/>
  <c r="V840" i="16"/>
  <c r="V844" i="16"/>
  <c r="V848" i="16"/>
  <c r="V852" i="16"/>
  <c r="V856" i="16"/>
  <c r="V860" i="16"/>
  <c r="V864" i="16"/>
  <c r="V868" i="16"/>
  <c r="V872" i="16"/>
  <c r="V876" i="16"/>
  <c r="V880" i="16"/>
  <c r="V884" i="16"/>
  <c r="V888" i="16"/>
  <c r="V892" i="16"/>
  <c r="V896" i="16"/>
  <c r="V900" i="16"/>
  <c r="V904" i="16"/>
  <c r="V908" i="16"/>
  <c r="V912" i="16"/>
  <c r="V916" i="16"/>
  <c r="V920" i="16"/>
  <c r="V924" i="16"/>
  <c r="V928" i="16"/>
  <c r="V932" i="16"/>
  <c r="V936" i="16"/>
  <c r="V940" i="16"/>
  <c r="V944" i="16"/>
  <c r="V948" i="16"/>
  <c r="V952" i="16"/>
  <c r="V956" i="16"/>
  <c r="V960" i="16"/>
  <c r="V964" i="16"/>
  <c r="V968" i="16"/>
  <c r="V972" i="16"/>
  <c r="V976" i="16"/>
  <c r="V980" i="16"/>
  <c r="V984" i="16"/>
  <c r="V988" i="16"/>
  <c r="V992" i="16"/>
  <c r="V996" i="16"/>
  <c r="V1000" i="16"/>
  <c r="V1004" i="16"/>
  <c r="V1008" i="16"/>
  <c r="V1012" i="16"/>
  <c r="V1016" i="16"/>
  <c r="V1020" i="16"/>
  <c r="V1024" i="16"/>
  <c r="V1028" i="16"/>
  <c r="V1032" i="16"/>
  <c r="V1036" i="16"/>
  <c r="V1040" i="16"/>
  <c r="V1044" i="16"/>
  <c r="V1048" i="16"/>
  <c r="V1052" i="16"/>
  <c r="V1056" i="16"/>
  <c r="V1060" i="16"/>
  <c r="V1064" i="16"/>
  <c r="V1068" i="16"/>
  <c r="V1072" i="16"/>
  <c r="V1076" i="16"/>
  <c r="V1080" i="16"/>
  <c r="V1084" i="16"/>
  <c r="V1088" i="16"/>
  <c r="V1092" i="16"/>
  <c r="V1096" i="16"/>
  <c r="V1100" i="16"/>
  <c r="V1104" i="16"/>
  <c r="V1108" i="16"/>
  <c r="V1112" i="16"/>
  <c r="V1116" i="16"/>
  <c r="V1120" i="16"/>
  <c r="V1124" i="16"/>
  <c r="V1128" i="16"/>
  <c r="V1132" i="16"/>
  <c r="V1136" i="16"/>
  <c r="V1140" i="16"/>
  <c r="V1144" i="16"/>
  <c r="V1148" i="16"/>
  <c r="V1152" i="16"/>
  <c r="V1156" i="16"/>
  <c r="V1160" i="16"/>
  <c r="V1164" i="16"/>
  <c r="V1168" i="16"/>
  <c r="V1172" i="16"/>
  <c r="V1176" i="16"/>
  <c r="V1180" i="16"/>
  <c r="V1184" i="16"/>
  <c r="V1188" i="16"/>
  <c r="V1192" i="16"/>
  <c r="V1196" i="16"/>
  <c r="V1200" i="16"/>
  <c r="V1204" i="16"/>
  <c r="V1208" i="16"/>
  <c r="V1212" i="16"/>
  <c r="V1216" i="16"/>
  <c r="V1220" i="16"/>
  <c r="V1224" i="16"/>
  <c r="V1228" i="16"/>
  <c r="V1232" i="16"/>
  <c r="V1236" i="16"/>
  <c r="V1240" i="16"/>
  <c r="V1244" i="16"/>
  <c r="V1248" i="16"/>
  <c r="V1252" i="16"/>
  <c r="V1256" i="16"/>
  <c r="V1260" i="16"/>
  <c r="V1264" i="16"/>
  <c r="V1268" i="16"/>
  <c r="V1272" i="16"/>
  <c r="V1276" i="16"/>
  <c r="V1280" i="16"/>
  <c r="V1284" i="16"/>
  <c r="V1288" i="16"/>
  <c r="V1292" i="16"/>
  <c r="V1296" i="16"/>
  <c r="V1300" i="16"/>
  <c r="V1304" i="16"/>
  <c r="V1308" i="16"/>
  <c r="V1312" i="16"/>
  <c r="V1316" i="16"/>
  <c r="V1320" i="16"/>
  <c r="V1324" i="16"/>
  <c r="V1328" i="16"/>
  <c r="V4" i="16"/>
  <c r="V20" i="16"/>
  <c r="V36" i="16"/>
  <c r="V52" i="16"/>
  <c r="V68" i="16"/>
  <c r="V84" i="16"/>
  <c r="V100" i="16"/>
  <c r="V116" i="16"/>
  <c r="V132" i="16"/>
  <c r="V148" i="16"/>
  <c r="V164" i="16"/>
  <c r="V180" i="16"/>
  <c r="V196" i="16"/>
  <c r="V212" i="16"/>
  <c r="V228" i="16"/>
  <c r="V244" i="16"/>
  <c r="V260" i="16"/>
  <c r="V276" i="16"/>
  <c r="V292" i="16"/>
  <c r="V308" i="16"/>
  <c r="V324" i="16"/>
  <c r="V340" i="16"/>
  <c r="V356" i="16"/>
  <c r="V364" i="16"/>
  <c r="V372" i="16"/>
  <c r="V377" i="16"/>
  <c r="V381" i="16"/>
  <c r="V385" i="16"/>
  <c r="V389" i="16"/>
  <c r="V393" i="16"/>
  <c r="V397" i="16"/>
  <c r="V401" i="16"/>
  <c r="V405" i="16"/>
  <c r="V409" i="16"/>
  <c r="V413" i="16"/>
  <c r="V417" i="16"/>
  <c r="V421" i="16"/>
  <c r="V425" i="16"/>
  <c r="V429" i="16"/>
  <c r="V433" i="16"/>
  <c r="V437" i="16"/>
  <c r="V441" i="16"/>
  <c r="V445" i="16"/>
  <c r="V449" i="16"/>
  <c r="V453" i="16"/>
  <c r="V457" i="16"/>
  <c r="V461" i="16"/>
  <c r="V465" i="16"/>
  <c r="V469" i="16"/>
  <c r="V473" i="16"/>
  <c r="V477" i="16"/>
  <c r="V481" i="16"/>
  <c r="V485" i="16"/>
  <c r="V489" i="16"/>
  <c r="V493" i="16"/>
  <c r="V497" i="16"/>
  <c r="V501" i="16"/>
  <c r="V505" i="16"/>
  <c r="V509" i="16"/>
  <c r="V513" i="16"/>
  <c r="V517" i="16"/>
  <c r="V521" i="16"/>
  <c r="V525" i="16"/>
  <c r="V529" i="16"/>
  <c r="V533" i="16"/>
  <c r="V537" i="16"/>
  <c r="V541" i="16"/>
  <c r="V545" i="16"/>
  <c r="V549" i="16"/>
  <c r="V553" i="16"/>
  <c r="V557" i="16"/>
  <c r="V561" i="16"/>
  <c r="V565" i="16"/>
  <c r="V569" i="16"/>
  <c r="V573" i="16"/>
  <c r="V577" i="16"/>
  <c r="V581" i="16"/>
  <c r="V585" i="16"/>
  <c r="V589" i="16"/>
  <c r="V593" i="16"/>
  <c r="V597" i="16"/>
  <c r="V601" i="16"/>
  <c r="V605" i="16"/>
  <c r="V609" i="16"/>
  <c r="V613" i="16"/>
  <c r="V617" i="16"/>
  <c r="V621" i="16"/>
  <c r="V625" i="16"/>
  <c r="V629" i="16"/>
  <c r="V633" i="16"/>
  <c r="V637" i="16"/>
  <c r="V641" i="16"/>
  <c r="V645" i="16"/>
  <c r="V649" i="16"/>
  <c r="V653" i="16"/>
  <c r="V657" i="16"/>
  <c r="V661" i="16"/>
  <c r="V665" i="16"/>
  <c r="V669" i="16"/>
  <c r="V673" i="16"/>
  <c r="V677" i="16"/>
  <c r="V681" i="16"/>
  <c r="V685" i="16"/>
  <c r="V689" i="16"/>
  <c r="V693" i="16"/>
  <c r="V697" i="16"/>
  <c r="V701" i="16"/>
  <c r="V705" i="16"/>
  <c r="V709" i="16"/>
  <c r="V713" i="16"/>
  <c r="V717" i="16"/>
  <c r="V721" i="16"/>
  <c r="V725" i="16"/>
  <c r="V729" i="16"/>
  <c r="V733" i="16"/>
  <c r="V737" i="16"/>
  <c r="V741" i="16"/>
  <c r="V745" i="16"/>
  <c r="V749" i="16"/>
  <c r="V753" i="16"/>
  <c r="V757" i="16"/>
  <c r="V761" i="16"/>
  <c r="V765" i="16"/>
  <c r="V769" i="16"/>
  <c r="V773" i="16"/>
  <c r="V777" i="16"/>
  <c r="V781" i="16"/>
  <c r="V785" i="16"/>
  <c r="V789" i="16"/>
  <c r="V793" i="16"/>
  <c r="V797" i="16"/>
  <c r="V801" i="16"/>
  <c r="V805" i="16"/>
  <c r="V809" i="16"/>
  <c r="V813" i="16"/>
  <c r="V817" i="16"/>
  <c r="V821" i="16"/>
  <c r="V825" i="16"/>
  <c r="V829" i="16"/>
  <c r="V833" i="16"/>
  <c r="V837" i="16"/>
  <c r="V841" i="16"/>
  <c r="V845" i="16"/>
  <c r="V849" i="16"/>
  <c r="V853" i="16"/>
  <c r="V857" i="16"/>
  <c r="V861" i="16"/>
  <c r="V865" i="16"/>
  <c r="V869" i="16"/>
  <c r="V873" i="16"/>
  <c r="V877" i="16"/>
  <c r="V881" i="16"/>
  <c r="V885" i="16"/>
  <c r="V889" i="16"/>
  <c r="V893" i="16"/>
  <c r="V897" i="16"/>
  <c r="V901" i="16"/>
  <c r="V905" i="16"/>
  <c r="V909" i="16"/>
  <c r="V913" i="16"/>
  <c r="V917" i="16"/>
  <c r="V921" i="16"/>
  <c r="V925" i="16"/>
  <c r="V929" i="16"/>
  <c r="V933" i="16"/>
  <c r="V937" i="16"/>
  <c r="V941" i="16"/>
  <c r="V945" i="16"/>
  <c r="V949" i="16"/>
  <c r="V953" i="16"/>
  <c r="V957" i="16"/>
  <c r="V961" i="16"/>
  <c r="V965" i="16"/>
  <c r="V969" i="16"/>
  <c r="V973" i="16"/>
  <c r="V977" i="16"/>
  <c r="V981" i="16"/>
  <c r="V985" i="16"/>
  <c r="V989" i="16"/>
  <c r="V993" i="16"/>
  <c r="V997" i="16"/>
  <c r="V1001" i="16"/>
  <c r="V1005" i="16"/>
  <c r="V1009" i="16"/>
  <c r="V1013" i="16"/>
  <c r="V1017" i="16"/>
  <c r="V1021" i="16"/>
  <c r="V1025" i="16"/>
  <c r="V1029" i="16"/>
  <c r="V1033" i="16"/>
  <c r="V1037" i="16"/>
  <c r="V1041" i="16"/>
  <c r="V1045" i="16"/>
  <c r="V1049" i="16"/>
  <c r="V1053" i="16"/>
  <c r="V1057" i="16"/>
  <c r="V1061" i="16"/>
  <c r="V1065" i="16"/>
  <c r="V1069" i="16"/>
  <c r="V1073" i="16"/>
  <c r="V1077" i="16"/>
  <c r="V1081" i="16"/>
  <c r="V1085" i="16"/>
  <c r="V1089" i="16"/>
  <c r="V1093" i="16"/>
  <c r="V1097" i="16"/>
  <c r="V1101" i="16"/>
  <c r="V1105" i="16"/>
  <c r="V1109" i="16"/>
  <c r="V1113" i="16"/>
  <c r="V1117" i="16"/>
  <c r="V1121" i="16"/>
  <c r="V1125" i="16"/>
  <c r="V1129" i="16"/>
  <c r="V1133" i="16"/>
  <c r="V1137" i="16"/>
  <c r="V1141" i="16"/>
  <c r="V1145" i="16"/>
  <c r="V1149" i="16"/>
  <c r="V1153" i="16"/>
  <c r="V1157" i="16"/>
  <c r="V1161" i="16"/>
  <c r="V1165" i="16"/>
  <c r="V1169" i="16"/>
  <c r="V1173" i="16"/>
  <c r="V1177" i="16"/>
  <c r="V1181" i="16"/>
  <c r="V1185" i="16"/>
  <c r="V1189" i="16"/>
  <c r="V1193" i="16"/>
  <c r="V1197" i="16"/>
  <c r="V1201" i="16"/>
  <c r="V1205" i="16"/>
  <c r="V1209" i="16"/>
  <c r="V1213" i="16"/>
  <c r="V1217" i="16"/>
  <c r="V1221" i="16"/>
  <c r="V1225" i="16"/>
  <c r="V1229" i="16"/>
  <c r="V1233" i="16"/>
  <c r="V1237" i="16"/>
  <c r="V1241" i="16"/>
  <c r="V1245" i="16"/>
  <c r="V1249" i="16"/>
  <c r="V1253" i="16"/>
  <c r="V1257" i="16"/>
  <c r="V1261" i="16"/>
  <c r="V1265" i="16"/>
  <c r="V1269" i="16"/>
  <c r="V1273" i="16"/>
  <c r="V1277" i="16"/>
  <c r="V1281" i="16"/>
  <c r="V1285" i="16"/>
  <c r="V1289" i="16"/>
  <c r="V1293" i="16"/>
  <c r="V1297" i="16"/>
  <c r="V1301" i="16"/>
  <c r="V1305" i="16"/>
  <c r="V1309" i="16"/>
  <c r="V1313" i="16"/>
  <c r="V1317" i="16"/>
  <c r="V1321" i="16"/>
  <c r="V1325" i="16"/>
  <c r="V1329" i="16"/>
  <c r="V8" i="16"/>
  <c r="V24" i="16"/>
  <c r="V40" i="16"/>
  <c r="V56" i="16"/>
  <c r="V72" i="16"/>
  <c r="V88" i="16"/>
  <c r="V104" i="16"/>
  <c r="V120" i="16"/>
  <c r="V136" i="16"/>
  <c r="V152" i="16"/>
  <c r="V168" i="16"/>
  <c r="V184" i="16"/>
  <c r="V200" i="16"/>
  <c r="V216" i="16"/>
  <c r="V232" i="16"/>
  <c r="V248" i="16"/>
  <c r="V264" i="16"/>
  <c r="V280" i="16"/>
  <c r="V296" i="16"/>
  <c r="V312" i="16"/>
  <c r="V328" i="16"/>
  <c r="V344" i="16"/>
  <c r="V358" i="16"/>
  <c r="V366" i="16"/>
  <c r="V374" i="16"/>
  <c r="V378" i="16"/>
  <c r="V382" i="16"/>
  <c r="V386" i="16"/>
  <c r="V390" i="16"/>
  <c r="V394" i="16"/>
  <c r="V398" i="16"/>
  <c r="V402" i="16"/>
  <c r="V406" i="16"/>
  <c r="V410" i="16"/>
  <c r="V414" i="16"/>
  <c r="V418" i="16"/>
  <c r="V422" i="16"/>
  <c r="V426" i="16"/>
  <c r="V430" i="16"/>
  <c r="V434" i="16"/>
  <c r="V438" i="16"/>
  <c r="V442" i="16"/>
  <c r="V446" i="16"/>
  <c r="V450" i="16"/>
  <c r="V454" i="16"/>
  <c r="V458" i="16"/>
  <c r="V462" i="16"/>
  <c r="V466" i="16"/>
  <c r="V470" i="16"/>
  <c r="V474" i="16"/>
  <c r="V478" i="16"/>
  <c r="V482" i="16"/>
  <c r="V486" i="16"/>
  <c r="V490" i="16"/>
  <c r="V494" i="16"/>
  <c r="V498" i="16"/>
  <c r="V502" i="16"/>
  <c r="V506" i="16"/>
  <c r="V510" i="16"/>
  <c r="V514" i="16"/>
  <c r="V518" i="16"/>
  <c r="V522" i="16"/>
  <c r="V526" i="16"/>
  <c r="V530" i="16"/>
  <c r="V534" i="16"/>
  <c r="V538" i="16"/>
  <c r="V542" i="16"/>
  <c r="V546" i="16"/>
  <c r="V550" i="16"/>
  <c r="V554" i="16"/>
  <c r="V558" i="16"/>
  <c r="V562" i="16"/>
  <c r="V566" i="16"/>
  <c r="V570" i="16"/>
  <c r="V574" i="16"/>
  <c r="V578" i="16"/>
  <c r="V582" i="16"/>
  <c r="V586" i="16"/>
  <c r="V590" i="16"/>
  <c r="V594" i="16"/>
  <c r="V598" i="16"/>
  <c r="V602" i="16"/>
  <c r="V606" i="16"/>
  <c r="V610" i="16"/>
  <c r="V614" i="16"/>
  <c r="V618" i="16"/>
  <c r="V622" i="16"/>
  <c r="V626" i="16"/>
  <c r="V630" i="16"/>
  <c r="V634" i="16"/>
  <c r="V638" i="16"/>
  <c r="V642" i="16"/>
  <c r="V646" i="16"/>
  <c r="V650" i="16"/>
  <c r="V654" i="16"/>
  <c r="V658" i="16"/>
  <c r="V662" i="16"/>
  <c r="V666" i="16"/>
  <c r="V670" i="16"/>
  <c r="V674" i="16"/>
  <c r="V678" i="16"/>
  <c r="V682" i="16"/>
  <c r="V686" i="16"/>
  <c r="V690" i="16"/>
  <c r="V694" i="16"/>
  <c r="V698" i="16"/>
  <c r="V702" i="16"/>
  <c r="V706" i="16"/>
  <c r="V710" i="16"/>
  <c r="V714" i="16"/>
  <c r="V718" i="16"/>
  <c r="V722" i="16"/>
  <c r="V726" i="16"/>
  <c r="V730" i="16"/>
  <c r="V734" i="16"/>
  <c r="V738" i="16"/>
  <c r="V742" i="16"/>
  <c r="V746" i="16"/>
  <c r="V750" i="16"/>
  <c r="V754" i="16"/>
  <c r="V758" i="16"/>
  <c r="V762" i="16"/>
  <c r="V766" i="16"/>
  <c r="V770" i="16"/>
  <c r="V774" i="16"/>
  <c r="V778" i="16"/>
  <c r="V782" i="16"/>
  <c r="V786" i="16"/>
  <c r="V790" i="16"/>
  <c r="V794" i="16"/>
  <c r="V798" i="16"/>
  <c r="V802" i="16"/>
  <c r="V806" i="16"/>
  <c r="V810" i="16"/>
  <c r="V814" i="16"/>
  <c r="V818" i="16"/>
  <c r="V822" i="16"/>
  <c r="V826" i="16"/>
  <c r="V830" i="16"/>
  <c r="V834" i="16"/>
  <c r="V838" i="16"/>
  <c r="V842" i="16"/>
  <c r="V846" i="16"/>
  <c r="V850" i="16"/>
  <c r="V854" i="16"/>
  <c r="V858" i="16"/>
  <c r="V862" i="16"/>
  <c r="V866" i="16"/>
  <c r="V870" i="16"/>
  <c r="V874" i="16"/>
  <c r="V878" i="16"/>
  <c r="V882" i="16"/>
  <c r="V886" i="16"/>
  <c r="V890" i="16"/>
  <c r="V894" i="16"/>
  <c r="V898" i="16"/>
  <c r="V902" i="16"/>
  <c r="V906" i="16"/>
  <c r="V910" i="16"/>
  <c r="V914" i="16"/>
  <c r="V918" i="16"/>
  <c r="V922" i="16"/>
  <c r="V926" i="16"/>
  <c r="V930" i="16"/>
  <c r="V934" i="16"/>
  <c r="V938" i="16"/>
  <c r="V942" i="16"/>
  <c r="V946" i="16"/>
  <c r="V950" i="16"/>
  <c r="V954" i="16"/>
  <c r="V958" i="16"/>
  <c r="V962" i="16"/>
  <c r="V966" i="16"/>
  <c r="V970" i="16"/>
  <c r="V974" i="16"/>
  <c r="V978" i="16"/>
  <c r="V982" i="16"/>
  <c r="V986" i="16"/>
  <c r="V990" i="16"/>
  <c r="V994" i="16"/>
  <c r="V998" i="16"/>
  <c r="V1002" i="16"/>
  <c r="V1006" i="16"/>
  <c r="V1010" i="16"/>
  <c r="V1014" i="16"/>
  <c r="V1018" i="16"/>
  <c r="V1022" i="16"/>
  <c r="V1026" i="16"/>
  <c r="V1030" i="16"/>
  <c r="V1034" i="16"/>
  <c r="V1038" i="16"/>
  <c r="V1042" i="16"/>
  <c r="V1046" i="16"/>
  <c r="V1050" i="16"/>
  <c r="V1054" i="16"/>
  <c r="V1058" i="16"/>
  <c r="V1062" i="16"/>
  <c r="V1066" i="16"/>
  <c r="V1070" i="16"/>
  <c r="V1074" i="16"/>
  <c r="V1078" i="16"/>
  <c r="V1082" i="16"/>
  <c r="V1086" i="16"/>
  <c r="V1090" i="16"/>
  <c r="V1094" i="16"/>
  <c r="V1098" i="16"/>
  <c r="V1102" i="16"/>
  <c r="V1106" i="16"/>
  <c r="V1110" i="16"/>
  <c r="V1114" i="16"/>
  <c r="V1118" i="16"/>
  <c r="V1122" i="16"/>
  <c r="V1126" i="16"/>
  <c r="V1130" i="16"/>
  <c r="V1134" i="16"/>
  <c r="V1138" i="16"/>
  <c r="V1142" i="16"/>
  <c r="V1146" i="16"/>
  <c r="V1150" i="16"/>
  <c r="V1154" i="16"/>
  <c r="V1158" i="16"/>
  <c r="V1162" i="16"/>
  <c r="V1166" i="16"/>
  <c r="V1170" i="16"/>
  <c r="V1174" i="16"/>
  <c r="V1178" i="16"/>
  <c r="V1182" i="16"/>
  <c r="V1186" i="16"/>
  <c r="V1190" i="16"/>
  <c r="V1194" i="16"/>
  <c r="V1198" i="16"/>
  <c r="V1202" i="16"/>
  <c r="V1206" i="16"/>
  <c r="V1210" i="16"/>
  <c r="V1214" i="16"/>
  <c r="V1218" i="16"/>
  <c r="V1222" i="16"/>
  <c r="V1226" i="16"/>
  <c r="V1230" i="16"/>
  <c r="V1234" i="16"/>
  <c r="V1238" i="16"/>
  <c r="V1242" i="16"/>
  <c r="V1246" i="16"/>
  <c r="V1250" i="16"/>
  <c r="V1254" i="16"/>
  <c r="V1258" i="16"/>
  <c r="V1262" i="16"/>
  <c r="V1266" i="16"/>
  <c r="V1270" i="16"/>
  <c r="V1274" i="16"/>
  <c r="V1278" i="16"/>
  <c r="V1282" i="16"/>
  <c r="V1286" i="16"/>
  <c r="V1290" i="16"/>
  <c r="V1294" i="16"/>
  <c r="V1298" i="16"/>
  <c r="V1302" i="16"/>
  <c r="V1306" i="16"/>
  <c r="V1310" i="16"/>
  <c r="V1314" i="16"/>
  <c r="V1318" i="16"/>
  <c r="V1322" i="16"/>
  <c r="V1326" i="16"/>
  <c r="V1330" i="16"/>
  <c r="V12" i="16"/>
  <c r="V28" i="16"/>
  <c r="V44" i="16"/>
  <c r="V60" i="16"/>
  <c r="V76" i="16"/>
  <c r="V92" i="16"/>
  <c r="V108" i="16"/>
  <c r="V124" i="16"/>
  <c r="V140" i="16"/>
  <c r="V156" i="16"/>
  <c r="V172" i="16"/>
  <c r="V188" i="16"/>
  <c r="V204" i="16"/>
  <c r="V220" i="16"/>
  <c r="V236" i="16"/>
  <c r="V252" i="16"/>
  <c r="V268" i="16"/>
  <c r="V284" i="16"/>
  <c r="V300" i="16"/>
  <c r="V316" i="16"/>
  <c r="V332" i="16"/>
  <c r="V348" i="16"/>
  <c r="V360" i="16"/>
  <c r="V368" i="16"/>
  <c r="V375" i="16"/>
  <c r="V379" i="16"/>
  <c r="V383" i="16"/>
  <c r="V387" i="16"/>
  <c r="V391" i="16"/>
  <c r="V395" i="16"/>
  <c r="V399" i="16"/>
  <c r="V403" i="16"/>
  <c r="V407" i="16"/>
  <c r="V411" i="16"/>
  <c r="V415" i="16"/>
  <c r="V419" i="16"/>
  <c r="V423" i="16"/>
  <c r="V427" i="16"/>
  <c r="V431" i="16"/>
  <c r="V435" i="16"/>
  <c r="V439" i="16"/>
  <c r="V443" i="16"/>
  <c r="V447" i="16"/>
  <c r="V451" i="16"/>
  <c r="V455" i="16"/>
  <c r="V459" i="16"/>
  <c r="V463" i="16"/>
  <c r="V467" i="16"/>
  <c r="V471" i="16"/>
  <c r="V475" i="16"/>
  <c r="V479" i="16"/>
  <c r="V483" i="16"/>
  <c r="V487" i="16"/>
  <c r="V491" i="16"/>
  <c r="V495" i="16"/>
  <c r="V499" i="16"/>
  <c r="V503" i="16"/>
  <c r="V507" i="16"/>
  <c r="V511" i="16"/>
  <c r="V515" i="16"/>
  <c r="V519" i="16"/>
  <c r="V523" i="16"/>
  <c r="V527" i="16"/>
  <c r="V531" i="16"/>
  <c r="V535" i="16"/>
  <c r="V539" i="16"/>
  <c r="V543" i="16"/>
  <c r="V547" i="16"/>
  <c r="V551" i="16"/>
  <c r="V555" i="16"/>
  <c r="V559" i="16"/>
  <c r="V563" i="16"/>
  <c r="V567" i="16"/>
  <c r="V571" i="16"/>
  <c r="V575" i="16"/>
  <c r="V579" i="16"/>
  <c r="V583" i="16"/>
  <c r="V587" i="16"/>
  <c r="V591" i="16"/>
  <c r="V595" i="16"/>
  <c r="V599" i="16"/>
  <c r="V603" i="16"/>
  <c r="V607" i="16"/>
  <c r="V611" i="16"/>
  <c r="V615" i="16"/>
  <c r="V619" i="16"/>
  <c r="V623" i="16"/>
  <c r="V627" i="16"/>
  <c r="V631" i="16"/>
  <c r="V635" i="16"/>
  <c r="V639" i="16"/>
  <c r="V643" i="16"/>
  <c r="V647" i="16"/>
  <c r="V651" i="16"/>
  <c r="V655" i="16"/>
  <c r="V659" i="16"/>
  <c r="V663" i="16"/>
  <c r="V667" i="16"/>
  <c r="V671" i="16"/>
  <c r="V675" i="16"/>
  <c r="V679" i="16"/>
  <c r="V683" i="16"/>
  <c r="V687" i="16"/>
  <c r="V691" i="16"/>
  <c r="V695" i="16"/>
  <c r="V699" i="16"/>
  <c r="V703" i="16"/>
  <c r="V707" i="16"/>
  <c r="V711" i="16"/>
  <c r="V715" i="16"/>
  <c r="V719" i="16"/>
  <c r="V723" i="16"/>
  <c r="V727" i="16"/>
  <c r="V731" i="16"/>
  <c r="V735" i="16"/>
  <c r="V739" i="16"/>
  <c r="V743" i="16"/>
  <c r="V747" i="16"/>
  <c r="V751" i="16"/>
  <c r="V755" i="16"/>
  <c r="V759" i="16"/>
  <c r="V763" i="16"/>
  <c r="V767" i="16"/>
  <c r="V771" i="16"/>
  <c r="V775" i="16"/>
  <c r="V779" i="16"/>
  <c r="V783" i="16"/>
  <c r="V787" i="16"/>
  <c r="V791" i="16"/>
  <c r="V795" i="16"/>
  <c r="V799" i="16"/>
  <c r="V803" i="16"/>
  <c r="V807" i="16"/>
  <c r="V811" i="16"/>
  <c r="V815" i="16"/>
  <c r="V819" i="16"/>
  <c r="V823" i="16"/>
  <c r="V827" i="16"/>
  <c r="V831" i="16"/>
  <c r="V835" i="16"/>
  <c r="V839" i="16"/>
  <c r="V843" i="16"/>
  <c r="V847" i="16"/>
  <c r="V851" i="16"/>
  <c r="V855" i="16"/>
  <c r="V859" i="16"/>
  <c r="V863" i="16"/>
  <c r="V867" i="16"/>
  <c r="V871" i="16"/>
  <c r="V875" i="16"/>
  <c r="V879" i="16"/>
  <c r="V883" i="16"/>
  <c r="V887" i="16"/>
  <c r="V891" i="16"/>
  <c r="V895" i="16"/>
  <c r="V899" i="16"/>
  <c r="V903" i="16"/>
  <c r="V907" i="16"/>
  <c r="V911" i="16"/>
  <c r="V915" i="16"/>
  <c r="V919" i="16"/>
  <c r="V923" i="16"/>
  <c r="V927" i="16"/>
  <c r="V931" i="16"/>
  <c r="V935" i="16"/>
  <c r="V939" i="16"/>
  <c r="V943" i="16"/>
  <c r="V947" i="16"/>
  <c r="V951" i="16"/>
  <c r="V955" i="16"/>
  <c r="V959" i="16"/>
  <c r="V963" i="16"/>
  <c r="V967" i="16"/>
  <c r="V971" i="16"/>
  <c r="V975" i="16"/>
  <c r="V979" i="16"/>
  <c r="V983" i="16"/>
  <c r="V987" i="16"/>
  <c r="V991" i="16"/>
  <c r="V995" i="16"/>
  <c r="V999" i="16"/>
  <c r="V1003" i="16"/>
  <c r="V1007" i="16"/>
  <c r="V1011" i="16"/>
  <c r="V1015" i="16"/>
  <c r="V1019" i="16"/>
  <c r="V1023" i="16"/>
  <c r="V1027" i="16"/>
  <c r="V1031" i="16"/>
  <c r="V1035" i="16"/>
  <c r="V1039" i="16"/>
  <c r="V1043" i="16"/>
  <c r="V1047" i="16"/>
  <c r="V1051" i="16"/>
  <c r="V1055" i="16"/>
  <c r="V1059" i="16"/>
  <c r="V1063" i="16"/>
  <c r="V1067" i="16"/>
  <c r="V1071" i="16"/>
  <c r="V1087" i="16"/>
  <c r="V1103" i="16"/>
  <c r="V1119" i="16"/>
  <c r="V1135" i="16"/>
  <c r="V1151" i="16"/>
  <c r="V1167" i="16"/>
  <c r="V1183" i="16"/>
  <c r="V1199" i="16"/>
  <c r="V1215" i="16"/>
  <c r="V1231" i="16"/>
  <c r="V1247" i="16"/>
  <c r="V1263" i="16"/>
  <c r="V1279" i="16"/>
  <c r="V1295" i="16"/>
  <c r="V1311" i="16"/>
  <c r="V1327" i="16"/>
  <c r="V1075" i="16"/>
  <c r="V1091" i="16"/>
  <c r="V1107" i="16"/>
  <c r="V1123" i="16"/>
  <c r="V1139" i="16"/>
  <c r="V1155" i="16"/>
  <c r="V1171" i="16"/>
  <c r="V1187" i="16"/>
  <c r="V1203" i="16"/>
  <c r="V1219" i="16"/>
  <c r="V1235" i="16"/>
  <c r="V1251" i="16"/>
  <c r="V1267" i="16"/>
  <c r="V1283" i="16"/>
  <c r="V1299" i="16"/>
  <c r="V1315" i="16"/>
  <c r="V1331" i="16"/>
  <c r="V1079" i="16"/>
  <c r="V1095" i="16"/>
  <c r="V1111" i="16"/>
  <c r="V1127" i="16"/>
  <c r="V1143" i="16"/>
  <c r="V1159" i="16"/>
  <c r="V1175" i="16"/>
  <c r="V1191" i="16"/>
  <c r="V1207" i="16"/>
  <c r="V1223" i="16"/>
  <c r="V1239" i="16"/>
  <c r="V1255" i="16"/>
  <c r="V1271" i="16"/>
  <c r="V1287" i="16"/>
  <c r="V1303" i="16"/>
  <c r="V1319" i="16"/>
  <c r="V1083" i="16"/>
  <c r="V1099" i="16"/>
  <c r="V1115" i="16"/>
  <c r="V1131" i="16"/>
  <c r="V1147" i="16"/>
  <c r="V1163" i="16"/>
  <c r="V1179" i="16"/>
  <c r="V1195" i="16"/>
  <c r="V1211" i="16"/>
  <c r="V1227" i="16"/>
  <c r="V1243" i="16"/>
  <c r="V1259" i="16"/>
  <c r="V1275" i="16"/>
  <c r="V1291" i="16"/>
  <c r="V1307" i="16"/>
  <c r="V1323" i="16"/>
  <c r="I1311" i="16"/>
  <c r="I1315" i="16"/>
  <c r="I1319" i="16"/>
  <c r="I1323" i="16"/>
  <c r="I1327" i="16"/>
  <c r="I1331" i="16"/>
  <c r="I1285" i="16"/>
  <c r="I1289" i="16"/>
  <c r="I1293" i="16"/>
  <c r="I1297" i="16"/>
  <c r="I1301" i="16"/>
  <c r="I1305" i="16"/>
  <c r="I1308" i="16"/>
  <c r="I1312" i="16"/>
  <c r="I1316" i="16"/>
  <c r="I1320" i="16"/>
  <c r="I1324" i="16"/>
  <c r="I1328" i="16"/>
  <c r="I1286" i="16"/>
  <c r="I1290" i="16"/>
  <c r="I1294" i="16"/>
  <c r="I1298" i="16"/>
  <c r="I1302" i="16"/>
  <c r="I1306" i="16"/>
  <c r="I1309" i="16"/>
  <c r="I1313" i="16"/>
  <c r="I1317" i="16"/>
  <c r="I1321" i="16"/>
  <c r="I1325" i="16"/>
  <c r="I1329" i="16"/>
  <c r="I1287" i="16"/>
  <c r="I1291" i="16"/>
  <c r="I1295" i="16"/>
  <c r="I1299" i="16"/>
  <c r="I1303" i="16"/>
  <c r="I1307" i="16"/>
  <c r="I1310" i="16"/>
  <c r="I1314" i="16"/>
  <c r="I1318" i="16"/>
  <c r="I1322" i="16"/>
  <c r="I1326" i="16"/>
  <c r="I1330" i="16"/>
  <c r="I1284" i="16"/>
  <c r="I1288" i="16"/>
  <c r="I1292" i="16"/>
  <c r="I1296" i="16"/>
  <c r="I1300" i="16"/>
  <c r="I1304" i="16"/>
  <c r="I4" i="16"/>
  <c r="I20" i="16"/>
  <c r="I36" i="16"/>
  <c r="I52" i="16"/>
  <c r="I68" i="16"/>
  <c r="I84" i="16"/>
  <c r="I100" i="16"/>
  <c r="I116" i="16"/>
  <c r="I132" i="16"/>
  <c r="I148" i="16"/>
  <c r="I164" i="16"/>
  <c r="I180" i="16"/>
  <c r="I196" i="16"/>
  <c r="I212" i="16"/>
  <c r="I228" i="16"/>
  <c r="I244" i="16"/>
  <c r="I260" i="16"/>
  <c r="I276" i="16"/>
  <c r="I292" i="16"/>
  <c r="I18" i="16"/>
  <c r="I39" i="16"/>
  <c r="I61" i="16"/>
  <c r="I82" i="16"/>
  <c r="I103" i="16"/>
  <c r="I125" i="16"/>
  <c r="I146" i="16"/>
  <c r="I167" i="16"/>
  <c r="I189" i="16"/>
  <c r="I210" i="16"/>
  <c r="I231" i="16"/>
  <c r="I253" i="16"/>
  <c r="I274" i="16"/>
  <c r="I295" i="16"/>
  <c r="I311" i="16"/>
  <c r="I327" i="16"/>
  <c r="I343" i="16"/>
  <c r="I359" i="16"/>
  <c r="I375" i="16"/>
  <c r="I391" i="16"/>
  <c r="I407" i="16"/>
  <c r="I423" i="16"/>
  <c r="I439" i="16"/>
  <c r="I455" i="16"/>
  <c r="I471" i="16"/>
  <c r="I487" i="16"/>
  <c r="I503" i="16"/>
  <c r="I519" i="16"/>
  <c r="I535" i="16"/>
  <c r="I551" i="16"/>
  <c r="I567" i="16"/>
  <c r="I583" i="16"/>
  <c r="I599" i="16"/>
  <c r="I615" i="16"/>
  <c r="I631" i="16"/>
  <c r="I647" i="16"/>
  <c r="I663" i="16"/>
  <c r="I679" i="16"/>
  <c r="I695" i="16"/>
  <c r="I711" i="16"/>
  <c r="I727" i="16"/>
  <c r="I743" i="16"/>
  <c r="I759" i="16"/>
  <c r="I775" i="16"/>
  <c r="I791" i="16"/>
  <c r="I807" i="16"/>
  <c r="I823" i="16"/>
  <c r="I839" i="16"/>
  <c r="I855" i="16"/>
  <c r="I871" i="16"/>
  <c r="I887" i="16"/>
  <c r="I903" i="16"/>
  <c r="I919" i="16"/>
  <c r="I935" i="16"/>
  <c r="I951" i="16"/>
  <c r="I967" i="16"/>
  <c r="I983" i="16"/>
  <c r="I999" i="16"/>
  <c r="I1015" i="16"/>
  <c r="I1031" i="16"/>
  <c r="I1047" i="16"/>
  <c r="I1063" i="16"/>
  <c r="I1079" i="16"/>
  <c r="I1095" i="16"/>
  <c r="I1111" i="16"/>
  <c r="I1127" i="16"/>
  <c r="I1143" i="16"/>
  <c r="I1159" i="16"/>
  <c r="I1175" i="16"/>
  <c r="I1191" i="16"/>
  <c r="I1207" i="16"/>
  <c r="I1223" i="16"/>
  <c r="I1239" i="16"/>
  <c r="I1255" i="16"/>
  <c r="I1271" i="16"/>
  <c r="I3" i="16"/>
  <c r="I25" i="16"/>
  <c r="I46" i="16"/>
  <c r="I67" i="16"/>
  <c r="I89" i="16"/>
  <c r="I110" i="16"/>
  <c r="I131" i="16"/>
  <c r="I153" i="16"/>
  <c r="I174" i="16"/>
  <c r="I6" i="16"/>
  <c r="I49" i="16"/>
  <c r="I91" i="16"/>
  <c r="I134" i="16"/>
  <c r="I177" i="16"/>
  <c r="I211" i="16"/>
  <c r="I246" i="16"/>
  <c r="I275" i="16"/>
  <c r="I301" i="16"/>
  <c r="I322" i="16"/>
  <c r="I344" i="16"/>
  <c r="I386" i="16"/>
  <c r="I424" i="16"/>
  <c r="I472" i="16"/>
  <c r="I509" i="16"/>
  <c r="I557" i="16"/>
  <c r="I600" i="16"/>
  <c r="I648" i="16"/>
  <c r="I690" i="16"/>
  <c r="I744" i="16"/>
  <c r="I792" i="16"/>
  <c r="I840" i="16"/>
  <c r="I882" i="16"/>
  <c r="I930" i="16"/>
  <c r="I10" i="16"/>
  <c r="I53" i="16"/>
  <c r="I95" i="16"/>
  <c r="I138" i="16"/>
  <c r="I181" i="16"/>
  <c r="I213" i="16"/>
  <c r="I241" i="16"/>
  <c r="I270" i="16"/>
  <c r="I297" i="16"/>
  <c r="I318" i="16"/>
  <c r="I340" i="16"/>
  <c r="I361" i="16"/>
  <c r="I382" i="16"/>
  <c r="I404" i="16"/>
  <c r="I425" i="16"/>
  <c r="I446" i="16"/>
  <c r="I468" i="16"/>
  <c r="I489" i="16"/>
  <c r="I510" i="16"/>
  <c r="I532" i="16"/>
  <c r="I553" i="16"/>
  <c r="I574" i="16"/>
  <c r="I596" i="16"/>
  <c r="I617" i="16"/>
  <c r="I638" i="16"/>
  <c r="I660" i="16"/>
  <c r="I681" i="16"/>
  <c r="I702" i="16"/>
  <c r="I724" i="16"/>
  <c r="I745" i="16"/>
  <c r="I766" i="16"/>
  <c r="I788" i="16"/>
  <c r="I809" i="16"/>
  <c r="I830" i="16"/>
  <c r="I852" i="16"/>
  <c r="I873" i="16"/>
  <c r="I894" i="16"/>
  <c r="I916" i="16"/>
  <c r="I937" i="16"/>
  <c r="I958" i="16"/>
  <c r="I980" i="16"/>
  <c r="I1001" i="16"/>
  <c r="I1022" i="16"/>
  <c r="I1044" i="16"/>
  <c r="I1065" i="16"/>
  <c r="I1086" i="16"/>
  <c r="I1108" i="16"/>
  <c r="I1129" i="16"/>
  <c r="I1150" i="16"/>
  <c r="I1172" i="16"/>
  <c r="I1193" i="16"/>
  <c r="I1214" i="16"/>
  <c r="I1236" i="16"/>
  <c r="I1257" i="16"/>
  <c r="I1278" i="16"/>
  <c r="I26" i="16"/>
  <c r="I69" i="16"/>
  <c r="I111" i="16"/>
  <c r="I154" i="16"/>
  <c r="I195" i="16"/>
  <c r="I223" i="16"/>
  <c r="I251" i="16"/>
  <c r="I281" i="16"/>
  <c r="I305" i="16"/>
  <c r="I326" i="16"/>
  <c r="I348" i="16"/>
  <c r="I369" i="16"/>
  <c r="I390" i="16"/>
  <c r="I412" i="16"/>
  <c r="I433" i="16"/>
  <c r="I454" i="16"/>
  <c r="I476" i="16"/>
  <c r="I497" i="16"/>
  <c r="I518" i="16"/>
  <c r="I540" i="16"/>
  <c r="I561" i="16"/>
  <c r="I582" i="16"/>
  <c r="I604" i="16"/>
  <c r="I625" i="16"/>
  <c r="I646" i="16"/>
  <c r="I668" i="16"/>
  <c r="I689" i="16"/>
  <c r="I710" i="16"/>
  <c r="I732" i="16"/>
  <c r="I753" i="16"/>
  <c r="I774" i="16"/>
  <c r="I796" i="16"/>
  <c r="I817" i="16"/>
  <c r="I838" i="16"/>
  <c r="I860" i="16"/>
  <c r="I881" i="16"/>
  <c r="I902" i="16"/>
  <c r="I924" i="16"/>
  <c r="I945" i="16"/>
  <c r="I966" i="16"/>
  <c r="I988" i="16"/>
  <c r="I1009" i="16"/>
  <c r="I1030" i="16"/>
  <c r="I1052" i="16"/>
  <c r="I1073" i="16"/>
  <c r="I1094" i="16"/>
  <c r="I1116" i="16"/>
  <c r="I1137" i="16"/>
  <c r="I1158" i="16"/>
  <c r="I1180" i="16"/>
  <c r="I1201" i="16"/>
  <c r="I1222" i="16"/>
  <c r="I1244" i="16"/>
  <c r="I1265" i="16"/>
  <c r="I239" i="16"/>
  <c r="I381" i="16"/>
  <c r="I429" i="16"/>
  <c r="I466" i="16"/>
  <c r="I514" i="16"/>
  <c r="I552" i="16"/>
  <c r="I594" i="16"/>
  <c r="I637" i="16"/>
  <c r="I674" i="16"/>
  <c r="I717" i="16"/>
  <c r="I749" i="16"/>
  <c r="I786" i="16"/>
  <c r="I824" i="16"/>
  <c r="I861" i="16"/>
  <c r="I909" i="16"/>
  <c r="I946" i="16"/>
  <c r="I978" i="16"/>
  <c r="I1000" i="16"/>
  <c r="I1021" i="16"/>
  <c r="I1042" i="16"/>
  <c r="I1064" i="16"/>
  <c r="I1085" i="16"/>
  <c r="I1106" i="16"/>
  <c r="I1128" i="16"/>
  <c r="I1149" i="16"/>
  <c r="I1170" i="16"/>
  <c r="I1192" i="16"/>
  <c r="I1213" i="16"/>
  <c r="I1234" i="16"/>
  <c r="I1256" i="16"/>
  <c r="I1277" i="16"/>
  <c r="I33" i="16"/>
  <c r="I75" i="16"/>
  <c r="I118" i="16"/>
  <c r="I161" i="16"/>
  <c r="I201" i="16"/>
  <c r="I229" i="16"/>
  <c r="I257" i="16"/>
  <c r="I286" i="16"/>
  <c r="I309" i="16"/>
  <c r="I330" i="16"/>
  <c r="I352" i="16"/>
  <c r="I373" i="16"/>
  <c r="I394" i="16"/>
  <c r="I416" i="16"/>
  <c r="I437" i="16"/>
  <c r="I458" i="16"/>
  <c r="I480" i="16"/>
  <c r="I501" i="16"/>
  <c r="I522" i="16"/>
  <c r="I544" i="16"/>
  <c r="I565" i="16"/>
  <c r="I586" i="16"/>
  <c r="I608" i="16"/>
  <c r="I629" i="16"/>
  <c r="I650" i="16"/>
  <c r="I672" i="16"/>
  <c r="I693" i="16"/>
  <c r="I714" i="16"/>
  <c r="I736" i="16"/>
  <c r="I757" i="16"/>
  <c r="I778" i="16"/>
  <c r="I800" i="16"/>
  <c r="I821" i="16"/>
  <c r="I842" i="16"/>
  <c r="I864" i="16"/>
  <c r="I885" i="16"/>
  <c r="I8" i="16"/>
  <c r="I24" i="16"/>
  <c r="I40" i="16"/>
  <c r="I56" i="16"/>
  <c r="I72" i="16"/>
  <c r="I88" i="16"/>
  <c r="I104" i="16"/>
  <c r="I120" i="16"/>
  <c r="I136" i="16"/>
  <c r="I152" i="16"/>
  <c r="I168" i="16"/>
  <c r="I184" i="16"/>
  <c r="I200" i="16"/>
  <c r="I216" i="16"/>
  <c r="I232" i="16"/>
  <c r="I248" i="16"/>
  <c r="I264" i="16"/>
  <c r="I280" i="16"/>
  <c r="I2" i="16"/>
  <c r="I23" i="16"/>
  <c r="I45" i="16"/>
  <c r="I66" i="16"/>
  <c r="I87" i="16"/>
  <c r="I109" i="16"/>
  <c r="I130" i="16"/>
  <c r="I151" i="16"/>
  <c r="I173" i="16"/>
  <c r="I194" i="16"/>
  <c r="I215" i="16"/>
  <c r="I237" i="16"/>
  <c r="I258" i="16"/>
  <c r="I279" i="16"/>
  <c r="I299" i="16"/>
  <c r="I315" i="16"/>
  <c r="I331" i="16"/>
  <c r="I347" i="16"/>
  <c r="I363" i="16"/>
  <c r="I379" i="16"/>
  <c r="I395" i="16"/>
  <c r="I411" i="16"/>
  <c r="I427" i="16"/>
  <c r="I443" i="16"/>
  <c r="I459" i="16"/>
  <c r="I475" i="16"/>
  <c r="I491" i="16"/>
  <c r="I507" i="16"/>
  <c r="I523" i="16"/>
  <c r="I539" i="16"/>
  <c r="I555" i="16"/>
  <c r="I571" i="16"/>
  <c r="I587" i="16"/>
  <c r="I603" i="16"/>
  <c r="I619" i="16"/>
  <c r="I635" i="16"/>
  <c r="I651" i="16"/>
  <c r="I667" i="16"/>
  <c r="I683" i="16"/>
  <c r="I699" i="16"/>
  <c r="I715" i="16"/>
  <c r="I731" i="16"/>
  <c r="I747" i="16"/>
  <c r="I763" i="16"/>
  <c r="I779" i="16"/>
  <c r="I795" i="16"/>
  <c r="I811" i="16"/>
  <c r="I827" i="16"/>
  <c r="I843" i="16"/>
  <c r="I859" i="16"/>
  <c r="I875" i="16"/>
  <c r="I891" i="16"/>
  <c r="I907" i="16"/>
  <c r="I923" i="16"/>
  <c r="I939" i="16"/>
  <c r="I955" i="16"/>
  <c r="I971" i="16"/>
  <c r="I987" i="16"/>
  <c r="I1003" i="16"/>
  <c r="I1019" i="16"/>
  <c r="I1035" i="16"/>
  <c r="I1051" i="16"/>
  <c r="I1067" i="16"/>
  <c r="I1083" i="16"/>
  <c r="I1099" i="16"/>
  <c r="I1115" i="16"/>
  <c r="I1131" i="16"/>
  <c r="I1147" i="16"/>
  <c r="I1163" i="16"/>
  <c r="I1179" i="16"/>
  <c r="I1195" i="16"/>
  <c r="I1211" i="16"/>
  <c r="I1227" i="16"/>
  <c r="I1243" i="16"/>
  <c r="I1259" i="16"/>
  <c r="I1275" i="16"/>
  <c r="I9" i="16"/>
  <c r="I30" i="16"/>
  <c r="I51" i="16"/>
  <c r="I73" i="16"/>
  <c r="I94" i="16"/>
  <c r="I115" i="16"/>
  <c r="I137" i="16"/>
  <c r="I158" i="16"/>
  <c r="I179" i="16"/>
  <c r="I17" i="16"/>
  <c r="I59" i="16"/>
  <c r="I102" i="16"/>
  <c r="I145" i="16"/>
  <c r="I187" i="16"/>
  <c r="I218" i="16"/>
  <c r="I254" i="16"/>
  <c r="I282" i="16"/>
  <c r="I306" i="16"/>
  <c r="I328" i="16"/>
  <c r="I349" i="16"/>
  <c r="I397" i="16"/>
  <c r="I434" i="16"/>
  <c r="I482" i="16"/>
  <c r="I520" i="16"/>
  <c r="I568" i="16"/>
  <c r="I610" i="16"/>
  <c r="I658" i="16"/>
  <c r="I696" i="16"/>
  <c r="I754" i="16"/>
  <c r="I808" i="16"/>
  <c r="I850" i="16"/>
  <c r="I893" i="16"/>
  <c r="I941" i="16"/>
  <c r="I21" i="16"/>
  <c r="I63" i="16"/>
  <c r="I106" i="16"/>
  <c r="I149" i="16"/>
  <c r="I191" i="16"/>
  <c r="I219" i="16"/>
  <c r="I249" i="16"/>
  <c r="I277" i="16"/>
  <c r="I302" i="16"/>
  <c r="I324" i="16"/>
  <c r="I345" i="16"/>
  <c r="I366" i="16"/>
  <c r="I388" i="16"/>
  <c r="I409" i="16"/>
  <c r="I430" i="16"/>
  <c r="I452" i="16"/>
  <c r="I473" i="16"/>
  <c r="I494" i="16"/>
  <c r="I516" i="16"/>
  <c r="I537" i="16"/>
  <c r="I558" i="16"/>
  <c r="I580" i="16"/>
  <c r="I601" i="16"/>
  <c r="I622" i="16"/>
  <c r="I644" i="16"/>
  <c r="I665" i="16"/>
  <c r="I686" i="16"/>
  <c r="I708" i="16"/>
  <c r="I729" i="16"/>
  <c r="I750" i="16"/>
  <c r="I772" i="16"/>
  <c r="I793" i="16"/>
  <c r="I814" i="16"/>
  <c r="I836" i="16"/>
  <c r="I857" i="16"/>
  <c r="I878" i="16"/>
  <c r="I900" i="16"/>
  <c r="I921" i="16"/>
  <c r="I942" i="16"/>
  <c r="I964" i="16"/>
  <c r="I985" i="16"/>
  <c r="I1006" i="16"/>
  <c r="I1028" i="16"/>
  <c r="I1049" i="16"/>
  <c r="I1070" i="16"/>
  <c r="I1092" i="16"/>
  <c r="I1113" i="16"/>
  <c r="I1134" i="16"/>
  <c r="I1156" i="16"/>
  <c r="I1177" i="16"/>
  <c r="I1198" i="16"/>
  <c r="I1220" i="16"/>
  <c r="I1241" i="16"/>
  <c r="I1262" i="16"/>
  <c r="I1274" i="16"/>
  <c r="I37" i="16"/>
  <c r="I79" i="16"/>
  <c r="I122" i="16"/>
  <c r="I165" i="16"/>
  <c r="I202" i="16"/>
  <c r="I230" i="16"/>
  <c r="I259" i="16"/>
  <c r="I287" i="16"/>
  <c r="I310" i="16"/>
  <c r="I332" i="16"/>
  <c r="I353" i="16"/>
  <c r="I374" i="16"/>
  <c r="I396" i="16"/>
  <c r="I417" i="16"/>
  <c r="I438" i="16"/>
  <c r="I460" i="16"/>
  <c r="I481" i="16"/>
  <c r="I502" i="16"/>
  <c r="I524" i="16"/>
  <c r="I545" i="16"/>
  <c r="I566" i="16"/>
  <c r="I588" i="16"/>
  <c r="I609" i="16"/>
  <c r="I630" i="16"/>
  <c r="I652" i="16"/>
  <c r="I673" i="16"/>
  <c r="I694" i="16"/>
  <c r="I716" i="16"/>
  <c r="I737" i="16"/>
  <c r="I758" i="16"/>
  <c r="I780" i="16"/>
  <c r="I801" i="16"/>
  <c r="I822" i="16"/>
  <c r="I844" i="16"/>
  <c r="I865" i="16"/>
  <c r="I886" i="16"/>
  <c r="I908" i="16"/>
  <c r="I929" i="16"/>
  <c r="I950" i="16"/>
  <c r="I972" i="16"/>
  <c r="I993" i="16"/>
  <c r="I1014" i="16"/>
  <c r="I1036" i="16"/>
  <c r="I1057" i="16"/>
  <c r="I1078" i="16"/>
  <c r="I1100" i="16"/>
  <c r="I1121" i="16"/>
  <c r="I1142" i="16"/>
  <c r="I1164" i="16"/>
  <c r="I1185" i="16"/>
  <c r="I1206" i="16"/>
  <c r="I1228" i="16"/>
  <c r="I1249" i="16"/>
  <c r="I1270" i="16"/>
  <c r="I360" i="16"/>
  <c r="I392" i="16"/>
  <c r="I440" i="16"/>
  <c r="I477" i="16"/>
  <c r="I525" i="16"/>
  <c r="I562" i="16"/>
  <c r="I605" i="16"/>
  <c r="I642" i="16"/>
  <c r="I685" i="16"/>
  <c r="I722" i="16"/>
  <c r="I760" i="16"/>
  <c r="I797" i="16"/>
  <c r="I834" i="16"/>
  <c r="I872" i="16"/>
  <c r="I914" i="16"/>
  <c r="I957" i="16"/>
  <c r="I984" i="16"/>
  <c r="I1005" i="16"/>
  <c r="I1026" i="16"/>
  <c r="I1048" i="16"/>
  <c r="I1069" i="16"/>
  <c r="I1090" i="16"/>
  <c r="I1112" i="16"/>
  <c r="I1133" i="16"/>
  <c r="I1154" i="16"/>
  <c r="I1176" i="16"/>
  <c r="I1197" i="16"/>
  <c r="I1218" i="16"/>
  <c r="I1240" i="16"/>
  <c r="I1261" i="16"/>
  <c r="I1282" i="16"/>
  <c r="I43" i="16"/>
  <c r="I86" i="16"/>
  <c r="I129" i="16"/>
  <c r="I171" i="16"/>
  <c r="I207" i="16"/>
  <c r="I235" i="16"/>
  <c r="I265" i="16"/>
  <c r="I293" i="16"/>
  <c r="I314" i="16"/>
  <c r="I336" i="16"/>
  <c r="I357" i="16"/>
  <c r="I378" i="16"/>
  <c r="I400" i="16"/>
  <c r="I421" i="16"/>
  <c r="I442" i="16"/>
  <c r="I464" i="16"/>
  <c r="I485" i="16"/>
  <c r="I506" i="16"/>
  <c r="I528" i="16"/>
  <c r="I549" i="16"/>
  <c r="I570" i="16"/>
  <c r="I592" i="16"/>
  <c r="I613" i="16"/>
  <c r="I634" i="16"/>
  <c r="I656" i="16"/>
  <c r="I677" i="16"/>
  <c r="I698" i="16"/>
  <c r="I720" i="16"/>
  <c r="I741" i="16"/>
  <c r="I762" i="16"/>
  <c r="I784" i="16"/>
  <c r="I805" i="16"/>
  <c r="I826" i="16"/>
  <c r="I848" i="16"/>
  <c r="I869" i="16"/>
  <c r="I890" i="16"/>
  <c r="I912" i="16"/>
  <c r="I933" i="16"/>
  <c r="I954" i="16"/>
  <c r="I976" i="16"/>
  <c r="I997" i="16"/>
  <c r="I1018" i="16"/>
  <c r="I1040" i="16"/>
  <c r="I1061" i="16"/>
  <c r="I1082" i="16"/>
  <c r="I1104" i="16"/>
  <c r="I1125" i="16"/>
  <c r="I1146" i="16"/>
  <c r="I1168" i="16"/>
  <c r="I1189" i="16"/>
  <c r="I1210" i="16"/>
  <c r="I1232" i="16"/>
  <c r="I1253" i="16"/>
  <c r="I1280" i="16"/>
  <c r="I12" i="16"/>
  <c r="I28" i="16"/>
  <c r="I44" i="16"/>
  <c r="I60" i="16"/>
  <c r="I76" i="16"/>
  <c r="I92" i="16"/>
  <c r="I108" i="16"/>
  <c r="I124" i="16"/>
  <c r="I140" i="16"/>
  <c r="I156" i="16"/>
  <c r="I172" i="16"/>
  <c r="I188" i="16"/>
  <c r="I204" i="16"/>
  <c r="I220" i="16"/>
  <c r="I236" i="16"/>
  <c r="I252" i="16"/>
  <c r="I268" i="16"/>
  <c r="I284" i="16"/>
  <c r="I7" i="16"/>
  <c r="I29" i="16"/>
  <c r="I50" i="16"/>
  <c r="I71" i="16"/>
  <c r="I93" i="16"/>
  <c r="I114" i="16"/>
  <c r="I135" i="16"/>
  <c r="I157" i="16"/>
  <c r="I178" i="16"/>
  <c r="I199" i="16"/>
  <c r="I221" i="16"/>
  <c r="I242" i="16"/>
  <c r="I263" i="16"/>
  <c r="I285" i="16"/>
  <c r="I303" i="16"/>
  <c r="I319" i="16"/>
  <c r="I335" i="16"/>
  <c r="I351" i="16"/>
  <c r="I367" i="16"/>
  <c r="I383" i="16"/>
  <c r="I399" i="16"/>
  <c r="I415" i="16"/>
  <c r="I431" i="16"/>
  <c r="I447" i="16"/>
  <c r="I463" i="16"/>
  <c r="I479" i="16"/>
  <c r="I495" i="16"/>
  <c r="I511" i="16"/>
  <c r="I527" i="16"/>
  <c r="I543" i="16"/>
  <c r="I559" i="16"/>
  <c r="I575" i="16"/>
  <c r="I591" i="16"/>
  <c r="I607" i="16"/>
  <c r="I623" i="16"/>
  <c r="I639" i="16"/>
  <c r="I655" i="16"/>
  <c r="I671" i="16"/>
  <c r="I687" i="16"/>
  <c r="I703" i="16"/>
  <c r="I719" i="16"/>
  <c r="I735" i="16"/>
  <c r="I751" i="16"/>
  <c r="I767" i="16"/>
  <c r="I783" i="16"/>
  <c r="I799" i="16"/>
  <c r="I815" i="16"/>
  <c r="I831" i="16"/>
  <c r="I847" i="16"/>
  <c r="I863" i="16"/>
  <c r="I879" i="16"/>
  <c r="I895" i="16"/>
  <c r="I911" i="16"/>
  <c r="I927" i="16"/>
  <c r="I943" i="16"/>
  <c r="I959" i="16"/>
  <c r="I975" i="16"/>
  <c r="I991" i="16"/>
  <c r="I1007" i="16"/>
  <c r="I1023" i="16"/>
  <c r="I1039" i="16"/>
  <c r="I1055" i="16"/>
  <c r="I1071" i="16"/>
  <c r="I1087" i="16"/>
  <c r="I1103" i="16"/>
  <c r="I1119" i="16"/>
  <c r="I1135" i="16"/>
  <c r="I1151" i="16"/>
  <c r="I1167" i="16"/>
  <c r="I1183" i="16"/>
  <c r="I1199" i="16"/>
  <c r="I1215" i="16"/>
  <c r="I1231" i="16"/>
  <c r="I1247" i="16"/>
  <c r="I1263" i="16"/>
  <c r="I1279" i="16"/>
  <c r="I14" i="16"/>
  <c r="I35" i="16"/>
  <c r="I57" i="16"/>
  <c r="I78" i="16"/>
  <c r="I99" i="16"/>
  <c r="I121" i="16"/>
  <c r="I142" i="16"/>
  <c r="I163" i="16"/>
  <c r="I185" i="16"/>
  <c r="I27" i="16"/>
  <c r="I70" i="16"/>
  <c r="I113" i="16"/>
  <c r="I155" i="16"/>
  <c r="I197" i="16"/>
  <c r="I225" i="16"/>
  <c r="I261" i="16"/>
  <c r="I289" i="16"/>
  <c r="I312" i="16"/>
  <c r="I333" i="16"/>
  <c r="I354" i="16"/>
  <c r="I408" i="16"/>
  <c r="I445" i="16"/>
  <c r="I493" i="16"/>
  <c r="I530" i="16"/>
  <c r="I578" i="16"/>
  <c r="I621" i="16"/>
  <c r="I669" i="16"/>
  <c r="I706" i="16"/>
  <c r="I765" i="16"/>
  <c r="I818" i="16"/>
  <c r="I866" i="16"/>
  <c r="I904" i="16"/>
  <c r="I952" i="16"/>
  <c r="I31" i="16"/>
  <c r="I74" i="16"/>
  <c r="I117" i="16"/>
  <c r="I159" i="16"/>
  <c r="I198" i="16"/>
  <c r="I227" i="16"/>
  <c r="I255" i="16"/>
  <c r="I283" i="16"/>
  <c r="I308" i="16"/>
  <c r="I329" i="16"/>
  <c r="I350" i="16"/>
  <c r="I372" i="16"/>
  <c r="I393" i="16"/>
  <c r="I414" i="16"/>
  <c r="I436" i="16"/>
  <c r="I457" i="16"/>
  <c r="I478" i="16"/>
  <c r="I500" i="16"/>
  <c r="I521" i="16"/>
  <c r="I542" i="16"/>
  <c r="I564" i="16"/>
  <c r="I585" i="16"/>
  <c r="I606" i="16"/>
  <c r="I628" i="16"/>
  <c r="I649" i="16"/>
  <c r="I670" i="16"/>
  <c r="I692" i="16"/>
  <c r="I713" i="16"/>
  <c r="I734" i="16"/>
  <c r="I756" i="16"/>
  <c r="I777" i="16"/>
  <c r="I798" i="16"/>
  <c r="I820" i="16"/>
  <c r="I841" i="16"/>
  <c r="I862" i="16"/>
  <c r="I884" i="16"/>
  <c r="I905" i="16"/>
  <c r="I926" i="16"/>
  <c r="I948" i="16"/>
  <c r="I969" i="16"/>
  <c r="I990" i="16"/>
  <c r="I1012" i="16"/>
  <c r="I1033" i="16"/>
  <c r="I1054" i="16"/>
  <c r="I1076" i="16"/>
  <c r="I1097" i="16"/>
  <c r="I1118" i="16"/>
  <c r="I1140" i="16"/>
  <c r="I1161" i="16"/>
  <c r="I1182" i="16"/>
  <c r="I1204" i="16"/>
  <c r="I1225" i="16"/>
  <c r="I1246" i="16"/>
  <c r="I1268" i="16"/>
  <c r="I5" i="16"/>
  <c r="I47" i="16"/>
  <c r="I90" i="16"/>
  <c r="I133" i="16"/>
  <c r="I175" i="16"/>
  <c r="I209" i="16"/>
  <c r="I238" i="16"/>
  <c r="I266" i="16"/>
  <c r="I294" i="16"/>
  <c r="I316" i="16"/>
  <c r="I337" i="16"/>
  <c r="I358" i="16"/>
  <c r="I380" i="16"/>
  <c r="I401" i="16"/>
  <c r="I422" i="16"/>
  <c r="I444" i="16"/>
  <c r="I465" i="16"/>
  <c r="I486" i="16"/>
  <c r="I508" i="16"/>
  <c r="I529" i="16"/>
  <c r="I550" i="16"/>
  <c r="I572" i="16"/>
  <c r="I593" i="16"/>
  <c r="I614" i="16"/>
  <c r="I636" i="16"/>
  <c r="I657" i="16"/>
  <c r="I678" i="16"/>
  <c r="I700" i="16"/>
  <c r="I721" i="16"/>
  <c r="I742" i="16"/>
  <c r="I764" i="16"/>
  <c r="I785" i="16"/>
  <c r="I806" i="16"/>
  <c r="I828" i="16"/>
  <c r="I849" i="16"/>
  <c r="I870" i="16"/>
  <c r="I892" i="16"/>
  <c r="I913" i="16"/>
  <c r="I934" i="16"/>
  <c r="I956" i="16"/>
  <c r="I977" i="16"/>
  <c r="I998" i="16"/>
  <c r="I1020" i="16"/>
  <c r="I1041" i="16"/>
  <c r="I1062" i="16"/>
  <c r="I1084" i="16"/>
  <c r="I1105" i="16"/>
  <c r="I1126" i="16"/>
  <c r="I1148" i="16"/>
  <c r="I1169" i="16"/>
  <c r="I1190" i="16"/>
  <c r="I1212" i="16"/>
  <c r="I1233" i="16"/>
  <c r="I1254" i="16"/>
  <c r="I1276" i="16"/>
  <c r="I365" i="16"/>
  <c r="I402" i="16"/>
  <c r="I450" i="16"/>
  <c r="I488" i="16"/>
  <c r="I536" i="16"/>
  <c r="I573" i="16"/>
  <c r="I616" i="16"/>
  <c r="I653" i="16"/>
  <c r="I701" i="16"/>
  <c r="I728" i="16"/>
  <c r="I770" i="16"/>
  <c r="I802" i="16"/>
  <c r="I845" i="16"/>
  <c r="I888" i="16"/>
  <c r="I925" i="16"/>
  <c r="I968" i="16"/>
  <c r="I989" i="16"/>
  <c r="I1010" i="16"/>
  <c r="I1032" i="16"/>
  <c r="I1053" i="16"/>
  <c r="I1074" i="16"/>
  <c r="I1096" i="16"/>
  <c r="I1117" i="16"/>
  <c r="I1138" i="16"/>
  <c r="I1160" i="16"/>
  <c r="I1181" i="16"/>
  <c r="I1202" i="16"/>
  <c r="I1224" i="16"/>
  <c r="I1245" i="16"/>
  <c r="I1266" i="16"/>
  <c r="I11" i="16"/>
  <c r="I54" i="16"/>
  <c r="I97" i="16"/>
  <c r="I139" i="16"/>
  <c r="I182" i="16"/>
  <c r="I214" i="16"/>
  <c r="I243" i="16"/>
  <c r="I271" i="16"/>
  <c r="I298" i="16"/>
  <c r="I320" i="16"/>
  <c r="I341" i="16"/>
  <c r="I362" i="16"/>
  <c r="I384" i="16"/>
  <c r="I405" i="16"/>
  <c r="I426" i="16"/>
  <c r="I448" i="16"/>
  <c r="I469" i="16"/>
  <c r="I490" i="16"/>
  <c r="I512" i="16"/>
  <c r="I533" i="16"/>
  <c r="I554" i="16"/>
  <c r="I576" i="16"/>
  <c r="I597" i="16"/>
  <c r="I618" i="16"/>
  <c r="I640" i="16"/>
  <c r="I661" i="16"/>
  <c r="I682" i="16"/>
  <c r="I704" i="16"/>
  <c r="I725" i="16"/>
  <c r="I746" i="16"/>
  <c r="I768" i="16"/>
  <c r="I789" i="16"/>
  <c r="I810" i="16"/>
  <c r="I832" i="16"/>
  <c r="I853" i="16"/>
  <c r="I874" i="16"/>
  <c r="I896" i="16"/>
  <c r="I16" i="16"/>
  <c r="I32" i="16"/>
  <c r="I48" i="16"/>
  <c r="I64" i="16"/>
  <c r="I80" i="16"/>
  <c r="I96" i="16"/>
  <c r="I112" i="16"/>
  <c r="I128" i="16"/>
  <c r="I144" i="16"/>
  <c r="I160" i="16"/>
  <c r="I176" i="16"/>
  <c r="I192" i="16"/>
  <c r="I208" i="16"/>
  <c r="I224" i="16"/>
  <c r="I240" i="16"/>
  <c r="I256" i="16"/>
  <c r="I272" i="16"/>
  <c r="I288" i="16"/>
  <c r="I13" i="16"/>
  <c r="I34" i="16"/>
  <c r="I55" i="16"/>
  <c r="I77" i="16"/>
  <c r="I98" i="16"/>
  <c r="I119" i="16"/>
  <c r="I141" i="16"/>
  <c r="I162" i="16"/>
  <c r="I183" i="16"/>
  <c r="I205" i="16"/>
  <c r="I226" i="16"/>
  <c r="I247" i="16"/>
  <c r="I269" i="16"/>
  <c r="I290" i="16"/>
  <c r="I307" i="16"/>
  <c r="I323" i="16"/>
  <c r="I339" i="16"/>
  <c r="I355" i="16"/>
  <c r="I371" i="16"/>
  <c r="I387" i="16"/>
  <c r="I403" i="16"/>
  <c r="I419" i="16"/>
  <c r="I435" i="16"/>
  <c r="I451" i="16"/>
  <c r="I467" i="16"/>
  <c r="I483" i="16"/>
  <c r="I499" i="16"/>
  <c r="I515" i="16"/>
  <c r="I531" i="16"/>
  <c r="I547" i="16"/>
  <c r="I563" i="16"/>
  <c r="I579" i="16"/>
  <c r="I595" i="16"/>
  <c r="I611" i="16"/>
  <c r="I627" i="16"/>
  <c r="I643" i="16"/>
  <c r="I659" i="16"/>
  <c r="I675" i="16"/>
  <c r="I691" i="16"/>
  <c r="I707" i="16"/>
  <c r="I723" i="16"/>
  <c r="I739" i="16"/>
  <c r="I755" i="16"/>
  <c r="I771" i="16"/>
  <c r="I787" i="16"/>
  <c r="I803" i="16"/>
  <c r="I819" i="16"/>
  <c r="I835" i="16"/>
  <c r="I851" i="16"/>
  <c r="I867" i="16"/>
  <c r="I883" i="16"/>
  <c r="I899" i="16"/>
  <c r="I915" i="16"/>
  <c r="I931" i="16"/>
  <c r="I947" i="16"/>
  <c r="I963" i="16"/>
  <c r="I979" i="16"/>
  <c r="I995" i="16"/>
  <c r="I1011" i="16"/>
  <c r="I1027" i="16"/>
  <c r="I1043" i="16"/>
  <c r="I1059" i="16"/>
  <c r="I1075" i="16"/>
  <c r="I1091" i="16"/>
  <c r="I1107" i="16"/>
  <c r="I1123" i="16"/>
  <c r="I1139" i="16"/>
  <c r="I1155" i="16"/>
  <c r="I1171" i="16"/>
  <c r="I1187" i="16"/>
  <c r="I1203" i="16"/>
  <c r="I1219" i="16"/>
  <c r="I1235" i="16"/>
  <c r="I1251" i="16"/>
  <c r="I1267" i="16"/>
  <c r="I1283" i="16"/>
  <c r="I19" i="16"/>
  <c r="I41" i="16"/>
  <c r="I62" i="16"/>
  <c r="I83" i="16"/>
  <c r="I105" i="16"/>
  <c r="I126" i="16"/>
  <c r="I147" i="16"/>
  <c r="I169" i="16"/>
  <c r="I190" i="16"/>
  <c r="I38" i="16"/>
  <c r="I81" i="16"/>
  <c r="I123" i="16"/>
  <c r="I166" i="16"/>
  <c r="I203" i="16"/>
  <c r="I233" i="16"/>
  <c r="I267" i="16"/>
  <c r="I296" i="16"/>
  <c r="I317" i="16"/>
  <c r="I338" i="16"/>
  <c r="I376" i="16"/>
  <c r="I413" i="16"/>
  <c r="I461" i="16"/>
  <c r="I498" i="16"/>
  <c r="I541" i="16"/>
  <c r="I589" i="16"/>
  <c r="I632" i="16"/>
  <c r="I680" i="16"/>
  <c r="I733" i="16"/>
  <c r="I776" i="16"/>
  <c r="I829" i="16"/>
  <c r="I877" i="16"/>
  <c r="I920" i="16"/>
  <c r="I962" i="16"/>
  <c r="I42" i="16"/>
  <c r="I85" i="16"/>
  <c r="I127" i="16"/>
  <c r="I170" i="16"/>
  <c r="I206" i="16"/>
  <c r="I234" i="16"/>
  <c r="I262" i="16"/>
  <c r="I291" i="16"/>
  <c r="I313" i="16"/>
  <c r="I334" i="16"/>
  <c r="I356" i="16"/>
  <c r="I377" i="16"/>
  <c r="I398" i="16"/>
  <c r="I420" i="16"/>
  <c r="I441" i="16"/>
  <c r="I462" i="16"/>
  <c r="I484" i="16"/>
  <c r="I505" i="16"/>
  <c r="I526" i="16"/>
  <c r="I548" i="16"/>
  <c r="I569" i="16"/>
  <c r="I590" i="16"/>
  <c r="I612" i="16"/>
  <c r="I633" i="16"/>
  <c r="I654" i="16"/>
  <c r="I676" i="16"/>
  <c r="I697" i="16"/>
  <c r="I718" i="16"/>
  <c r="I740" i="16"/>
  <c r="I761" i="16"/>
  <c r="I782" i="16"/>
  <c r="I804" i="16"/>
  <c r="I825" i="16"/>
  <c r="I846" i="16"/>
  <c r="I868" i="16"/>
  <c r="I889" i="16"/>
  <c r="I910" i="16"/>
  <c r="I932" i="16"/>
  <c r="I953" i="16"/>
  <c r="I974" i="16"/>
  <c r="I996" i="16"/>
  <c r="I1017" i="16"/>
  <c r="I1038" i="16"/>
  <c r="I1060" i="16"/>
  <c r="I1081" i="16"/>
  <c r="I1102" i="16"/>
  <c r="I1124" i="16"/>
  <c r="I1145" i="16"/>
  <c r="I1166" i="16"/>
  <c r="I1188" i="16"/>
  <c r="I1209" i="16"/>
  <c r="I1230" i="16"/>
  <c r="I1252" i="16"/>
  <c r="I1273" i="16"/>
  <c r="I15" i="16"/>
  <c r="I58" i="16"/>
  <c r="I101" i="16"/>
  <c r="I143" i="16"/>
  <c r="I186" i="16"/>
  <c r="I217" i="16"/>
  <c r="I245" i="16"/>
  <c r="I273" i="16"/>
  <c r="I300" i="16"/>
  <c r="I321" i="16"/>
  <c r="I342" i="16"/>
  <c r="I364" i="16"/>
  <c r="I385" i="16"/>
  <c r="I406" i="16"/>
  <c r="I428" i="16"/>
  <c r="I449" i="16"/>
  <c r="I470" i="16"/>
  <c r="I492" i="16"/>
  <c r="I513" i="16"/>
  <c r="I534" i="16"/>
  <c r="I556" i="16"/>
  <c r="I577" i="16"/>
  <c r="I598" i="16"/>
  <c r="I620" i="16"/>
  <c r="I641" i="16"/>
  <c r="I662" i="16"/>
  <c r="I684" i="16"/>
  <c r="I705" i="16"/>
  <c r="I726" i="16"/>
  <c r="I748" i="16"/>
  <c r="I769" i="16"/>
  <c r="I790" i="16"/>
  <c r="I812" i="16"/>
  <c r="I833" i="16"/>
  <c r="I854" i="16"/>
  <c r="I876" i="16"/>
  <c r="I897" i="16"/>
  <c r="I918" i="16"/>
  <c r="I940" i="16"/>
  <c r="I961" i="16"/>
  <c r="I982" i="16"/>
  <c r="I1004" i="16"/>
  <c r="I1025" i="16"/>
  <c r="I1046" i="16"/>
  <c r="I1068" i="16"/>
  <c r="I1089" i="16"/>
  <c r="I1110" i="16"/>
  <c r="I1132" i="16"/>
  <c r="I1153" i="16"/>
  <c r="I1174" i="16"/>
  <c r="I1196" i="16"/>
  <c r="I1217" i="16"/>
  <c r="I1238" i="16"/>
  <c r="I1260" i="16"/>
  <c r="I1281" i="16"/>
  <c r="I370" i="16"/>
  <c r="I418" i="16"/>
  <c r="I456" i="16"/>
  <c r="I504" i="16"/>
  <c r="I546" i="16"/>
  <c r="I584" i="16"/>
  <c r="I626" i="16"/>
  <c r="I664" i="16"/>
  <c r="I712" i="16"/>
  <c r="I738" i="16"/>
  <c r="I781" i="16"/>
  <c r="I813" i="16"/>
  <c r="I856" i="16"/>
  <c r="I898" i="16"/>
  <c r="I936" i="16"/>
  <c r="I973" i="16"/>
  <c r="I994" i="16"/>
  <c r="I1016" i="16"/>
  <c r="I1037" i="16"/>
  <c r="I1058" i="16"/>
  <c r="I1080" i="16"/>
  <c r="I1101" i="16"/>
  <c r="I1122" i="16"/>
  <c r="I1144" i="16"/>
  <c r="I1165" i="16"/>
  <c r="I1186" i="16"/>
  <c r="I1208" i="16"/>
  <c r="I1229" i="16"/>
  <c r="I1250" i="16"/>
  <c r="I1272" i="16"/>
  <c r="I22" i="16"/>
  <c r="I65" i="16"/>
  <c r="I107" i="16"/>
  <c r="I150" i="16"/>
  <c r="I193" i="16"/>
  <c r="I222" i="16"/>
  <c r="I250" i="16"/>
  <c r="I278" i="16"/>
  <c r="I304" i="16"/>
  <c r="I325" i="16"/>
  <c r="I346" i="16"/>
  <c r="I368" i="16"/>
  <c r="I389" i="16"/>
  <c r="I410" i="16"/>
  <c r="I432" i="16"/>
  <c r="I453" i="16"/>
  <c r="I474" i="16"/>
  <c r="I496" i="16"/>
  <c r="I517" i="16"/>
  <c r="I538" i="16"/>
  <c r="I560" i="16"/>
  <c r="I581" i="16"/>
  <c r="I602" i="16"/>
  <c r="I624" i="16"/>
  <c r="I645" i="16"/>
  <c r="I666" i="16"/>
  <c r="I688" i="16"/>
  <c r="I709" i="16"/>
  <c r="I730" i="16"/>
  <c r="I752" i="16"/>
  <c r="I773" i="16"/>
  <c r="I794" i="16"/>
  <c r="I816" i="16"/>
  <c r="I837" i="16"/>
  <c r="I858" i="16"/>
  <c r="I880" i="16"/>
  <c r="I901" i="16"/>
  <c r="I922" i="16"/>
  <c r="I944" i="16"/>
  <c r="I965" i="16"/>
  <c r="I986" i="16"/>
  <c r="I1008" i="16"/>
  <c r="I1029" i="16"/>
  <c r="I1050" i="16"/>
  <c r="I1072" i="16"/>
  <c r="I1093" i="16"/>
  <c r="I1114" i="16"/>
  <c r="I1136" i="16"/>
  <c r="I1157" i="16"/>
  <c r="I1178" i="16"/>
  <c r="I1200" i="16"/>
  <c r="I1221" i="16"/>
  <c r="I1242" i="16"/>
  <c r="I1264" i="16"/>
  <c r="I906" i="16"/>
  <c r="I949" i="16"/>
  <c r="I992" i="16"/>
  <c r="I1034" i="16"/>
  <c r="I1077" i="16"/>
  <c r="I1120" i="16"/>
  <c r="I1162" i="16"/>
  <c r="I1205" i="16"/>
  <c r="I1248" i="16"/>
  <c r="I917" i="16"/>
  <c r="I960" i="16"/>
  <c r="I1002" i="16"/>
  <c r="I1045" i="16"/>
  <c r="I1088" i="16"/>
  <c r="I1130" i="16"/>
  <c r="I1173" i="16"/>
  <c r="I1216" i="16"/>
  <c r="I1258" i="16"/>
  <c r="I928" i="16"/>
  <c r="I970" i="16"/>
  <c r="I1013" i="16"/>
  <c r="I1056" i="16"/>
  <c r="I1098" i="16"/>
  <c r="I1141" i="16"/>
  <c r="I1184" i="16"/>
  <c r="I1226" i="16"/>
  <c r="I1269" i="16"/>
  <c r="I938" i="16"/>
  <c r="I981" i="16"/>
  <c r="I1024" i="16"/>
  <c r="I1066" i="16"/>
  <c r="I1109" i="16"/>
  <c r="I1152" i="16"/>
  <c r="I1194" i="16"/>
  <c r="I1237" i="16"/>
  <c r="Q1311" i="16"/>
  <c r="Q1315" i="16"/>
  <c r="Q1319" i="16"/>
  <c r="T1319" i="16" s="1"/>
  <c r="Q1323" i="16"/>
  <c r="Q1327" i="16"/>
  <c r="Q1331" i="16"/>
  <c r="Q1285" i="16"/>
  <c r="Q1289" i="16"/>
  <c r="Q1293" i="16"/>
  <c r="Q1297" i="16"/>
  <c r="Q1301" i="16"/>
  <c r="Q1305" i="16"/>
  <c r="Q1308" i="16"/>
  <c r="Q1312" i="16"/>
  <c r="T1312" i="16" s="1"/>
  <c r="Q1316" i="16"/>
  <c r="Q1320" i="16"/>
  <c r="Q1324" i="16"/>
  <c r="T1324" i="16" s="1"/>
  <c r="Q1328" i="16"/>
  <c r="Q1286" i="16"/>
  <c r="Q1290" i="16"/>
  <c r="Q1294" i="16"/>
  <c r="Q1298" i="16"/>
  <c r="T1298" i="16" s="1"/>
  <c r="Q1302" i="16"/>
  <c r="Q1306" i="16"/>
  <c r="Q1309" i="16"/>
  <c r="Q1313" i="16"/>
  <c r="Q1317" i="16"/>
  <c r="Q1321" i="16"/>
  <c r="Q1325" i="16"/>
  <c r="Q1329" i="16"/>
  <c r="Q1287" i="16"/>
  <c r="T1287" i="16" s="1"/>
  <c r="Q1291" i="16"/>
  <c r="Q1295" i="16"/>
  <c r="Q1299" i="16"/>
  <c r="Q1303" i="16"/>
  <c r="T1303" i="16" s="1"/>
  <c r="Q1307" i="16"/>
  <c r="Q1310" i="16"/>
  <c r="Q1314" i="16"/>
  <c r="T1314" i="16" s="1"/>
  <c r="Q1318" i="16"/>
  <c r="Q1322" i="16"/>
  <c r="Q1326" i="16"/>
  <c r="Q1330" i="16"/>
  <c r="T1330" i="16" s="1"/>
  <c r="Q1284" i="16"/>
  <c r="T1284" i="16" s="1"/>
  <c r="Q1288" i="16"/>
  <c r="Q1292" i="16"/>
  <c r="Q1296" i="16"/>
  <c r="Q1300" i="16"/>
  <c r="Q1304" i="16"/>
  <c r="Q8" i="16"/>
  <c r="Q24" i="16"/>
  <c r="T24" i="16" s="1"/>
  <c r="Q40" i="16"/>
  <c r="Q56" i="16"/>
  <c r="Q72" i="16"/>
  <c r="Q88" i="16"/>
  <c r="T88" i="16" s="1"/>
  <c r="Q104" i="16"/>
  <c r="Q120" i="16"/>
  <c r="Q13" i="16"/>
  <c r="T13" i="16" s="1"/>
  <c r="Q34" i="16"/>
  <c r="T34" i="16" s="1"/>
  <c r="Q55" i="16"/>
  <c r="Q77" i="16"/>
  <c r="Q98" i="16"/>
  <c r="Q119" i="16"/>
  <c r="Q137" i="16"/>
  <c r="T137" i="16" s="1"/>
  <c r="Q153" i="16"/>
  <c r="Q169" i="16"/>
  <c r="Q185" i="16"/>
  <c r="Q201" i="16"/>
  <c r="T201" i="16" s="1"/>
  <c r="Q217" i="16"/>
  <c r="Q233" i="16"/>
  <c r="Q249" i="16"/>
  <c r="Q265" i="16"/>
  <c r="T265" i="16" s="1"/>
  <c r="Q281" i="16"/>
  <c r="Q297" i="16"/>
  <c r="Q313" i="16"/>
  <c r="Q329" i="16"/>
  <c r="T329" i="16" s="1"/>
  <c r="Q345" i="16"/>
  <c r="Q361" i="16"/>
  <c r="Q377" i="16"/>
  <c r="Q393" i="16"/>
  <c r="T393" i="16" s="1"/>
  <c r="Q409" i="16"/>
  <c r="Q425" i="16"/>
  <c r="T425" i="16" s="1"/>
  <c r="Q441" i="16"/>
  <c r="T441" i="16" s="1"/>
  <c r="Q457" i="16"/>
  <c r="T457" i="16" s="1"/>
  <c r="Q473" i="16"/>
  <c r="Q489" i="16"/>
  <c r="T489" i="16" s="1"/>
  <c r="Q505" i="16"/>
  <c r="T505" i="16" s="1"/>
  <c r="Q521" i="16"/>
  <c r="T521" i="16" s="1"/>
  <c r="Q537" i="16"/>
  <c r="Q553" i="16"/>
  <c r="T553" i="16" s="1"/>
  <c r="Q569" i="16"/>
  <c r="T569" i="16" s="1"/>
  <c r="Q585" i="16"/>
  <c r="T585" i="16" s="1"/>
  <c r="Q601" i="16"/>
  <c r="Q617" i="16"/>
  <c r="T617" i="16" s="1"/>
  <c r="Q633" i="16"/>
  <c r="T633" i="16" s="1"/>
  <c r="Q649" i="16"/>
  <c r="T649" i="16" s="1"/>
  <c r="Q665" i="16"/>
  <c r="Q681" i="16"/>
  <c r="T681" i="16" s="1"/>
  <c r="Q697" i="16"/>
  <c r="T697" i="16" s="1"/>
  <c r="Q713" i="16"/>
  <c r="T713" i="16" s="1"/>
  <c r="Q729" i="16"/>
  <c r="Q745" i="16"/>
  <c r="T745" i="16" s="1"/>
  <c r="Q761" i="16"/>
  <c r="T761" i="16" s="1"/>
  <c r="Q777" i="16"/>
  <c r="T777" i="16" s="1"/>
  <c r="Q793" i="16"/>
  <c r="Q809" i="16"/>
  <c r="T809" i="16" s="1"/>
  <c r="Q825" i="16"/>
  <c r="T825" i="16" s="1"/>
  <c r="Q841" i="16"/>
  <c r="T841" i="16" s="1"/>
  <c r="Q857" i="16"/>
  <c r="Q873" i="16"/>
  <c r="T873" i="16" s="1"/>
  <c r="Q889" i="16"/>
  <c r="T889" i="16" s="1"/>
  <c r="Q905" i="16"/>
  <c r="T905" i="16" s="1"/>
  <c r="Q921" i="16"/>
  <c r="Q937" i="16"/>
  <c r="T937" i="16" s="1"/>
  <c r="Q953" i="16"/>
  <c r="T953" i="16" s="1"/>
  <c r="Q969" i="16"/>
  <c r="T969" i="16" s="1"/>
  <c r="Q985" i="16"/>
  <c r="Q1001" i="16"/>
  <c r="T1001" i="16" s="1"/>
  <c r="Q1017" i="16"/>
  <c r="T1017" i="16" s="1"/>
  <c r="Q1033" i="16"/>
  <c r="T1033" i="16" s="1"/>
  <c r="Q1049" i="16"/>
  <c r="Q1065" i="16"/>
  <c r="T1065" i="16" s="1"/>
  <c r="Q1081" i="16"/>
  <c r="T1081" i="16" s="1"/>
  <c r="Q1097" i="16"/>
  <c r="T1097" i="16" s="1"/>
  <c r="Q1113" i="16"/>
  <c r="Q1129" i="16"/>
  <c r="T1129" i="16" s="1"/>
  <c r="Q1145" i="16"/>
  <c r="Q1161" i="16"/>
  <c r="Q1177" i="16"/>
  <c r="Q1193" i="16"/>
  <c r="T1193" i="16" s="1"/>
  <c r="Q1209" i="16"/>
  <c r="Q1225" i="16"/>
  <c r="Q1241" i="16"/>
  <c r="Q1257" i="16"/>
  <c r="T1257" i="16" s="1"/>
  <c r="Q1273" i="16"/>
  <c r="Q9" i="16"/>
  <c r="T9" i="16" s="1"/>
  <c r="Q30" i="16"/>
  <c r="Q51" i="16"/>
  <c r="T51" i="16" s="1"/>
  <c r="Q73" i="16"/>
  <c r="T73" i="16" s="1"/>
  <c r="Q94" i="16"/>
  <c r="Q115" i="16"/>
  <c r="Q134" i="16"/>
  <c r="T134" i="16" s="1"/>
  <c r="Q150" i="16"/>
  <c r="T150" i="16" s="1"/>
  <c r="Q166" i="16"/>
  <c r="T166" i="16" s="1"/>
  <c r="Q182" i="16"/>
  <c r="Q198" i="16"/>
  <c r="T198" i="16" s="1"/>
  <c r="Q214" i="16"/>
  <c r="T214" i="16" s="1"/>
  <c r="Q230" i="16"/>
  <c r="T230" i="16" s="1"/>
  <c r="Q246" i="16"/>
  <c r="Q262" i="16"/>
  <c r="T262" i="16" s="1"/>
  <c r="Q278" i="16"/>
  <c r="T278" i="16" s="1"/>
  <c r="Q294" i="16"/>
  <c r="T294" i="16" s="1"/>
  <c r="Q310" i="16"/>
  <c r="Q326" i="16"/>
  <c r="T326" i="16" s="1"/>
  <c r="Q342" i="16"/>
  <c r="T342" i="16" s="1"/>
  <c r="Q358" i="16"/>
  <c r="T358" i="16" s="1"/>
  <c r="Q374" i="16"/>
  <c r="Q390" i="16"/>
  <c r="T390" i="16" s="1"/>
  <c r="Q406" i="16"/>
  <c r="T406" i="16" s="1"/>
  <c r="Q422" i="16"/>
  <c r="T422" i="16" s="1"/>
  <c r="Q438" i="16"/>
  <c r="Q454" i="16"/>
  <c r="T454" i="16" s="1"/>
  <c r="Q12" i="16"/>
  <c r="T12" i="16" s="1"/>
  <c r="Q28" i="16"/>
  <c r="Q44" i="16"/>
  <c r="T44" i="16" s="1"/>
  <c r="Q60" i="16"/>
  <c r="T60" i="16" s="1"/>
  <c r="Q76" i="16"/>
  <c r="T76" i="16" s="1"/>
  <c r="Q92" i="16"/>
  <c r="Q108" i="16"/>
  <c r="Q124" i="16"/>
  <c r="T124" i="16" s="1"/>
  <c r="Q18" i="16"/>
  <c r="Q39" i="16"/>
  <c r="Q61" i="16"/>
  <c r="Q82" i="16"/>
  <c r="T82" i="16" s="1"/>
  <c r="Q103" i="16"/>
  <c r="T103" i="16" s="1"/>
  <c r="Q125" i="16"/>
  <c r="T125" i="16" s="1"/>
  <c r="Q141" i="16"/>
  <c r="T141" i="16" s="1"/>
  <c r="Q157" i="16"/>
  <c r="T157" i="16" s="1"/>
  <c r="Q173" i="16"/>
  <c r="T173" i="16" s="1"/>
  <c r="Q189" i="16"/>
  <c r="T189" i="16" s="1"/>
  <c r="Q205" i="16"/>
  <c r="Q221" i="16"/>
  <c r="Q237" i="16"/>
  <c r="Q253" i="16"/>
  <c r="Q269" i="16"/>
  <c r="Q285" i="16"/>
  <c r="Q301" i="16"/>
  <c r="T301" i="16" s="1"/>
  <c r="Q317" i="16"/>
  <c r="Q333" i="16"/>
  <c r="Q349" i="16"/>
  <c r="T349" i="16" s="1"/>
  <c r="Q365" i="16"/>
  <c r="Q381" i="16"/>
  <c r="T381" i="16" s="1"/>
  <c r="Q397" i="16"/>
  <c r="T397" i="16" s="1"/>
  <c r="Q413" i="16"/>
  <c r="T413" i="16" s="1"/>
  <c r="Q429" i="16"/>
  <c r="T429" i="16" s="1"/>
  <c r="Q445" i="16"/>
  <c r="Q461" i="16"/>
  <c r="Q477" i="16"/>
  <c r="Q493" i="16"/>
  <c r="T493" i="16" s="1"/>
  <c r="Q509" i="16"/>
  <c r="T509" i="16" s="1"/>
  <c r="Q525" i="16"/>
  <c r="Q541" i="16"/>
  <c r="T541" i="16" s="1"/>
  <c r="Q557" i="16"/>
  <c r="T557" i="16" s="1"/>
  <c r="Q573" i="16"/>
  <c r="Q589" i="16"/>
  <c r="Q605" i="16"/>
  <c r="Q621" i="16"/>
  <c r="T621" i="16" s="1"/>
  <c r="Q637" i="16"/>
  <c r="T637" i="16" s="1"/>
  <c r="Q653" i="16"/>
  <c r="Q669" i="16"/>
  <c r="T669" i="16" s="1"/>
  <c r="Q685" i="16"/>
  <c r="T685" i="16" s="1"/>
  <c r="Q701" i="16"/>
  <c r="Q717" i="16"/>
  <c r="Q733" i="16"/>
  <c r="Q749" i="16"/>
  <c r="T749" i="16" s="1"/>
  <c r="Q765" i="16"/>
  <c r="T765" i="16" s="1"/>
  <c r="Q781" i="16"/>
  <c r="Q797" i="16"/>
  <c r="T797" i="16" s="1"/>
  <c r="Q813" i="16"/>
  <c r="T813" i="16" s="1"/>
  <c r="Q829" i="16"/>
  <c r="Q845" i="16"/>
  <c r="Q861" i="16"/>
  <c r="Q877" i="16"/>
  <c r="T877" i="16" s="1"/>
  <c r="Q893" i="16"/>
  <c r="T893" i="16" s="1"/>
  <c r="Q909" i="16"/>
  <c r="Q925" i="16"/>
  <c r="T925" i="16" s="1"/>
  <c r="Q941" i="16"/>
  <c r="T941" i="16" s="1"/>
  <c r="Q957" i="16"/>
  <c r="Q973" i="16"/>
  <c r="Q989" i="16"/>
  <c r="Q1005" i="16"/>
  <c r="T1005" i="16" s="1"/>
  <c r="Q1021" i="16"/>
  <c r="T1021" i="16" s="1"/>
  <c r="Q1037" i="16"/>
  <c r="Q1053" i="16"/>
  <c r="T1053" i="16" s="1"/>
  <c r="Q1069" i="16"/>
  <c r="T1069" i="16" s="1"/>
  <c r="Q1085" i="16"/>
  <c r="Q1101" i="16"/>
  <c r="Q1117" i="16"/>
  <c r="Q1133" i="16"/>
  <c r="T1133" i="16" s="1"/>
  <c r="Q1149" i="16"/>
  <c r="Q1165" i="16"/>
  <c r="Q1181" i="16"/>
  <c r="Q1197" i="16"/>
  <c r="T1197" i="16" s="1"/>
  <c r="Q1213" i="16"/>
  <c r="Q1229" i="16"/>
  <c r="Q1245" i="16"/>
  <c r="Q1261" i="16"/>
  <c r="T1261" i="16" s="1"/>
  <c r="Q1277" i="16"/>
  <c r="Q14" i="16"/>
  <c r="Q35" i="16"/>
  <c r="T35" i="16" s="1"/>
  <c r="Q57" i="16"/>
  <c r="T57" i="16" s="1"/>
  <c r="Q78" i="16"/>
  <c r="Q99" i="16"/>
  <c r="Q121" i="16"/>
  <c r="T121" i="16" s="1"/>
  <c r="Q138" i="16"/>
  <c r="Q154" i="16"/>
  <c r="Q170" i="16"/>
  <c r="Q186" i="16"/>
  <c r="T186" i="16" s="1"/>
  <c r="Q202" i="16"/>
  <c r="Q218" i="16"/>
  <c r="Q234" i="16"/>
  <c r="Q250" i="16"/>
  <c r="T250" i="16" s="1"/>
  <c r="Q266" i="16"/>
  <c r="Q282" i="16"/>
  <c r="Q298" i="16"/>
  <c r="Q314" i="16"/>
  <c r="T314" i="16" s="1"/>
  <c r="Q330" i="16"/>
  <c r="Q346" i="16"/>
  <c r="Q362" i="16"/>
  <c r="Q378" i="16"/>
  <c r="T378" i="16" s="1"/>
  <c r="Q394" i="16"/>
  <c r="Q410" i="16"/>
  <c r="Q426" i="16"/>
  <c r="Q442" i="16"/>
  <c r="T442" i="16" s="1"/>
  <c r="Q458" i="16"/>
  <c r="Q16" i="16"/>
  <c r="T16" i="16" s="1"/>
  <c r="Q32" i="16"/>
  <c r="T32" i="16" s="1"/>
  <c r="Q48" i="16"/>
  <c r="T48" i="16" s="1"/>
  <c r="Q64" i="16"/>
  <c r="Q80" i="16"/>
  <c r="Q96" i="16"/>
  <c r="Q112" i="16"/>
  <c r="T112" i="16" s="1"/>
  <c r="Q2" i="16"/>
  <c r="T2" i="16" s="1"/>
  <c r="Q23" i="16"/>
  <c r="Q45" i="16"/>
  <c r="Q66" i="16"/>
  <c r="T66" i="16" s="1"/>
  <c r="Q87" i="16"/>
  <c r="T87" i="16" s="1"/>
  <c r="Q109" i="16"/>
  <c r="Q129" i="16"/>
  <c r="Q145" i="16"/>
  <c r="Q161" i="16"/>
  <c r="T161" i="16" s="1"/>
  <c r="Q177" i="16"/>
  <c r="Q193" i="16"/>
  <c r="Q209" i="16"/>
  <c r="Q225" i="16"/>
  <c r="T225" i="16" s="1"/>
  <c r="Q241" i="16"/>
  <c r="Q257" i="16"/>
  <c r="Q273" i="16"/>
  <c r="Q289" i="16"/>
  <c r="T289" i="16" s="1"/>
  <c r="Q305" i="16"/>
  <c r="Q321" i="16"/>
  <c r="Q337" i="16"/>
  <c r="Q353" i="16"/>
  <c r="T353" i="16" s="1"/>
  <c r="Q369" i="16"/>
  <c r="Q385" i="16"/>
  <c r="Q401" i="16"/>
  <c r="Q417" i="16"/>
  <c r="Q433" i="16"/>
  <c r="Q449" i="16"/>
  <c r="Q465" i="16"/>
  <c r="Q481" i="16"/>
  <c r="Q497" i="16"/>
  <c r="Q513" i="16"/>
  <c r="Q529" i="16"/>
  <c r="Q545" i="16"/>
  <c r="Q561" i="16"/>
  <c r="Q577" i="16"/>
  <c r="Q593" i="16"/>
  <c r="T593" i="16" s="1"/>
  <c r="Q609" i="16"/>
  <c r="Q625" i="16"/>
  <c r="Q641" i="16"/>
  <c r="Q657" i="16"/>
  <c r="T657" i="16" s="1"/>
  <c r="Q673" i="16"/>
  <c r="Q689" i="16"/>
  <c r="Q705" i="16"/>
  <c r="Q721" i="16"/>
  <c r="T721" i="16" s="1"/>
  <c r="Q737" i="16"/>
  <c r="Q753" i="16"/>
  <c r="Q769" i="16"/>
  <c r="Q785" i="16"/>
  <c r="T785" i="16" s="1"/>
  <c r="Q801" i="16"/>
  <c r="Q817" i="16"/>
  <c r="Q833" i="16"/>
  <c r="Q849" i="16"/>
  <c r="T849" i="16" s="1"/>
  <c r="Q865" i="16"/>
  <c r="Q881" i="16"/>
  <c r="Q897" i="16"/>
  <c r="Q913" i="16"/>
  <c r="T913" i="16" s="1"/>
  <c r="Q929" i="16"/>
  <c r="Q945" i="16"/>
  <c r="Q961" i="16"/>
  <c r="Q977" i="16"/>
  <c r="T977" i="16" s="1"/>
  <c r="Q993" i="16"/>
  <c r="Q1009" i="16"/>
  <c r="Q1025" i="16"/>
  <c r="Q1041" i="16"/>
  <c r="T1041" i="16" s="1"/>
  <c r="Q1057" i="16"/>
  <c r="Q1073" i="16"/>
  <c r="Q1089" i="16"/>
  <c r="Q1105" i="16"/>
  <c r="T1105" i="16" s="1"/>
  <c r="Q1121" i="16"/>
  <c r="Q1137" i="16"/>
  <c r="T1137" i="16" s="1"/>
  <c r="Q1153" i="16"/>
  <c r="Q1169" i="16"/>
  <c r="T1169" i="16" s="1"/>
  <c r="Q1185" i="16"/>
  <c r="Q1201" i="16"/>
  <c r="T1201" i="16" s="1"/>
  <c r="Q1217" i="16"/>
  <c r="Q1233" i="16"/>
  <c r="T1233" i="16" s="1"/>
  <c r="Q1249" i="16"/>
  <c r="Q1265" i="16"/>
  <c r="T1265" i="16" s="1"/>
  <c r="Q1281" i="16"/>
  <c r="Q19" i="16"/>
  <c r="T19" i="16" s="1"/>
  <c r="Q41" i="16"/>
  <c r="T41" i="16" s="1"/>
  <c r="Q62" i="16"/>
  <c r="T62" i="16" s="1"/>
  <c r="Q83" i="16"/>
  <c r="T83" i="16" s="1"/>
  <c r="Q105" i="16"/>
  <c r="Q126" i="16"/>
  <c r="T126" i="16" s="1"/>
  <c r="Q142" i="16"/>
  <c r="Q158" i="16"/>
  <c r="Q174" i="16"/>
  <c r="Q190" i="16"/>
  <c r="T190" i="16" s="1"/>
  <c r="Q206" i="16"/>
  <c r="Q222" i="16"/>
  <c r="Q238" i="16"/>
  <c r="Q254" i="16"/>
  <c r="T254" i="16" s="1"/>
  <c r="Q270" i="16"/>
  <c r="Q286" i="16"/>
  <c r="Q302" i="16"/>
  <c r="Q318" i="16"/>
  <c r="T318" i="16" s="1"/>
  <c r="Q334" i="16"/>
  <c r="Q350" i="16"/>
  <c r="Q366" i="16"/>
  <c r="Q382" i="16"/>
  <c r="T382" i="16" s="1"/>
  <c r="Q398" i="16"/>
  <c r="Q414" i="16"/>
  <c r="Q430" i="16"/>
  <c r="Q446" i="16"/>
  <c r="T446" i="16" s="1"/>
  <c r="Q462" i="16"/>
  <c r="Q478" i="16"/>
  <c r="Q494" i="16"/>
  <c r="Q510" i="16"/>
  <c r="T510" i="16" s="1"/>
  <c r="Q4" i="16"/>
  <c r="Q20" i="16"/>
  <c r="T20" i="16" s="1"/>
  <c r="Q36" i="16"/>
  <c r="Q52" i="16"/>
  <c r="T52" i="16" s="1"/>
  <c r="Q68" i="16"/>
  <c r="Q84" i="16"/>
  <c r="T84" i="16" s="1"/>
  <c r="Q100" i="16"/>
  <c r="T100" i="16" s="1"/>
  <c r="Q116" i="16"/>
  <c r="Q7" i="16"/>
  <c r="Q29" i="16"/>
  <c r="Q50" i="16"/>
  <c r="T50" i="16" s="1"/>
  <c r="Q71" i="16"/>
  <c r="T71" i="16" s="1"/>
  <c r="Q93" i="16"/>
  <c r="Q114" i="16"/>
  <c r="T114" i="16" s="1"/>
  <c r="Q133" i="16"/>
  <c r="T133" i="16" s="1"/>
  <c r="Q149" i="16"/>
  <c r="T149" i="16" s="1"/>
  <c r="Q165" i="16"/>
  <c r="T165" i="16" s="1"/>
  <c r="Q181" i="16"/>
  <c r="T181" i="16" s="1"/>
  <c r="Q197" i="16"/>
  <c r="T197" i="16" s="1"/>
  <c r="Q213" i="16"/>
  <c r="T213" i="16" s="1"/>
  <c r="Q229" i="16"/>
  <c r="T229" i="16" s="1"/>
  <c r="Q245" i="16"/>
  <c r="T245" i="16" s="1"/>
  <c r="Q261" i="16"/>
  <c r="T261" i="16" s="1"/>
  <c r="Q277" i="16"/>
  <c r="T277" i="16" s="1"/>
  <c r="Q293" i="16"/>
  <c r="T293" i="16" s="1"/>
  <c r="Q309" i="16"/>
  <c r="T309" i="16" s="1"/>
  <c r="Q325" i="16"/>
  <c r="T325" i="16" s="1"/>
  <c r="Q341" i="16"/>
  <c r="T341" i="16" s="1"/>
  <c r="Q357" i="16"/>
  <c r="T357" i="16" s="1"/>
  <c r="Q373" i="16"/>
  <c r="T373" i="16" s="1"/>
  <c r="Q389" i="16"/>
  <c r="T389" i="16" s="1"/>
  <c r="Q405" i="16"/>
  <c r="T405" i="16" s="1"/>
  <c r="Q421" i="16"/>
  <c r="Q437" i="16"/>
  <c r="Q453" i="16"/>
  <c r="Q469" i="16"/>
  <c r="T469" i="16" s="1"/>
  <c r="Q485" i="16"/>
  <c r="T485" i="16" s="1"/>
  <c r="Q501" i="16"/>
  <c r="Q517" i="16"/>
  <c r="T517" i="16" s="1"/>
  <c r="Q533" i="16"/>
  <c r="T533" i="16" s="1"/>
  <c r="Q549" i="16"/>
  <c r="Q565" i="16"/>
  <c r="Q581" i="16"/>
  <c r="Q597" i="16"/>
  <c r="T597" i="16" s="1"/>
  <c r="Q613" i="16"/>
  <c r="Q629" i="16"/>
  <c r="Q645" i="16"/>
  <c r="T645" i="16" s="1"/>
  <c r="Q661" i="16"/>
  <c r="T661" i="16" s="1"/>
  <c r="Q677" i="16"/>
  <c r="Q693" i="16"/>
  <c r="Q709" i="16"/>
  <c r="Q725" i="16"/>
  <c r="T725" i="16" s="1"/>
  <c r="Q741" i="16"/>
  <c r="Q757" i="16"/>
  <c r="Q773" i="16"/>
  <c r="Q789" i="16"/>
  <c r="T789" i="16" s="1"/>
  <c r="Q805" i="16"/>
  <c r="Q821" i="16"/>
  <c r="Q837" i="16"/>
  <c r="Q853" i="16"/>
  <c r="T853" i="16" s="1"/>
  <c r="Q869" i="16"/>
  <c r="Q885" i="16"/>
  <c r="Q901" i="16"/>
  <c r="Q917" i="16"/>
  <c r="T917" i="16" s="1"/>
  <c r="Q933" i="16"/>
  <c r="Q949" i="16"/>
  <c r="Q965" i="16"/>
  <c r="Q981" i="16"/>
  <c r="T981" i="16" s="1"/>
  <c r="Q997" i="16"/>
  <c r="Q1013" i="16"/>
  <c r="Q1029" i="16"/>
  <c r="Q1045" i="16"/>
  <c r="T1045" i="16" s="1"/>
  <c r="Q1061" i="16"/>
  <c r="Q1077" i="16"/>
  <c r="Q1093" i="16"/>
  <c r="Q1109" i="16"/>
  <c r="T1109" i="16" s="1"/>
  <c r="Q1125" i="16"/>
  <c r="Q1141" i="16"/>
  <c r="Q1157" i="16"/>
  <c r="Q1173" i="16"/>
  <c r="T1173" i="16" s="1"/>
  <c r="Q1189" i="16"/>
  <c r="Q1205" i="16"/>
  <c r="Q1221" i="16"/>
  <c r="Q1237" i="16"/>
  <c r="T1237" i="16" s="1"/>
  <c r="Q1253" i="16"/>
  <c r="Q1269" i="16"/>
  <c r="Q3" i="16"/>
  <c r="T3" i="16" s="1"/>
  <c r="Q25" i="16"/>
  <c r="T25" i="16" s="1"/>
  <c r="Q46" i="16"/>
  <c r="Q67" i="16"/>
  <c r="T67" i="16" s="1"/>
  <c r="Q89" i="16"/>
  <c r="T89" i="16" s="1"/>
  <c r="Q110" i="16"/>
  <c r="T110" i="16" s="1"/>
  <c r="Q130" i="16"/>
  <c r="T130" i="16" s="1"/>
  <c r="Q146" i="16"/>
  <c r="T146" i="16" s="1"/>
  <c r="Q162" i="16"/>
  <c r="Q178" i="16"/>
  <c r="T178" i="16" s="1"/>
  <c r="Q194" i="16"/>
  <c r="T194" i="16" s="1"/>
  <c r="Q210" i="16"/>
  <c r="T210" i="16" s="1"/>
  <c r="Q226" i="16"/>
  <c r="Q242" i="16"/>
  <c r="T242" i="16" s="1"/>
  <c r="Q258" i="16"/>
  <c r="T258" i="16" s="1"/>
  <c r="Q274" i="16"/>
  <c r="T274" i="16" s="1"/>
  <c r="Q290" i="16"/>
  <c r="Q306" i="16"/>
  <c r="T306" i="16" s="1"/>
  <c r="Q322" i="16"/>
  <c r="T322" i="16" s="1"/>
  <c r="Q338" i="16"/>
  <c r="T338" i="16" s="1"/>
  <c r="Q354" i="16"/>
  <c r="Q370" i="16"/>
  <c r="T370" i="16" s="1"/>
  <c r="Q386" i="16"/>
  <c r="Q402" i="16"/>
  <c r="T402" i="16" s="1"/>
  <c r="Q418" i="16"/>
  <c r="Q434" i="16"/>
  <c r="T434" i="16" s="1"/>
  <c r="Q450" i="16"/>
  <c r="Q466" i="16"/>
  <c r="T466" i="16" s="1"/>
  <c r="Q482" i="16"/>
  <c r="Q498" i="16"/>
  <c r="T498" i="16" s="1"/>
  <c r="Q514" i="16"/>
  <c r="Q530" i="16"/>
  <c r="T530" i="16" s="1"/>
  <c r="Q546" i="16"/>
  <c r="Q562" i="16"/>
  <c r="T562" i="16" s="1"/>
  <c r="Q578" i="16"/>
  <c r="T578" i="16" s="1"/>
  <c r="Q594" i="16"/>
  <c r="T594" i="16" s="1"/>
  <c r="Q610" i="16"/>
  <c r="T610" i="16" s="1"/>
  <c r="Q626" i="16"/>
  <c r="T626" i="16" s="1"/>
  <c r="Q642" i="16"/>
  <c r="T642" i="16" s="1"/>
  <c r="Q658" i="16"/>
  <c r="T658" i="16" s="1"/>
  <c r="Q674" i="16"/>
  <c r="T674" i="16" s="1"/>
  <c r="Q690" i="16"/>
  <c r="T690" i="16" s="1"/>
  <c r="Q706" i="16"/>
  <c r="T706" i="16" s="1"/>
  <c r="Q722" i="16"/>
  <c r="T722" i="16" s="1"/>
  <c r="Q738" i="16"/>
  <c r="T738" i="16" s="1"/>
  <c r="Q754" i="16"/>
  <c r="T754" i="16" s="1"/>
  <c r="Q770" i="16"/>
  <c r="T770" i="16" s="1"/>
  <c r="Q786" i="16"/>
  <c r="T786" i="16" s="1"/>
  <c r="Q470" i="16"/>
  <c r="Q502" i="16"/>
  <c r="T502" i="16" s="1"/>
  <c r="Q526" i="16"/>
  <c r="Q550" i="16"/>
  <c r="T550" i="16" s="1"/>
  <c r="Q570" i="16"/>
  <c r="Q590" i="16"/>
  <c r="T590" i="16" s="1"/>
  <c r="Q614" i="16"/>
  <c r="T614" i="16" s="1"/>
  <c r="Q634" i="16"/>
  <c r="Q654" i="16"/>
  <c r="Q678" i="16"/>
  <c r="T678" i="16" s="1"/>
  <c r="Q698" i="16"/>
  <c r="Q718" i="16"/>
  <c r="Q742" i="16"/>
  <c r="T742" i="16" s="1"/>
  <c r="Q762" i="16"/>
  <c r="Q782" i="16"/>
  <c r="Q802" i="16"/>
  <c r="T802" i="16" s="1"/>
  <c r="Q818" i="16"/>
  <c r="T818" i="16" s="1"/>
  <c r="Q834" i="16"/>
  <c r="T834" i="16" s="1"/>
  <c r="Q850" i="16"/>
  <c r="T850" i="16" s="1"/>
  <c r="Q866" i="16"/>
  <c r="T866" i="16" s="1"/>
  <c r="Q882" i="16"/>
  <c r="T882" i="16" s="1"/>
  <c r="Q898" i="16"/>
  <c r="T898" i="16" s="1"/>
  <c r="Q914" i="16"/>
  <c r="T914" i="16" s="1"/>
  <c r="Q930" i="16"/>
  <c r="T930" i="16" s="1"/>
  <c r="Q946" i="16"/>
  <c r="T946" i="16" s="1"/>
  <c r="Q962" i="16"/>
  <c r="T962" i="16" s="1"/>
  <c r="Q978" i="16"/>
  <c r="T978" i="16" s="1"/>
  <c r="Q994" i="16"/>
  <c r="T994" i="16" s="1"/>
  <c r="Q1010" i="16"/>
  <c r="T1010" i="16" s="1"/>
  <c r="Q1026" i="16"/>
  <c r="T1026" i="16" s="1"/>
  <c r="Q1042" i="16"/>
  <c r="T1042" i="16" s="1"/>
  <c r="Q1058" i="16"/>
  <c r="T1058" i="16" s="1"/>
  <c r="Q1074" i="16"/>
  <c r="T1074" i="16" s="1"/>
  <c r="Q1090" i="16"/>
  <c r="T1090" i="16" s="1"/>
  <c r="Q1106" i="16"/>
  <c r="T1106" i="16" s="1"/>
  <c r="Q1122" i="16"/>
  <c r="T1122" i="16" s="1"/>
  <c r="Q1138" i="16"/>
  <c r="T1138" i="16" s="1"/>
  <c r="Q1154" i="16"/>
  <c r="T1154" i="16" s="1"/>
  <c r="Q1170" i="16"/>
  <c r="T1170" i="16" s="1"/>
  <c r="Q1186" i="16"/>
  <c r="T1186" i="16" s="1"/>
  <c r="Q5" i="16"/>
  <c r="T5" i="16" s="1"/>
  <c r="Q26" i="16"/>
  <c r="T26" i="16" s="1"/>
  <c r="Q47" i="16"/>
  <c r="Q69" i="16"/>
  <c r="T69" i="16" s="1"/>
  <c r="Q90" i="16"/>
  <c r="Q17" i="16"/>
  <c r="T17" i="16" s="1"/>
  <c r="Q102" i="16"/>
  <c r="T102" i="16" s="1"/>
  <c r="Q143" i="16"/>
  <c r="Q175" i="16"/>
  <c r="T175" i="16" s="1"/>
  <c r="Q207" i="16"/>
  <c r="Q239" i="16"/>
  <c r="Q271" i="16"/>
  <c r="Q303" i="16"/>
  <c r="T303" i="16" s="1"/>
  <c r="Q335" i="16"/>
  <c r="Q367" i="16"/>
  <c r="Q399" i="16"/>
  <c r="Q431" i="16"/>
  <c r="T431" i="16" s="1"/>
  <c r="Q463" i="16"/>
  <c r="T463" i="16" s="1"/>
  <c r="Q495" i="16"/>
  <c r="T495" i="16" s="1"/>
  <c r="Q527" i="16"/>
  <c r="T527" i="16" s="1"/>
  <c r="Q559" i="16"/>
  <c r="T559" i="16" s="1"/>
  <c r="Q591" i="16"/>
  <c r="T591" i="16" s="1"/>
  <c r="Q623" i="16"/>
  <c r="T623" i="16" s="1"/>
  <c r="Q655" i="16"/>
  <c r="Q687" i="16"/>
  <c r="Q719" i="16"/>
  <c r="T719" i="16" s="1"/>
  <c r="Q751" i="16"/>
  <c r="Q783" i="16"/>
  <c r="Q815" i="16"/>
  <c r="Q847" i="16"/>
  <c r="T847" i="16" s="1"/>
  <c r="Q879" i="16"/>
  <c r="Q911" i="16"/>
  <c r="Q943" i="16"/>
  <c r="Q975" i="16"/>
  <c r="T975" i="16" s="1"/>
  <c r="Q1007" i="16"/>
  <c r="Q1039" i="16"/>
  <c r="Q1071" i="16"/>
  <c r="Q1103" i="16"/>
  <c r="T1103" i="16" s="1"/>
  <c r="Q1135" i="16"/>
  <c r="Q1167" i="16"/>
  <c r="Q1199" i="16"/>
  <c r="Q1220" i="16"/>
  <c r="T1220" i="16" s="1"/>
  <c r="Q1242" i="16"/>
  <c r="Q1263" i="16"/>
  <c r="Q22" i="16"/>
  <c r="T22" i="16" s="1"/>
  <c r="Q107" i="16"/>
  <c r="T107" i="16" s="1"/>
  <c r="Q144" i="16"/>
  <c r="T144" i="16" s="1"/>
  <c r="Q176" i="16"/>
  <c r="T176" i="16" s="1"/>
  <c r="Q208" i="16"/>
  <c r="T208" i="16" s="1"/>
  <c r="Q240" i="16"/>
  <c r="T240" i="16" s="1"/>
  <c r="Q272" i="16"/>
  <c r="T272" i="16" s="1"/>
  <c r="Q304" i="16"/>
  <c r="T304" i="16" s="1"/>
  <c r="Q336" i="16"/>
  <c r="T336" i="16" s="1"/>
  <c r="Q368" i="16"/>
  <c r="T368" i="16" s="1"/>
  <c r="Q400" i="16"/>
  <c r="T400" i="16" s="1"/>
  <c r="Q432" i="16"/>
  <c r="T432" i="16" s="1"/>
  <c r="Q464" i="16"/>
  <c r="T464" i="16" s="1"/>
  <c r="Q496" i="16"/>
  <c r="T496" i="16" s="1"/>
  <c r="Q528" i="16"/>
  <c r="T528" i="16" s="1"/>
  <c r="Q560" i="16"/>
  <c r="T560" i="16" s="1"/>
  <c r="Q592" i="16"/>
  <c r="T592" i="16" s="1"/>
  <c r="Q624" i="16"/>
  <c r="T624" i="16" s="1"/>
  <c r="Q656" i="16"/>
  <c r="T656" i="16" s="1"/>
  <c r="Q688" i="16"/>
  <c r="Q720" i="16"/>
  <c r="Q752" i="16"/>
  <c r="T752" i="16" s="1"/>
  <c r="Q784" i="16"/>
  <c r="Q816" i="16"/>
  <c r="Q848" i="16"/>
  <c r="Q880" i="16"/>
  <c r="T880" i="16" s="1"/>
  <c r="Q912" i="16"/>
  <c r="Q944" i="16"/>
  <c r="Q976" i="16"/>
  <c r="Q1008" i="16"/>
  <c r="T1008" i="16" s="1"/>
  <c r="Q1040" i="16"/>
  <c r="Q1072" i="16"/>
  <c r="Q1104" i="16"/>
  <c r="Q1136" i="16"/>
  <c r="Q1168" i="16"/>
  <c r="Q1200" i="16"/>
  <c r="Q1222" i="16"/>
  <c r="T1222" i="16" s="1"/>
  <c r="Q1243" i="16"/>
  <c r="Q1264" i="16"/>
  <c r="Q6" i="16"/>
  <c r="Q91" i="16"/>
  <c r="T91" i="16" s="1"/>
  <c r="Q139" i="16"/>
  <c r="T139" i="16" s="1"/>
  <c r="Q171" i="16"/>
  <c r="T171" i="16" s="1"/>
  <c r="Q203" i="16"/>
  <c r="T203" i="16" s="1"/>
  <c r="Q235" i="16"/>
  <c r="T235" i="16" s="1"/>
  <c r="Q267" i="16"/>
  <c r="T267" i="16" s="1"/>
  <c r="Q299" i="16"/>
  <c r="T299" i="16" s="1"/>
  <c r="Q331" i="16"/>
  <c r="T331" i="16" s="1"/>
  <c r="Q363" i="16"/>
  <c r="Q395" i="16"/>
  <c r="T395" i="16" s="1"/>
  <c r="Q427" i="16"/>
  <c r="Q459" i="16"/>
  <c r="Q491" i="16"/>
  <c r="Q523" i="16"/>
  <c r="T523" i="16" s="1"/>
  <c r="Q555" i="16"/>
  <c r="Q587" i="16"/>
  <c r="Q619" i="16"/>
  <c r="Q651" i="16"/>
  <c r="T651" i="16" s="1"/>
  <c r="Q683" i="16"/>
  <c r="T683" i="16" s="1"/>
  <c r="Q715" i="16"/>
  <c r="Q747" i="16"/>
  <c r="T747" i="16" s="1"/>
  <c r="Q779" i="16"/>
  <c r="T779" i="16" s="1"/>
  <c r="Q811" i="16"/>
  <c r="T811" i="16" s="1"/>
  <c r="Q843" i="16"/>
  <c r="Q875" i="16"/>
  <c r="T875" i="16" s="1"/>
  <c r="Q907" i="16"/>
  <c r="T907" i="16" s="1"/>
  <c r="Q939" i="16"/>
  <c r="T939" i="16" s="1"/>
  <c r="Q971" i="16"/>
  <c r="Q1003" i="16"/>
  <c r="T1003" i="16" s="1"/>
  <c r="Q1035" i="16"/>
  <c r="T1035" i="16" s="1"/>
  <c r="Q1067" i="16"/>
  <c r="T1067" i="16" s="1"/>
  <c r="Q1099" i="16"/>
  <c r="Q1131" i="16"/>
  <c r="T1131" i="16" s="1"/>
  <c r="Q1163" i="16"/>
  <c r="Q1195" i="16"/>
  <c r="Q1218" i="16"/>
  <c r="T1218" i="16" s="1"/>
  <c r="Q1239" i="16"/>
  <c r="T1239" i="16" s="1"/>
  <c r="Q1260" i="16"/>
  <c r="T1260" i="16" s="1"/>
  <c r="Q1282" i="16"/>
  <c r="T1282" i="16" s="1"/>
  <c r="Q196" i="16"/>
  <c r="Q324" i="16"/>
  <c r="T324" i="16" s="1"/>
  <c r="Q452" i="16"/>
  <c r="Q580" i="16"/>
  <c r="Q708" i="16"/>
  <c r="Q836" i="16"/>
  <c r="T836" i="16" s="1"/>
  <c r="Q964" i="16"/>
  <c r="Q1092" i="16"/>
  <c r="Q1214" i="16"/>
  <c r="Q11" i="16"/>
  <c r="T11" i="16" s="1"/>
  <c r="Q204" i="16"/>
  <c r="T204" i="16" s="1"/>
  <c r="Q332" i="16"/>
  <c r="T332" i="16" s="1"/>
  <c r="Q460" i="16"/>
  <c r="T460" i="16" s="1"/>
  <c r="Q588" i="16"/>
  <c r="T588" i="16" s="1"/>
  <c r="Q716" i="16"/>
  <c r="T716" i="16" s="1"/>
  <c r="Q844" i="16"/>
  <c r="T844" i="16" s="1"/>
  <c r="Q972" i="16"/>
  <c r="Q1100" i="16"/>
  <c r="T1100" i="16" s="1"/>
  <c r="Q1219" i="16"/>
  <c r="T1219" i="16" s="1"/>
  <c r="Q33" i="16"/>
  <c r="Q212" i="16"/>
  <c r="Q340" i="16"/>
  <c r="T340" i="16" s="1"/>
  <c r="Q468" i="16"/>
  <c r="Q596" i="16"/>
  <c r="Q724" i="16"/>
  <c r="Q852" i="16"/>
  <c r="T852" i="16" s="1"/>
  <c r="Q980" i="16"/>
  <c r="Q1108" i="16"/>
  <c r="Q1224" i="16"/>
  <c r="Q220" i="16"/>
  <c r="T220" i="16" s="1"/>
  <c r="Q732" i="16"/>
  <c r="T732" i="16" s="1"/>
  <c r="Q1230" i="16"/>
  <c r="T1230" i="16" s="1"/>
  <c r="Q508" i="16"/>
  <c r="T508" i="16" s="1"/>
  <c r="Q1020" i="16"/>
  <c r="T1020" i="16" s="1"/>
  <c r="Q284" i="16"/>
  <c r="T284" i="16" s="1"/>
  <c r="Q796" i="16"/>
  <c r="T796" i="16" s="1"/>
  <c r="Q1272" i="16"/>
  <c r="T1272" i="16" s="1"/>
  <c r="Q1084" i="16"/>
  <c r="T1084" i="16" s="1"/>
  <c r="Q1208" i="16"/>
  <c r="T1208" i="16" s="1"/>
  <c r="Q474" i="16"/>
  <c r="Q506" i="16"/>
  <c r="Q534" i="16"/>
  <c r="Q554" i="16"/>
  <c r="Q574" i="16"/>
  <c r="Q598" i="16"/>
  <c r="Q618" i="16"/>
  <c r="T618" i="16" s="1"/>
  <c r="Q638" i="16"/>
  <c r="T638" i="16" s="1"/>
  <c r="Q662" i="16"/>
  <c r="T662" i="16" s="1"/>
  <c r="Q682" i="16"/>
  <c r="Q702" i="16"/>
  <c r="Q726" i="16"/>
  <c r="T726" i="16" s="1"/>
  <c r="Q746" i="16"/>
  <c r="Q766" i="16"/>
  <c r="Q790" i="16"/>
  <c r="T790" i="16" s="1"/>
  <c r="Q806" i="16"/>
  <c r="T806" i="16" s="1"/>
  <c r="Q822" i="16"/>
  <c r="T822" i="16" s="1"/>
  <c r="Q838" i="16"/>
  <c r="T838" i="16" s="1"/>
  <c r="Q854" i="16"/>
  <c r="T854" i="16" s="1"/>
  <c r="Q870" i="16"/>
  <c r="T870" i="16" s="1"/>
  <c r="Q886" i="16"/>
  <c r="T886" i="16" s="1"/>
  <c r="Q902" i="16"/>
  <c r="T902" i="16" s="1"/>
  <c r="Q918" i="16"/>
  <c r="T918" i="16" s="1"/>
  <c r="Q934" i="16"/>
  <c r="T934" i="16" s="1"/>
  <c r="Q950" i="16"/>
  <c r="T950" i="16" s="1"/>
  <c r="Q966" i="16"/>
  <c r="T966" i="16" s="1"/>
  <c r="Q982" i="16"/>
  <c r="T982" i="16" s="1"/>
  <c r="Q998" i="16"/>
  <c r="T998" i="16" s="1"/>
  <c r="Q1014" i="16"/>
  <c r="T1014" i="16" s="1"/>
  <c r="Q1030" i="16"/>
  <c r="T1030" i="16" s="1"/>
  <c r="Q1046" i="16"/>
  <c r="T1046" i="16" s="1"/>
  <c r="Q1062" i="16"/>
  <c r="T1062" i="16" s="1"/>
  <c r="Q1078" i="16"/>
  <c r="T1078" i="16" s="1"/>
  <c r="Q1094" i="16"/>
  <c r="T1094" i="16" s="1"/>
  <c r="Q1110" i="16"/>
  <c r="T1110" i="16" s="1"/>
  <c r="Q1126" i="16"/>
  <c r="Q1142" i="16"/>
  <c r="Q1158" i="16"/>
  <c r="Q1174" i="16"/>
  <c r="T1174" i="16" s="1"/>
  <c r="Q1190" i="16"/>
  <c r="Q10" i="16"/>
  <c r="Q31" i="16"/>
  <c r="Q53" i="16"/>
  <c r="T53" i="16" s="1"/>
  <c r="Q74" i="16"/>
  <c r="T74" i="16" s="1"/>
  <c r="Q95" i="16"/>
  <c r="Q38" i="16"/>
  <c r="Q117" i="16"/>
  <c r="T117" i="16" s="1"/>
  <c r="Q151" i="16"/>
  <c r="T151" i="16" s="1"/>
  <c r="Q183" i="16"/>
  <c r="Q215" i="16"/>
  <c r="Q247" i="16"/>
  <c r="Q279" i="16"/>
  <c r="T279" i="16" s="1"/>
  <c r="Q311" i="16"/>
  <c r="Q343" i="16"/>
  <c r="Q375" i="16"/>
  <c r="T375" i="16" s="1"/>
  <c r="Q407" i="16"/>
  <c r="T407" i="16" s="1"/>
  <c r="Q439" i="16"/>
  <c r="Q471" i="16"/>
  <c r="Q503" i="16"/>
  <c r="T503" i="16" s="1"/>
  <c r="Q535" i="16"/>
  <c r="Q567" i="16"/>
  <c r="Q599" i="16"/>
  <c r="Q631" i="16"/>
  <c r="T631" i="16" s="1"/>
  <c r="Q663" i="16"/>
  <c r="Q695" i="16"/>
  <c r="Q727" i="16"/>
  <c r="Q759" i="16"/>
  <c r="T759" i="16" s="1"/>
  <c r="Q791" i="16"/>
  <c r="Q823" i="16"/>
  <c r="Q855" i="16"/>
  <c r="Q887" i="16"/>
  <c r="T887" i="16" s="1"/>
  <c r="Q919" i="16"/>
  <c r="Q951" i="16"/>
  <c r="Q983" i="16"/>
  <c r="Q1015" i="16"/>
  <c r="T1015" i="16" s="1"/>
  <c r="Q1047" i="16"/>
  <c r="Q1079" i="16"/>
  <c r="Q1111" i="16"/>
  <c r="Q1143" i="16"/>
  <c r="T1143" i="16" s="1"/>
  <c r="Q1175" i="16"/>
  <c r="T1175" i="16" s="1"/>
  <c r="Q1204" i="16"/>
  <c r="T1204" i="16" s="1"/>
  <c r="Q1226" i="16"/>
  <c r="Q1247" i="16"/>
  <c r="Q1268" i="16"/>
  <c r="Q43" i="16"/>
  <c r="Q118" i="16"/>
  <c r="Q152" i="16"/>
  <c r="Q184" i="16"/>
  <c r="T184" i="16" s="1"/>
  <c r="Q216" i="16"/>
  <c r="Q248" i="16"/>
  <c r="Q280" i="16"/>
  <c r="Q312" i="16"/>
  <c r="T312" i="16" s="1"/>
  <c r="Q344" i="16"/>
  <c r="Q376" i="16"/>
  <c r="Q408" i="16"/>
  <c r="Q440" i="16"/>
  <c r="T440" i="16" s="1"/>
  <c r="Q472" i="16"/>
  <c r="Q504" i="16"/>
  <c r="Q536" i="16"/>
  <c r="Q568" i="16"/>
  <c r="T568" i="16" s="1"/>
  <c r="Q600" i="16"/>
  <c r="Q632" i="16"/>
  <c r="Q664" i="16"/>
  <c r="Q696" i="16"/>
  <c r="T696" i="16" s="1"/>
  <c r="Q728" i="16"/>
  <c r="Q760" i="16"/>
  <c r="Q792" i="16"/>
  <c r="Q824" i="16"/>
  <c r="T824" i="16" s="1"/>
  <c r="Q856" i="16"/>
  <c r="Q888" i="16"/>
  <c r="Q920" i="16"/>
  <c r="Q952" i="16"/>
  <c r="T952" i="16" s="1"/>
  <c r="Q984" i="16"/>
  <c r="Q1016" i="16"/>
  <c r="Q1048" i="16"/>
  <c r="Q1080" i="16"/>
  <c r="T1080" i="16" s="1"/>
  <c r="Q1112" i="16"/>
  <c r="Q1144" i="16"/>
  <c r="T1144" i="16" s="1"/>
  <c r="Q1176" i="16"/>
  <c r="Q1206" i="16"/>
  <c r="Q1227" i="16"/>
  <c r="Q1248" i="16"/>
  <c r="Q1270" i="16"/>
  <c r="T1270" i="16" s="1"/>
  <c r="Q27" i="16"/>
  <c r="Q111" i="16"/>
  <c r="Q147" i="16"/>
  <c r="Q179" i="16"/>
  <c r="Q211" i="16"/>
  <c r="T211" i="16" s="1"/>
  <c r="Q243" i="16"/>
  <c r="Q275" i="16"/>
  <c r="Q307" i="16"/>
  <c r="Q339" i="16"/>
  <c r="T339" i="16" s="1"/>
  <c r="Q371" i="16"/>
  <c r="Q403" i="16"/>
  <c r="Q435" i="16"/>
  <c r="T435" i="16" s="1"/>
  <c r="Q467" i="16"/>
  <c r="T467" i="16" s="1"/>
  <c r="Q499" i="16"/>
  <c r="T499" i="16" s="1"/>
  <c r="Q531" i="16"/>
  <c r="T531" i="16" s="1"/>
  <c r="Q563" i="16"/>
  <c r="T563" i="16" s="1"/>
  <c r="Q595" i="16"/>
  <c r="T595" i="16" s="1"/>
  <c r="Q627" i="16"/>
  <c r="T627" i="16" s="1"/>
  <c r="Q659" i="16"/>
  <c r="T659" i="16" s="1"/>
  <c r="Q691" i="16"/>
  <c r="T691" i="16" s="1"/>
  <c r="Q723" i="16"/>
  <c r="T723" i="16" s="1"/>
  <c r="Q755" i="16"/>
  <c r="T755" i="16" s="1"/>
  <c r="Q787" i="16"/>
  <c r="T787" i="16" s="1"/>
  <c r="Q819" i="16"/>
  <c r="T819" i="16" s="1"/>
  <c r="Q851" i="16"/>
  <c r="T851" i="16" s="1"/>
  <c r="Q883" i="16"/>
  <c r="T883" i="16" s="1"/>
  <c r="Q915" i="16"/>
  <c r="T915" i="16" s="1"/>
  <c r="Q947" i="16"/>
  <c r="T947" i="16" s="1"/>
  <c r="Q979" i="16"/>
  <c r="T979" i="16" s="1"/>
  <c r="Q1011" i="16"/>
  <c r="T1011" i="16" s="1"/>
  <c r="Q1043" i="16"/>
  <c r="T1043" i="16" s="1"/>
  <c r="Q1075" i="16"/>
  <c r="T1075" i="16" s="1"/>
  <c r="Q1107" i="16"/>
  <c r="T1107" i="16" s="1"/>
  <c r="Q1139" i="16"/>
  <c r="T1139" i="16" s="1"/>
  <c r="Q1171" i="16"/>
  <c r="Q1202" i="16"/>
  <c r="T1202" i="16" s="1"/>
  <c r="Q1223" i="16"/>
  <c r="T1223" i="16" s="1"/>
  <c r="Q1244" i="16"/>
  <c r="T1244" i="16" s="1"/>
  <c r="Q1266" i="16"/>
  <c r="T1266" i="16" s="1"/>
  <c r="Q75" i="16"/>
  <c r="T75" i="16" s="1"/>
  <c r="Q228" i="16"/>
  <c r="Q356" i="16"/>
  <c r="Q484" i="16"/>
  <c r="Q612" i="16"/>
  <c r="T612" i="16" s="1"/>
  <c r="Q740" i="16"/>
  <c r="Q868" i="16"/>
  <c r="Q996" i="16"/>
  <c r="Q1124" i="16"/>
  <c r="Q1235" i="16"/>
  <c r="T1235" i="16" s="1"/>
  <c r="Q97" i="16"/>
  <c r="Q236" i="16"/>
  <c r="T236" i="16" s="1"/>
  <c r="Q364" i="16"/>
  <c r="T364" i="16" s="1"/>
  <c r="Q492" i="16"/>
  <c r="T492" i="16" s="1"/>
  <c r="Q620" i="16"/>
  <c r="T620" i="16" s="1"/>
  <c r="Q748" i="16"/>
  <c r="T748" i="16" s="1"/>
  <c r="Q876" i="16"/>
  <c r="T876" i="16" s="1"/>
  <c r="Q1004" i="16"/>
  <c r="T1004" i="16" s="1"/>
  <c r="Q1132" i="16"/>
  <c r="T1132" i="16" s="1"/>
  <c r="Q1240" i="16"/>
  <c r="Q113" i="16"/>
  <c r="Q244" i="16"/>
  <c r="Q372" i="16"/>
  <c r="Q500" i="16"/>
  <c r="Q628" i="16"/>
  <c r="T628" i="16" s="1"/>
  <c r="Q756" i="16"/>
  <c r="Q884" i="16"/>
  <c r="Q1012" i="16"/>
  <c r="Q1140" i="16"/>
  <c r="Q1246" i="16"/>
  <c r="Q348" i="16"/>
  <c r="T348" i="16" s="1"/>
  <c r="Q860" i="16"/>
  <c r="T860" i="16" s="1"/>
  <c r="Q123" i="16"/>
  <c r="T123" i="16" s="1"/>
  <c r="Q636" i="16"/>
  <c r="T636" i="16" s="1"/>
  <c r="Q1148" i="16"/>
  <c r="Q412" i="16"/>
  <c r="T412" i="16" s="1"/>
  <c r="Q924" i="16"/>
  <c r="T924" i="16" s="1"/>
  <c r="Q444" i="16"/>
  <c r="T444" i="16" s="1"/>
  <c r="Q828" i="16"/>
  <c r="T828" i="16" s="1"/>
  <c r="Q316" i="16"/>
  <c r="T316" i="16" s="1"/>
  <c r="Q486" i="16"/>
  <c r="T486" i="16" s="1"/>
  <c r="Q518" i="16"/>
  <c r="T518" i="16" s="1"/>
  <c r="Q538" i="16"/>
  <c r="Q558" i="16"/>
  <c r="Q582" i="16"/>
  <c r="T582" i="16" s="1"/>
  <c r="Q602" i="16"/>
  <c r="Q622" i="16"/>
  <c r="Q646" i="16"/>
  <c r="T646" i="16" s="1"/>
  <c r="Q666" i="16"/>
  <c r="Q686" i="16"/>
  <c r="T686" i="16" s="1"/>
  <c r="Q710" i="16"/>
  <c r="T710" i="16" s="1"/>
  <c r="Q730" i="16"/>
  <c r="Q750" i="16"/>
  <c r="Q774" i="16"/>
  <c r="T774" i="16" s="1"/>
  <c r="Q794" i="16"/>
  <c r="Q810" i="16"/>
  <c r="Q826" i="16"/>
  <c r="Q842" i="16"/>
  <c r="Q858" i="16"/>
  <c r="Q874" i="16"/>
  <c r="Q890" i="16"/>
  <c r="Q906" i="16"/>
  <c r="Q922" i="16"/>
  <c r="Q938" i="16"/>
  <c r="Q954" i="16"/>
  <c r="Q970" i="16"/>
  <c r="Q986" i="16"/>
  <c r="Q1002" i="16"/>
  <c r="Q1018" i="16"/>
  <c r="Q1034" i="16"/>
  <c r="Q1050" i="16"/>
  <c r="Q1066" i="16"/>
  <c r="Q1082" i="16"/>
  <c r="Q1098" i="16"/>
  <c r="Q1114" i="16"/>
  <c r="Q1130" i="16"/>
  <c r="Q1146" i="16"/>
  <c r="Q1162" i="16"/>
  <c r="T1162" i="16" s="1"/>
  <c r="Q1178" i="16"/>
  <c r="Q1194" i="16"/>
  <c r="Q15" i="16"/>
  <c r="Q37" i="16"/>
  <c r="T37" i="16" s="1"/>
  <c r="Q58" i="16"/>
  <c r="Q79" i="16"/>
  <c r="Q101" i="16"/>
  <c r="T101" i="16" s="1"/>
  <c r="Q59" i="16"/>
  <c r="Q127" i="16"/>
  <c r="Q159" i="16"/>
  <c r="Q191" i="16"/>
  <c r="T191" i="16" s="1"/>
  <c r="Q223" i="16"/>
  <c r="Q255" i="16"/>
  <c r="Q287" i="16"/>
  <c r="Q319" i="16"/>
  <c r="T319" i="16" s="1"/>
  <c r="Q351" i="16"/>
  <c r="Q383" i="16"/>
  <c r="Q415" i="16"/>
  <c r="Q447" i="16"/>
  <c r="Q479" i="16"/>
  <c r="T479" i="16" s="1"/>
  <c r="Q511" i="16"/>
  <c r="Q543" i="16"/>
  <c r="Q575" i="16"/>
  <c r="Q607" i="16"/>
  <c r="T607" i="16" s="1"/>
  <c r="Q639" i="16"/>
  <c r="Q671" i="16"/>
  <c r="Q703" i="16"/>
  <c r="Q735" i="16"/>
  <c r="T735" i="16" s="1"/>
  <c r="Q767" i="16"/>
  <c r="Q799" i="16"/>
  <c r="Q831" i="16"/>
  <c r="Q863" i="16"/>
  <c r="T863" i="16" s="1"/>
  <c r="Q895" i="16"/>
  <c r="Q927" i="16"/>
  <c r="Q959" i="16"/>
  <c r="Q991" i="16"/>
  <c r="T991" i="16" s="1"/>
  <c r="Q1023" i="16"/>
  <c r="Q1055" i="16"/>
  <c r="Q1087" i="16"/>
  <c r="Q1119" i="16"/>
  <c r="T1119" i="16" s="1"/>
  <c r="Q1151" i="16"/>
  <c r="Q1183" i="16"/>
  <c r="Q1210" i="16"/>
  <c r="Q1231" i="16"/>
  <c r="T1231" i="16" s="1"/>
  <c r="Q1252" i="16"/>
  <c r="Q1274" i="16"/>
  <c r="Q65" i="16"/>
  <c r="Q128" i="16"/>
  <c r="T128" i="16" s="1"/>
  <c r="Q160" i="16"/>
  <c r="T160" i="16" s="1"/>
  <c r="Q192" i="16"/>
  <c r="T192" i="16" s="1"/>
  <c r="Q224" i="16"/>
  <c r="T224" i="16" s="1"/>
  <c r="Q256" i="16"/>
  <c r="T256" i="16" s="1"/>
  <c r="Q288" i="16"/>
  <c r="T288" i="16" s="1"/>
  <c r="Q320" i="16"/>
  <c r="T320" i="16" s="1"/>
  <c r="Q352" i="16"/>
  <c r="T352" i="16" s="1"/>
  <c r="Q384" i="16"/>
  <c r="T384" i="16" s="1"/>
  <c r="Q416" i="16"/>
  <c r="T416" i="16" s="1"/>
  <c r="Q448" i="16"/>
  <c r="T448" i="16" s="1"/>
  <c r="Q480" i="16"/>
  <c r="T480" i="16" s="1"/>
  <c r="Q512" i="16"/>
  <c r="T512" i="16" s="1"/>
  <c r="Q544" i="16"/>
  <c r="T544" i="16" s="1"/>
  <c r="Q576" i="16"/>
  <c r="T576" i="16" s="1"/>
  <c r="Q608" i="16"/>
  <c r="T608" i="16" s="1"/>
  <c r="Q640" i="16"/>
  <c r="T640" i="16" s="1"/>
  <c r="Q672" i="16"/>
  <c r="Q704" i="16"/>
  <c r="Q736" i="16"/>
  <c r="Q768" i="16"/>
  <c r="T768" i="16" s="1"/>
  <c r="Q800" i="16"/>
  <c r="Q832" i="16"/>
  <c r="Q864" i="16"/>
  <c r="Q896" i="16"/>
  <c r="T896" i="16" s="1"/>
  <c r="Q928" i="16"/>
  <c r="Q960" i="16"/>
  <c r="Q992" i="16"/>
  <c r="Q1024" i="16"/>
  <c r="T1024" i="16" s="1"/>
  <c r="Q1056" i="16"/>
  <c r="Q1088" i="16"/>
  <c r="Q1120" i="16"/>
  <c r="Q1152" i="16"/>
  <c r="T1152" i="16" s="1"/>
  <c r="Q1184" i="16"/>
  <c r="Q1211" i="16"/>
  <c r="Q1232" i="16"/>
  <c r="Q1254" i="16"/>
  <c r="Q1275" i="16"/>
  <c r="Q49" i="16"/>
  <c r="Q122" i="16"/>
  <c r="T122" i="16" s="1"/>
  <c r="Q155" i="16"/>
  <c r="T155" i="16" s="1"/>
  <c r="Q187" i="16"/>
  <c r="T187" i="16" s="1"/>
  <c r="Q219" i="16"/>
  <c r="T219" i="16" s="1"/>
  <c r="Q251" i="16"/>
  <c r="T251" i="16" s="1"/>
  <c r="Q283" i="16"/>
  <c r="T283" i="16" s="1"/>
  <c r="Q315" i="16"/>
  <c r="T315" i="16" s="1"/>
  <c r="Q347" i="16"/>
  <c r="T347" i="16" s="1"/>
  <c r="Q379" i="16"/>
  <c r="T379" i="16" s="1"/>
  <c r="Q411" i="16"/>
  <c r="T411" i="16" s="1"/>
  <c r="Q443" i="16"/>
  <c r="Q475" i="16"/>
  <c r="Q507" i="16"/>
  <c r="T507" i="16" s="1"/>
  <c r="Q539" i="16"/>
  <c r="Q571" i="16"/>
  <c r="Q603" i="16"/>
  <c r="Q635" i="16"/>
  <c r="T635" i="16" s="1"/>
  <c r="Q667" i="16"/>
  <c r="Q699" i="16"/>
  <c r="Q731" i="16"/>
  <c r="Q763" i="16"/>
  <c r="T763" i="16" s="1"/>
  <c r="Q795" i="16"/>
  <c r="Q827" i="16"/>
  <c r="Q859" i="16"/>
  <c r="Q891" i="16"/>
  <c r="T891" i="16" s="1"/>
  <c r="Q923" i="16"/>
  <c r="Q955" i="16"/>
  <c r="Q987" i="16"/>
  <c r="Q1019" i="16"/>
  <c r="T1019" i="16" s="1"/>
  <c r="Q1051" i="16"/>
  <c r="Q1083" i="16"/>
  <c r="Q1115" i="16"/>
  <c r="Q1147" i="16"/>
  <c r="T1147" i="16" s="1"/>
  <c r="Q1179" i="16"/>
  <c r="Q1207" i="16"/>
  <c r="T1207" i="16" s="1"/>
  <c r="Q1228" i="16"/>
  <c r="Q1250" i="16"/>
  <c r="T1250" i="16" s="1"/>
  <c r="Q1271" i="16"/>
  <c r="T1271" i="16" s="1"/>
  <c r="Q132" i="16"/>
  <c r="Q260" i="16"/>
  <c r="Q388" i="16"/>
  <c r="T388" i="16" s="1"/>
  <c r="Q516" i="16"/>
  <c r="Q644" i="16"/>
  <c r="Q772" i="16"/>
  <c r="Q900" i="16"/>
  <c r="T900" i="16" s="1"/>
  <c r="Q1028" i="16"/>
  <c r="Q1156" i="16"/>
  <c r="T1156" i="16" s="1"/>
  <c r="Q1256" i="16"/>
  <c r="Q140" i="16"/>
  <c r="T140" i="16" s="1"/>
  <c r="Q268" i="16"/>
  <c r="T268" i="16" s="1"/>
  <c r="Q396" i="16"/>
  <c r="T396" i="16" s="1"/>
  <c r="Q524" i="16"/>
  <c r="T524" i="16" s="1"/>
  <c r="Q652" i="16"/>
  <c r="T652" i="16" s="1"/>
  <c r="Q780" i="16"/>
  <c r="T780" i="16" s="1"/>
  <c r="Q908" i="16"/>
  <c r="T908" i="16" s="1"/>
  <c r="Q1036" i="16"/>
  <c r="T1036" i="16" s="1"/>
  <c r="Q1164" i="16"/>
  <c r="Q1262" i="16"/>
  <c r="Q148" i="16"/>
  <c r="Q276" i="16"/>
  <c r="Q404" i="16"/>
  <c r="T404" i="16" s="1"/>
  <c r="Q532" i="16"/>
  <c r="Q660" i="16"/>
  <c r="Q788" i="16"/>
  <c r="Q916" i="16"/>
  <c r="T916" i="16" s="1"/>
  <c r="Q1044" i="16"/>
  <c r="Q1172" i="16"/>
  <c r="Q1267" i="16"/>
  <c r="T1267" i="16" s="1"/>
  <c r="Q476" i="16"/>
  <c r="T476" i="16" s="1"/>
  <c r="Q988" i="16"/>
  <c r="T988" i="16" s="1"/>
  <c r="Q252" i="16"/>
  <c r="T252" i="16" s="1"/>
  <c r="Q764" i="16"/>
  <c r="T764" i="16" s="1"/>
  <c r="Q1251" i="16"/>
  <c r="T1251" i="16" s="1"/>
  <c r="Q540" i="16"/>
  <c r="T540" i="16" s="1"/>
  <c r="Q1052" i="16"/>
  <c r="T1052" i="16" s="1"/>
  <c r="Q956" i="16"/>
  <c r="T956" i="16" s="1"/>
  <c r="Q188" i="16"/>
  <c r="T188" i="16" s="1"/>
  <c r="Q490" i="16"/>
  <c r="Q586" i="16"/>
  <c r="Q670" i="16"/>
  <c r="Q758" i="16"/>
  <c r="T758" i="16" s="1"/>
  <c r="Q830" i="16"/>
  <c r="T830" i="16" s="1"/>
  <c r="Q894" i="16"/>
  <c r="Q958" i="16"/>
  <c r="Q1022" i="16"/>
  <c r="Q1086" i="16"/>
  <c r="T1086" i="16" s="1"/>
  <c r="Q1150" i="16"/>
  <c r="T1150" i="16" s="1"/>
  <c r="Q21" i="16"/>
  <c r="T21" i="16" s="1"/>
  <c r="Q106" i="16"/>
  <c r="T106" i="16" s="1"/>
  <c r="Q199" i="16"/>
  <c r="T199" i="16" s="1"/>
  <c r="Q327" i="16"/>
  <c r="Q455" i="16"/>
  <c r="T455" i="16" s="1"/>
  <c r="Q583" i="16"/>
  <c r="Q711" i="16"/>
  <c r="T711" i="16" s="1"/>
  <c r="Q839" i="16"/>
  <c r="T839" i="16" s="1"/>
  <c r="Q967" i="16"/>
  <c r="T967" i="16" s="1"/>
  <c r="Q1095" i="16"/>
  <c r="T1095" i="16" s="1"/>
  <c r="Q1215" i="16"/>
  <c r="T1215" i="16" s="1"/>
  <c r="Q86" i="16"/>
  <c r="T86" i="16" s="1"/>
  <c r="Q232" i="16"/>
  <c r="Q360" i="16"/>
  <c r="Q488" i="16"/>
  <c r="T488" i="16" s="1"/>
  <c r="Q616" i="16"/>
  <c r="Q744" i="16"/>
  <c r="Q872" i="16"/>
  <c r="Q1000" i="16"/>
  <c r="T1000" i="16" s="1"/>
  <c r="Q1128" i="16"/>
  <c r="T1128" i="16" s="1"/>
  <c r="Q1238" i="16"/>
  <c r="Q131" i="16"/>
  <c r="Q259" i="16"/>
  <c r="T259" i="16" s="1"/>
  <c r="Q387" i="16"/>
  <c r="Q515" i="16"/>
  <c r="Q643" i="16"/>
  <c r="Q771" i="16"/>
  <c r="T771" i="16" s="1"/>
  <c r="Q899" i="16"/>
  <c r="Q1027" i="16"/>
  <c r="Q1155" i="16"/>
  <c r="T1155" i="16" s="1"/>
  <c r="Q1255" i="16"/>
  <c r="T1255" i="16" s="1"/>
  <c r="Q420" i="16"/>
  <c r="Q932" i="16"/>
  <c r="Q172" i="16"/>
  <c r="T172" i="16" s="1"/>
  <c r="Q684" i="16"/>
  <c r="T684" i="16" s="1"/>
  <c r="Q1196" i="16"/>
  <c r="T1196" i="16" s="1"/>
  <c r="Q436" i="16"/>
  <c r="Q948" i="16"/>
  <c r="T948" i="16" s="1"/>
  <c r="Q604" i="16"/>
  <c r="T604" i="16" s="1"/>
  <c r="Q156" i="16"/>
  <c r="T156" i="16" s="1"/>
  <c r="Q700" i="16"/>
  <c r="T700" i="16" s="1"/>
  <c r="Q522" i="16"/>
  <c r="T522" i="16" s="1"/>
  <c r="Q606" i="16"/>
  <c r="T606" i="16" s="1"/>
  <c r="Q694" i="16"/>
  <c r="T694" i="16" s="1"/>
  <c r="Q778" i="16"/>
  <c r="Q846" i="16"/>
  <c r="Q910" i="16"/>
  <c r="T910" i="16" s="1"/>
  <c r="Q974" i="16"/>
  <c r="Q1038" i="16"/>
  <c r="Q1102" i="16"/>
  <c r="Q1166" i="16"/>
  <c r="Q42" i="16"/>
  <c r="T42" i="16" s="1"/>
  <c r="Q81" i="16"/>
  <c r="Q231" i="16"/>
  <c r="Q359" i="16"/>
  <c r="T359" i="16" s="1"/>
  <c r="Q487" i="16"/>
  <c r="T487" i="16" s="1"/>
  <c r="Q615" i="16"/>
  <c r="T615" i="16" s="1"/>
  <c r="Q743" i="16"/>
  <c r="T743" i="16" s="1"/>
  <c r="Q871" i="16"/>
  <c r="T871" i="16" s="1"/>
  <c r="Q999" i="16"/>
  <c r="T999" i="16" s="1"/>
  <c r="Q1127" i="16"/>
  <c r="T1127" i="16" s="1"/>
  <c r="Q1236" i="16"/>
  <c r="T1236" i="16" s="1"/>
  <c r="Q136" i="16"/>
  <c r="T136" i="16" s="1"/>
  <c r="Q264" i="16"/>
  <c r="Q392" i="16"/>
  <c r="Q520" i="16"/>
  <c r="Q648" i="16"/>
  <c r="T648" i="16" s="1"/>
  <c r="Q776" i="16"/>
  <c r="Q904" i="16"/>
  <c r="Q1032" i="16"/>
  <c r="Q1160" i="16"/>
  <c r="Q1259" i="16"/>
  <c r="Q163" i="16"/>
  <c r="Q291" i="16"/>
  <c r="Q419" i="16"/>
  <c r="T419" i="16" s="1"/>
  <c r="Q547" i="16"/>
  <c r="Q675" i="16"/>
  <c r="Q803" i="16"/>
  <c r="Q931" i="16"/>
  <c r="T931" i="16" s="1"/>
  <c r="Q1059" i="16"/>
  <c r="Q1187" i="16"/>
  <c r="T1187" i="16" s="1"/>
  <c r="Q1276" i="16"/>
  <c r="T1276" i="16" s="1"/>
  <c r="Q548" i="16"/>
  <c r="Q1060" i="16"/>
  <c r="Q300" i="16"/>
  <c r="T300" i="16" s="1"/>
  <c r="Q812" i="16"/>
  <c r="T812" i="16" s="1"/>
  <c r="Q1283" i="16"/>
  <c r="T1283" i="16" s="1"/>
  <c r="Q564" i="16"/>
  <c r="Q1076" i="16"/>
  <c r="Q1116" i="16"/>
  <c r="T1116" i="16" s="1"/>
  <c r="Q668" i="16"/>
  <c r="T668" i="16" s="1"/>
  <c r="Q542" i="16"/>
  <c r="Q630" i="16"/>
  <c r="T630" i="16" s="1"/>
  <c r="Q714" i="16"/>
  <c r="Q798" i="16"/>
  <c r="T798" i="16" s="1"/>
  <c r="Q862" i="16"/>
  <c r="Q926" i="16"/>
  <c r="Q990" i="16"/>
  <c r="Q1054" i="16"/>
  <c r="T1054" i="16" s="1"/>
  <c r="Q1118" i="16"/>
  <c r="T1118" i="16" s="1"/>
  <c r="Q1182" i="16"/>
  <c r="Q63" i="16"/>
  <c r="Q135" i="16"/>
  <c r="T135" i="16" s="1"/>
  <c r="Q263" i="16"/>
  <c r="Q391" i="16"/>
  <c r="T391" i="16" s="1"/>
  <c r="Q519" i="16"/>
  <c r="T519" i="16" s="1"/>
  <c r="Q647" i="16"/>
  <c r="T647" i="16" s="1"/>
  <c r="Q775" i="16"/>
  <c r="T775" i="16" s="1"/>
  <c r="Q903" i="16"/>
  <c r="T903" i="16" s="1"/>
  <c r="Q1031" i="16"/>
  <c r="T1031" i="16" s="1"/>
  <c r="Q1159" i="16"/>
  <c r="T1159" i="16" s="1"/>
  <c r="Q1258" i="16"/>
  <c r="Q168" i="16"/>
  <c r="Q296" i="16"/>
  <c r="Q424" i="16"/>
  <c r="T424" i="16" s="1"/>
  <c r="Q552" i="16"/>
  <c r="Q680" i="16"/>
  <c r="Q808" i="16"/>
  <c r="Q936" i="16"/>
  <c r="T936" i="16" s="1"/>
  <c r="Q1064" i="16"/>
  <c r="Q1192" i="16"/>
  <c r="Q1280" i="16"/>
  <c r="Q195" i="16"/>
  <c r="T195" i="16" s="1"/>
  <c r="Q323" i="16"/>
  <c r="Q451" i="16"/>
  <c r="Q579" i="16"/>
  <c r="Q707" i="16"/>
  <c r="T707" i="16" s="1"/>
  <c r="Q835" i="16"/>
  <c r="Q963" i="16"/>
  <c r="Q1091" i="16"/>
  <c r="Q1212" i="16"/>
  <c r="Q164" i="16"/>
  <c r="Q676" i="16"/>
  <c r="Q1188" i="16"/>
  <c r="Q428" i="16"/>
  <c r="T428" i="16" s="1"/>
  <c r="Q940" i="16"/>
  <c r="T940" i="16" s="1"/>
  <c r="Q180" i="16"/>
  <c r="Q692" i="16"/>
  <c r="T692" i="16" s="1"/>
  <c r="Q1203" i="16"/>
  <c r="T1203" i="16" s="1"/>
  <c r="Q380" i="16"/>
  <c r="T380" i="16" s="1"/>
  <c r="Q1180" i="16"/>
  <c r="Q566" i="16"/>
  <c r="T566" i="16" s="1"/>
  <c r="Q650" i="16"/>
  <c r="Q734" i="16"/>
  <c r="Q814" i="16"/>
  <c r="Q878" i="16"/>
  <c r="Q942" i="16"/>
  <c r="T942" i="16" s="1"/>
  <c r="Q1006" i="16"/>
  <c r="Q1070" i="16"/>
  <c r="Q1134" i="16"/>
  <c r="T1134" i="16" s="1"/>
  <c r="Q1198" i="16"/>
  <c r="Q85" i="16"/>
  <c r="T85" i="16" s="1"/>
  <c r="Q167" i="16"/>
  <c r="Q295" i="16"/>
  <c r="Q423" i="16"/>
  <c r="T423" i="16" s="1"/>
  <c r="Q551" i="16"/>
  <c r="T551" i="16" s="1"/>
  <c r="Q679" i="16"/>
  <c r="T679" i="16" s="1"/>
  <c r="Q807" i="16"/>
  <c r="T807" i="16" s="1"/>
  <c r="Q935" i="16"/>
  <c r="T935" i="16" s="1"/>
  <c r="Q1063" i="16"/>
  <c r="T1063" i="16" s="1"/>
  <c r="Q1191" i="16"/>
  <c r="T1191" i="16" s="1"/>
  <c r="Q1279" i="16"/>
  <c r="Q200" i="16"/>
  <c r="T200" i="16" s="1"/>
  <c r="Q328" i="16"/>
  <c r="Q456" i="16"/>
  <c r="Q584" i="16"/>
  <c r="Q712" i="16"/>
  <c r="T712" i="16" s="1"/>
  <c r="Q840" i="16"/>
  <c r="Q968" i="16"/>
  <c r="Q1096" i="16"/>
  <c r="Q1216" i="16"/>
  <c r="T1216" i="16" s="1"/>
  <c r="Q70" i="16"/>
  <c r="Q227" i="16"/>
  <c r="Q355" i="16"/>
  <c r="Q483" i="16"/>
  <c r="T483" i="16" s="1"/>
  <c r="Q611" i="16"/>
  <c r="Q739" i="16"/>
  <c r="Q867" i="16"/>
  <c r="Q995" i="16"/>
  <c r="T995" i="16" s="1"/>
  <c r="Q1123" i="16"/>
  <c r="T1123" i="16" s="1"/>
  <c r="Q1234" i="16"/>
  <c r="T1234" i="16" s="1"/>
  <c r="Q292" i="16"/>
  <c r="T292" i="16" s="1"/>
  <c r="Q804" i="16"/>
  <c r="Q1278" i="16"/>
  <c r="T1278" i="16" s="1"/>
  <c r="Q556" i="16"/>
  <c r="T556" i="16" s="1"/>
  <c r="Q1068" i="16"/>
  <c r="T1068" i="16" s="1"/>
  <c r="Q308" i="16"/>
  <c r="Q820" i="16"/>
  <c r="Q54" i="16"/>
  <c r="Q892" i="16"/>
  <c r="T892" i="16" s="1"/>
  <c r="Q572" i="16"/>
  <c r="T572" i="16" s="1"/>
  <c r="M1311" i="16"/>
  <c r="M1315" i="16"/>
  <c r="P1315" i="16" s="1"/>
  <c r="M1319" i="16"/>
  <c r="M1323" i="16"/>
  <c r="M1327" i="16"/>
  <c r="M1331" i="16"/>
  <c r="M1285" i="16"/>
  <c r="M1289" i="16"/>
  <c r="P1289" i="16" s="1"/>
  <c r="M1293" i="16"/>
  <c r="M1297" i="16"/>
  <c r="M1301" i="16"/>
  <c r="M1305" i="16"/>
  <c r="P1305" i="16" s="1"/>
  <c r="M1308" i="16"/>
  <c r="M1312" i="16"/>
  <c r="M1316" i="16"/>
  <c r="M1320" i="16"/>
  <c r="P1320" i="16" s="1"/>
  <c r="M1324" i="16"/>
  <c r="M1328" i="16"/>
  <c r="M1286" i="16"/>
  <c r="P1286" i="16" s="1"/>
  <c r="M1290" i="16"/>
  <c r="M1294" i="16"/>
  <c r="M1298" i="16"/>
  <c r="M1302" i="16"/>
  <c r="P1302" i="16" s="1"/>
  <c r="M1306" i="16"/>
  <c r="M1309" i="16"/>
  <c r="M1313" i="16"/>
  <c r="M1317" i="16"/>
  <c r="M1321" i="16"/>
  <c r="P1321" i="16" s="1"/>
  <c r="M1325" i="16"/>
  <c r="M1329" i="16"/>
  <c r="M1287" i="16"/>
  <c r="P1287" i="16" s="1"/>
  <c r="M1291" i="16"/>
  <c r="P1291" i="16" s="1"/>
  <c r="M1295" i="16"/>
  <c r="P1295" i="16" s="1"/>
  <c r="M1299" i="16"/>
  <c r="M1303" i="16"/>
  <c r="M1307" i="16"/>
  <c r="P1307" i="16" s="1"/>
  <c r="M1310" i="16"/>
  <c r="M1314" i="16"/>
  <c r="M1318" i="16"/>
  <c r="P1318" i="16" s="1"/>
  <c r="M1322" i="16"/>
  <c r="M1326" i="16"/>
  <c r="M1330" i="16"/>
  <c r="M1284" i="16"/>
  <c r="M1288" i="16"/>
  <c r="P1288" i="16" s="1"/>
  <c r="M1292" i="16"/>
  <c r="M1296" i="16"/>
  <c r="M1300" i="16"/>
  <c r="M1304" i="16"/>
  <c r="P1304" i="16" s="1"/>
  <c r="M10" i="16"/>
  <c r="M26" i="16"/>
  <c r="M42" i="16"/>
  <c r="P42" i="16" s="1"/>
  <c r="M58" i="16"/>
  <c r="M74" i="16"/>
  <c r="M90" i="16"/>
  <c r="M106" i="16"/>
  <c r="P106" i="16" s="1"/>
  <c r="M122" i="16"/>
  <c r="M138" i="16"/>
  <c r="M154" i="16"/>
  <c r="M170" i="16"/>
  <c r="P170" i="16" s="1"/>
  <c r="M186" i="16"/>
  <c r="M202" i="16"/>
  <c r="M218" i="16"/>
  <c r="M234" i="16"/>
  <c r="P234" i="16" s="1"/>
  <c r="M250" i="16"/>
  <c r="M266" i="16"/>
  <c r="M282" i="16"/>
  <c r="M298" i="16"/>
  <c r="P298" i="16" s="1"/>
  <c r="M314" i="16"/>
  <c r="M330" i="16"/>
  <c r="M346" i="16"/>
  <c r="M362" i="16"/>
  <c r="P362" i="16" s="1"/>
  <c r="M378" i="16"/>
  <c r="M394" i="16"/>
  <c r="M410" i="16"/>
  <c r="M426" i="16"/>
  <c r="P426" i="16" s="1"/>
  <c r="M442" i="16"/>
  <c r="M458" i="16"/>
  <c r="M474" i="16"/>
  <c r="M490" i="16"/>
  <c r="P490" i="16" s="1"/>
  <c r="M506" i="16"/>
  <c r="M522" i="16"/>
  <c r="M538" i="16"/>
  <c r="M554" i="16"/>
  <c r="P554" i="16" s="1"/>
  <c r="M570" i="16"/>
  <c r="M14" i="16"/>
  <c r="P14" i="16" s="1"/>
  <c r="M30" i="16"/>
  <c r="M46" i="16"/>
  <c r="P46" i="16" s="1"/>
  <c r="M62" i="16"/>
  <c r="M78" i="16"/>
  <c r="M94" i="16"/>
  <c r="M110" i="16"/>
  <c r="P110" i="16" s="1"/>
  <c r="M126" i="16"/>
  <c r="M142" i="16"/>
  <c r="M158" i="16"/>
  <c r="M174" i="16"/>
  <c r="P174" i="16" s="1"/>
  <c r="M190" i="16"/>
  <c r="M206" i="16"/>
  <c r="M222" i="16"/>
  <c r="M238" i="16"/>
  <c r="P238" i="16" s="1"/>
  <c r="M254" i="16"/>
  <c r="M270" i="16"/>
  <c r="M286" i="16"/>
  <c r="M302" i="16"/>
  <c r="M318" i="16"/>
  <c r="P318" i="16" s="1"/>
  <c r="M334" i="16"/>
  <c r="M350" i="16"/>
  <c r="M366" i="16"/>
  <c r="M382" i="16"/>
  <c r="P382" i="16" s="1"/>
  <c r="M398" i="16"/>
  <c r="M414" i="16"/>
  <c r="M430" i="16"/>
  <c r="M446" i="16"/>
  <c r="P446" i="16" s="1"/>
  <c r="M462" i="16"/>
  <c r="M478" i="16"/>
  <c r="M494" i="16"/>
  <c r="M510" i="16"/>
  <c r="P510" i="16" s="1"/>
  <c r="M526" i="16"/>
  <c r="M542" i="16"/>
  <c r="M558" i="16"/>
  <c r="M574" i="16"/>
  <c r="P574" i="16" s="1"/>
  <c r="M590" i="16"/>
  <c r="M606" i="16"/>
  <c r="M622" i="16"/>
  <c r="M638" i="16"/>
  <c r="P638" i="16" s="1"/>
  <c r="M654" i="16"/>
  <c r="M670" i="16"/>
  <c r="M686" i="16"/>
  <c r="M702" i="16"/>
  <c r="P702" i="16" s="1"/>
  <c r="M718" i="16"/>
  <c r="M734" i="16"/>
  <c r="M750" i="16"/>
  <c r="M766" i="16"/>
  <c r="P766" i="16" s="1"/>
  <c r="M782" i="16"/>
  <c r="M798" i="16"/>
  <c r="M814" i="16"/>
  <c r="M830" i="16"/>
  <c r="P830" i="16" s="1"/>
  <c r="M846" i="16"/>
  <c r="M862" i="16"/>
  <c r="M878" i="16"/>
  <c r="M894" i="16"/>
  <c r="P894" i="16" s="1"/>
  <c r="M910" i="16"/>
  <c r="M926" i="16"/>
  <c r="M942" i="16"/>
  <c r="M958" i="16"/>
  <c r="P958" i="16" s="1"/>
  <c r="M974" i="16"/>
  <c r="M990" i="16"/>
  <c r="M1006" i="16"/>
  <c r="M1022" i="16"/>
  <c r="P1022" i="16" s="1"/>
  <c r="M1038" i="16"/>
  <c r="M1054" i="16"/>
  <c r="M1070" i="16"/>
  <c r="M1086" i="16"/>
  <c r="P1086" i="16" s="1"/>
  <c r="M1102" i="16"/>
  <c r="M1118" i="16"/>
  <c r="M1134" i="16"/>
  <c r="M1150" i="16"/>
  <c r="P1150" i="16" s="1"/>
  <c r="M1166" i="16"/>
  <c r="M1182" i="16"/>
  <c r="M2" i="16"/>
  <c r="M18" i="16"/>
  <c r="M34" i="16"/>
  <c r="P34" i="16" s="1"/>
  <c r="M50" i="16"/>
  <c r="M66" i="16"/>
  <c r="P66" i="16" s="1"/>
  <c r="M82" i="16"/>
  <c r="M98" i="16"/>
  <c r="M114" i="16"/>
  <c r="M130" i="16"/>
  <c r="P130" i="16" s="1"/>
  <c r="M146" i="16"/>
  <c r="M162" i="16"/>
  <c r="M178" i="16"/>
  <c r="M194" i="16"/>
  <c r="P194" i="16" s="1"/>
  <c r="M210" i="16"/>
  <c r="M226" i="16"/>
  <c r="M242" i="16"/>
  <c r="M258" i="16"/>
  <c r="P258" i="16" s="1"/>
  <c r="M274" i="16"/>
  <c r="M290" i="16"/>
  <c r="P290" i="16" s="1"/>
  <c r="M306" i="16"/>
  <c r="M322" i="16"/>
  <c r="M338" i="16"/>
  <c r="M354" i="16"/>
  <c r="P354" i="16" s="1"/>
  <c r="M370" i="16"/>
  <c r="M386" i="16"/>
  <c r="M402" i="16"/>
  <c r="M418" i="16"/>
  <c r="P418" i="16" s="1"/>
  <c r="M434" i="16"/>
  <c r="M450" i="16"/>
  <c r="M466" i="16"/>
  <c r="M482" i="16"/>
  <c r="P482" i="16" s="1"/>
  <c r="M498" i="16"/>
  <c r="M514" i="16"/>
  <c r="M530" i="16"/>
  <c r="M546" i="16"/>
  <c r="P546" i="16" s="1"/>
  <c r="M562" i="16"/>
  <c r="M578" i="16"/>
  <c r="M6" i="16"/>
  <c r="M22" i="16"/>
  <c r="M38" i="16"/>
  <c r="M54" i="16"/>
  <c r="M70" i="16"/>
  <c r="P70" i="16" s="1"/>
  <c r="M86" i="16"/>
  <c r="M102" i="16"/>
  <c r="M118" i="16"/>
  <c r="M134" i="16"/>
  <c r="P134" i="16" s="1"/>
  <c r="M150" i="16"/>
  <c r="M166" i="16"/>
  <c r="M182" i="16"/>
  <c r="M198" i="16"/>
  <c r="M214" i="16"/>
  <c r="M230" i="16"/>
  <c r="M246" i="16"/>
  <c r="M262" i="16"/>
  <c r="P262" i="16" s="1"/>
  <c r="M278" i="16"/>
  <c r="M294" i="16"/>
  <c r="M310" i="16"/>
  <c r="M326" i="16"/>
  <c r="P326" i="16" s="1"/>
  <c r="M342" i="16"/>
  <c r="M358" i="16"/>
  <c r="M374" i="16"/>
  <c r="M390" i="16"/>
  <c r="P390" i="16" s="1"/>
  <c r="M406" i="16"/>
  <c r="M422" i="16"/>
  <c r="M438" i="16"/>
  <c r="M454" i="16"/>
  <c r="P454" i="16" s="1"/>
  <c r="M470" i="16"/>
  <c r="M486" i="16"/>
  <c r="M502" i="16"/>
  <c r="M518" i="16"/>
  <c r="P518" i="16" s="1"/>
  <c r="M534" i="16"/>
  <c r="M550" i="16"/>
  <c r="M566" i="16"/>
  <c r="M582" i="16"/>
  <c r="P582" i="16" s="1"/>
  <c r="M598" i="16"/>
  <c r="M614" i="16"/>
  <c r="M630" i="16"/>
  <c r="M646" i="16"/>
  <c r="P646" i="16" s="1"/>
  <c r="M662" i="16"/>
  <c r="M678" i="16"/>
  <c r="M694" i="16"/>
  <c r="M710" i="16"/>
  <c r="P710" i="16" s="1"/>
  <c r="M726" i="16"/>
  <c r="M742" i="16"/>
  <c r="M758" i="16"/>
  <c r="M774" i="16"/>
  <c r="P774" i="16" s="1"/>
  <c r="M790" i="16"/>
  <c r="M806" i="16"/>
  <c r="M822" i="16"/>
  <c r="M838" i="16"/>
  <c r="P838" i="16" s="1"/>
  <c r="M854" i="16"/>
  <c r="M870" i="16"/>
  <c r="M886" i="16"/>
  <c r="M902" i="16"/>
  <c r="P902" i="16" s="1"/>
  <c r="M918" i="16"/>
  <c r="M934" i="16"/>
  <c r="M950" i="16"/>
  <c r="M966" i="16"/>
  <c r="P966" i="16" s="1"/>
  <c r="M982" i="16"/>
  <c r="M998" i="16"/>
  <c r="M1014" i="16"/>
  <c r="M1030" i="16"/>
  <c r="P1030" i="16" s="1"/>
  <c r="M1046" i="16"/>
  <c r="M1062" i="16"/>
  <c r="M1078" i="16"/>
  <c r="P1078" i="16" s="1"/>
  <c r="M1094" i="16"/>
  <c r="M1110" i="16"/>
  <c r="M1126" i="16"/>
  <c r="M1142" i="16"/>
  <c r="P1142" i="16" s="1"/>
  <c r="M1158" i="16"/>
  <c r="M1174" i="16"/>
  <c r="M1190" i="16"/>
  <c r="M586" i="16"/>
  <c r="P586" i="16" s="1"/>
  <c r="M618" i="16"/>
  <c r="M650" i="16"/>
  <c r="M682" i="16"/>
  <c r="M714" i="16"/>
  <c r="P714" i="16" s="1"/>
  <c r="M746" i="16"/>
  <c r="M778" i="16"/>
  <c r="M810" i="16"/>
  <c r="M842" i="16"/>
  <c r="P842" i="16" s="1"/>
  <c r="M874" i="16"/>
  <c r="M906" i="16"/>
  <c r="M938" i="16"/>
  <c r="M970" i="16"/>
  <c r="P970" i="16" s="1"/>
  <c r="M1002" i="16"/>
  <c r="M1034" i="16"/>
  <c r="M1066" i="16"/>
  <c r="M1098" i="16"/>
  <c r="M1130" i="16"/>
  <c r="M1162" i="16"/>
  <c r="M1194" i="16"/>
  <c r="M1210" i="16"/>
  <c r="M1226" i="16"/>
  <c r="M1242" i="16"/>
  <c r="M1258" i="16"/>
  <c r="M1274" i="16"/>
  <c r="M7" i="16"/>
  <c r="P7" i="16" s="1"/>
  <c r="M23" i="16"/>
  <c r="P23" i="16" s="1"/>
  <c r="M39" i="16"/>
  <c r="P39" i="16" s="1"/>
  <c r="M55" i="16"/>
  <c r="M71" i="16"/>
  <c r="M87" i="16"/>
  <c r="P87" i="16" s="1"/>
  <c r="M103" i="16"/>
  <c r="M119" i="16"/>
  <c r="M135" i="16"/>
  <c r="M151" i="16"/>
  <c r="P151" i="16" s="1"/>
  <c r="M167" i="16"/>
  <c r="M183" i="16"/>
  <c r="M199" i="16"/>
  <c r="M215" i="16"/>
  <c r="P215" i="16" s="1"/>
  <c r="M231" i="16"/>
  <c r="M247" i="16"/>
  <c r="M263" i="16"/>
  <c r="M279" i="16"/>
  <c r="P279" i="16" s="1"/>
  <c r="M295" i="16"/>
  <c r="M311" i="16"/>
  <c r="P311" i="16" s="1"/>
  <c r="M327" i="16"/>
  <c r="M343" i="16"/>
  <c r="M359" i="16"/>
  <c r="M375" i="16"/>
  <c r="P375" i="16" s="1"/>
  <c r="M391" i="16"/>
  <c r="M407" i="16"/>
  <c r="M423" i="16"/>
  <c r="M439" i="16"/>
  <c r="P439" i="16" s="1"/>
  <c r="M455" i="16"/>
  <c r="M471" i="16"/>
  <c r="M487" i="16"/>
  <c r="M503" i="16"/>
  <c r="P503" i="16" s="1"/>
  <c r="M519" i="16"/>
  <c r="M535" i="16"/>
  <c r="M551" i="16"/>
  <c r="M567" i="16"/>
  <c r="P567" i="16" s="1"/>
  <c r="M583" i="16"/>
  <c r="M599" i="16"/>
  <c r="M615" i="16"/>
  <c r="M631" i="16"/>
  <c r="P631" i="16" s="1"/>
  <c r="M647" i="16"/>
  <c r="M663" i="16"/>
  <c r="M679" i="16"/>
  <c r="M695" i="16"/>
  <c r="P695" i="16" s="1"/>
  <c r="M711" i="16"/>
  <c r="M727" i="16"/>
  <c r="M743" i="16"/>
  <c r="M759" i="16"/>
  <c r="P759" i="16" s="1"/>
  <c r="M775" i="16"/>
  <c r="M791" i="16"/>
  <c r="M807" i="16"/>
  <c r="M823" i="16"/>
  <c r="P823" i="16" s="1"/>
  <c r="M839" i="16"/>
  <c r="M855" i="16"/>
  <c r="M871" i="16"/>
  <c r="M887" i="16"/>
  <c r="P887" i="16" s="1"/>
  <c r="M903" i="16"/>
  <c r="M919" i="16"/>
  <c r="M935" i="16"/>
  <c r="M951" i="16"/>
  <c r="P951" i="16" s="1"/>
  <c r="M967" i="16"/>
  <c r="M983" i="16"/>
  <c r="M999" i="16"/>
  <c r="M1015" i="16"/>
  <c r="P1015" i="16" s="1"/>
  <c r="M1031" i="16"/>
  <c r="M1047" i="16"/>
  <c r="M1063" i="16"/>
  <c r="M1079" i="16"/>
  <c r="M1095" i="16"/>
  <c r="M1111" i="16"/>
  <c r="M1127" i="16"/>
  <c r="M1143" i="16"/>
  <c r="M1159" i="16"/>
  <c r="M1175" i="16"/>
  <c r="M12" i="16"/>
  <c r="M44" i="16"/>
  <c r="M76" i="16"/>
  <c r="M108" i="16"/>
  <c r="P108" i="16" s="1"/>
  <c r="M140" i="16"/>
  <c r="M172" i="16"/>
  <c r="M204" i="16"/>
  <c r="M236" i="16"/>
  <c r="P236" i="16" s="1"/>
  <c r="M268" i="16"/>
  <c r="M300" i="16"/>
  <c r="P300" i="16" s="1"/>
  <c r="M332" i="16"/>
  <c r="M364" i="16"/>
  <c r="M396" i="16"/>
  <c r="M428" i="16"/>
  <c r="P428" i="16" s="1"/>
  <c r="M460" i="16"/>
  <c r="M492" i="16"/>
  <c r="M524" i="16"/>
  <c r="M556" i="16"/>
  <c r="P556" i="16" s="1"/>
  <c r="M588" i="16"/>
  <c r="M620" i="16"/>
  <c r="M652" i="16"/>
  <c r="M684" i="16"/>
  <c r="P684" i="16" s="1"/>
  <c r="M716" i="16"/>
  <c r="M748" i="16"/>
  <c r="M780" i="16"/>
  <c r="M812" i="16"/>
  <c r="P812" i="16" s="1"/>
  <c r="M844" i="16"/>
  <c r="M876" i="16"/>
  <c r="M908" i="16"/>
  <c r="M940" i="16"/>
  <c r="P940" i="16" s="1"/>
  <c r="M972" i="16"/>
  <c r="M1004" i="16"/>
  <c r="M1036" i="16"/>
  <c r="M1068" i="16"/>
  <c r="P1068" i="16" s="1"/>
  <c r="M1100" i="16"/>
  <c r="M1132" i="16"/>
  <c r="M1164" i="16"/>
  <c r="M1192" i="16"/>
  <c r="P1192" i="16" s="1"/>
  <c r="M1213" i="16"/>
  <c r="M1235" i="16"/>
  <c r="P1235" i="16" s="1"/>
  <c r="M1256" i="16"/>
  <c r="P1256" i="16" s="1"/>
  <c r="M1277" i="16"/>
  <c r="P1277" i="16" s="1"/>
  <c r="M21" i="16"/>
  <c r="P21" i="16" s="1"/>
  <c r="M53" i="16"/>
  <c r="M85" i="16"/>
  <c r="P85" i="16" s="1"/>
  <c r="M117" i="16"/>
  <c r="M149" i="16"/>
  <c r="P149" i="16" s="1"/>
  <c r="M181" i="16"/>
  <c r="M213" i="16"/>
  <c r="P213" i="16" s="1"/>
  <c r="M245" i="16"/>
  <c r="M277" i="16"/>
  <c r="P277" i="16" s="1"/>
  <c r="M309" i="16"/>
  <c r="M341" i="16"/>
  <c r="M373" i="16"/>
  <c r="M405" i="16"/>
  <c r="M437" i="16"/>
  <c r="P437" i="16" s="1"/>
  <c r="M469" i="16"/>
  <c r="M501" i="16"/>
  <c r="M533" i="16"/>
  <c r="M565" i="16"/>
  <c r="M597" i="16"/>
  <c r="M629" i="16"/>
  <c r="M661" i="16"/>
  <c r="M693" i="16"/>
  <c r="P693" i="16" s="1"/>
  <c r="M725" i="16"/>
  <c r="M757" i="16"/>
  <c r="M789" i="16"/>
  <c r="M821" i="16"/>
  <c r="M853" i="16"/>
  <c r="M885" i="16"/>
  <c r="M917" i="16"/>
  <c r="M949" i="16"/>
  <c r="M981" i="16"/>
  <c r="M1013" i="16"/>
  <c r="M1045" i="16"/>
  <c r="M1077" i="16"/>
  <c r="P1077" i="16" s="1"/>
  <c r="M1109" i="16"/>
  <c r="M1141" i="16"/>
  <c r="M1173" i="16"/>
  <c r="M1199" i="16"/>
  <c r="M1220" i="16"/>
  <c r="M1241" i="16"/>
  <c r="P1241" i="16" s="1"/>
  <c r="M1263" i="16"/>
  <c r="M8" i="16"/>
  <c r="M40" i="16"/>
  <c r="M41" i="16"/>
  <c r="M113" i="16"/>
  <c r="P113" i="16" s="1"/>
  <c r="M177" i="16"/>
  <c r="M241" i="16"/>
  <c r="P241" i="16" s="1"/>
  <c r="M305" i="16"/>
  <c r="M369" i="16"/>
  <c r="P369" i="16" s="1"/>
  <c r="M433" i="16"/>
  <c r="M497" i="16"/>
  <c r="M561" i="16"/>
  <c r="M625" i="16"/>
  <c r="P625" i="16" s="1"/>
  <c r="M689" i="16"/>
  <c r="M753" i="16"/>
  <c r="M817" i="16"/>
  <c r="M881" i="16"/>
  <c r="P881" i="16" s="1"/>
  <c r="M945" i="16"/>
  <c r="M1009" i="16"/>
  <c r="M1073" i="16"/>
  <c r="M1137" i="16"/>
  <c r="P1137" i="16" s="1"/>
  <c r="M1196" i="16"/>
  <c r="M1239" i="16"/>
  <c r="M1281" i="16"/>
  <c r="M88" i="16"/>
  <c r="P88" i="16" s="1"/>
  <c r="M152" i="16"/>
  <c r="M216" i="16"/>
  <c r="M280" i="16"/>
  <c r="M344" i="16"/>
  <c r="P344" i="16" s="1"/>
  <c r="M408" i="16"/>
  <c r="P408" i="16" s="1"/>
  <c r="M472" i="16"/>
  <c r="P472" i="16" s="1"/>
  <c r="M536" i="16"/>
  <c r="P536" i="16" s="1"/>
  <c r="M600" i="16"/>
  <c r="P600" i="16" s="1"/>
  <c r="M664" i="16"/>
  <c r="P664" i="16" s="1"/>
  <c r="M728" i="16"/>
  <c r="P728" i="16" s="1"/>
  <c r="M792" i="16"/>
  <c r="P792" i="16" s="1"/>
  <c r="M856" i="16"/>
  <c r="P856" i="16" s="1"/>
  <c r="M920" i="16"/>
  <c r="P920" i="16" s="1"/>
  <c r="M984" i="16"/>
  <c r="P984" i="16" s="1"/>
  <c r="M1048" i="16"/>
  <c r="P1048" i="16" s="1"/>
  <c r="M1112" i="16"/>
  <c r="P1112" i="16" s="1"/>
  <c r="M1176" i="16"/>
  <c r="P1176" i="16" s="1"/>
  <c r="M1221" i="16"/>
  <c r="M1264" i="16"/>
  <c r="M80" i="16"/>
  <c r="P80" i="16" s="1"/>
  <c r="M144" i="16"/>
  <c r="M208" i="16"/>
  <c r="M272" i="16"/>
  <c r="M336" i="16"/>
  <c r="P336" i="16" s="1"/>
  <c r="M400" i="16"/>
  <c r="M464" i="16"/>
  <c r="M528" i="16"/>
  <c r="M592" i="16"/>
  <c r="P592" i="16" s="1"/>
  <c r="M656" i="16"/>
  <c r="M720" i="16"/>
  <c r="M784" i="16"/>
  <c r="M848" i="16"/>
  <c r="P848" i="16" s="1"/>
  <c r="M912" i="16"/>
  <c r="M976" i="16"/>
  <c r="M1040" i="16"/>
  <c r="M1104" i="16"/>
  <c r="P1104" i="16" s="1"/>
  <c r="M1168" i="16"/>
  <c r="M1216" i="16"/>
  <c r="M1259" i="16"/>
  <c r="M57" i="16"/>
  <c r="P57" i="16" s="1"/>
  <c r="M121" i="16"/>
  <c r="M185" i="16"/>
  <c r="M249" i="16"/>
  <c r="M313" i="16"/>
  <c r="P313" i="16" s="1"/>
  <c r="M377" i="16"/>
  <c r="P377" i="16" s="1"/>
  <c r="M441" i="16"/>
  <c r="P441" i="16" s="1"/>
  <c r="M505" i="16"/>
  <c r="P505" i="16" s="1"/>
  <c r="M569" i="16"/>
  <c r="P569" i="16" s="1"/>
  <c r="M633" i="16"/>
  <c r="P633" i="16" s="1"/>
  <c r="M697" i="16"/>
  <c r="P697" i="16" s="1"/>
  <c r="M761" i="16"/>
  <c r="P761" i="16" s="1"/>
  <c r="M825" i="16"/>
  <c r="P825" i="16" s="1"/>
  <c r="M889" i="16"/>
  <c r="P889" i="16" s="1"/>
  <c r="M953" i="16"/>
  <c r="P953" i="16" s="1"/>
  <c r="M1017" i="16"/>
  <c r="P1017" i="16" s="1"/>
  <c r="M1081" i="16"/>
  <c r="P1081" i="16" s="1"/>
  <c r="M1145" i="16"/>
  <c r="P1145" i="16" s="1"/>
  <c r="M1201" i="16"/>
  <c r="M1244" i="16"/>
  <c r="P1244" i="16" s="1"/>
  <c r="M594" i="16"/>
  <c r="M626" i="16"/>
  <c r="P626" i="16" s="1"/>
  <c r="M658" i="16"/>
  <c r="M690" i="16"/>
  <c r="M722" i="16"/>
  <c r="M754" i="16"/>
  <c r="P754" i="16" s="1"/>
  <c r="M786" i="16"/>
  <c r="M818" i="16"/>
  <c r="M850" i="16"/>
  <c r="M882" i="16"/>
  <c r="P882" i="16" s="1"/>
  <c r="M914" i="16"/>
  <c r="M946" i="16"/>
  <c r="M978" i="16"/>
  <c r="M1010" i="16"/>
  <c r="P1010" i="16" s="1"/>
  <c r="M1042" i="16"/>
  <c r="M1074" i="16"/>
  <c r="M1106" i="16"/>
  <c r="M1138" i="16"/>
  <c r="P1138" i="16" s="1"/>
  <c r="M1170" i="16"/>
  <c r="M1198" i="16"/>
  <c r="M1214" i="16"/>
  <c r="P1214" i="16" s="1"/>
  <c r="M1230" i="16"/>
  <c r="M1246" i="16"/>
  <c r="M1262" i="16"/>
  <c r="M1278" i="16"/>
  <c r="P1278" i="16" s="1"/>
  <c r="M11" i="16"/>
  <c r="M27" i="16"/>
  <c r="M43" i="16"/>
  <c r="M59" i="16"/>
  <c r="M75" i="16"/>
  <c r="M91" i="16"/>
  <c r="M107" i="16"/>
  <c r="M123" i="16"/>
  <c r="P123" i="16" s="1"/>
  <c r="M139" i="16"/>
  <c r="M155" i="16"/>
  <c r="M171" i="16"/>
  <c r="P171" i="16" s="1"/>
  <c r="M187" i="16"/>
  <c r="M203" i="16"/>
  <c r="P203" i="16" s="1"/>
  <c r="M219" i="16"/>
  <c r="M235" i="16"/>
  <c r="P235" i="16" s="1"/>
  <c r="M251" i="16"/>
  <c r="P251" i="16" s="1"/>
  <c r="M267" i="16"/>
  <c r="P267" i="16" s="1"/>
  <c r="M283" i="16"/>
  <c r="M299" i="16"/>
  <c r="P299" i="16" s="1"/>
  <c r="M315" i="16"/>
  <c r="P315" i="16" s="1"/>
  <c r="M331" i="16"/>
  <c r="M347" i="16"/>
  <c r="M363" i="16"/>
  <c r="M379" i="16"/>
  <c r="P379" i="16" s="1"/>
  <c r="M395" i="16"/>
  <c r="M411" i="16"/>
  <c r="M427" i="16"/>
  <c r="P427" i="16" s="1"/>
  <c r="M443" i="16"/>
  <c r="P443" i="16" s="1"/>
  <c r="M459" i="16"/>
  <c r="M475" i="16"/>
  <c r="M491" i="16"/>
  <c r="M507" i="16"/>
  <c r="M523" i="16"/>
  <c r="P523" i="16" s="1"/>
  <c r="M539" i="16"/>
  <c r="M555" i="16"/>
  <c r="P555" i="16" s="1"/>
  <c r="M571" i="16"/>
  <c r="P571" i="16" s="1"/>
  <c r="M587" i="16"/>
  <c r="M603" i="16"/>
  <c r="M619" i="16"/>
  <c r="P619" i="16" s="1"/>
  <c r="M635" i="16"/>
  <c r="P635" i="16" s="1"/>
  <c r="M651" i="16"/>
  <c r="M667" i="16"/>
  <c r="M683" i="16"/>
  <c r="M699" i="16"/>
  <c r="M715" i="16"/>
  <c r="P715" i="16" s="1"/>
  <c r="M731" i="16"/>
  <c r="M747" i="16"/>
  <c r="P747" i="16" s="1"/>
  <c r="M763" i="16"/>
  <c r="P763" i="16" s="1"/>
  <c r="M779" i="16"/>
  <c r="M795" i="16"/>
  <c r="M811" i="16"/>
  <c r="M827" i="16"/>
  <c r="M843" i="16"/>
  <c r="M859" i="16"/>
  <c r="M875" i="16"/>
  <c r="M891" i="16"/>
  <c r="P891" i="16" s="1"/>
  <c r="M907" i="16"/>
  <c r="P907" i="16" s="1"/>
  <c r="M923" i="16"/>
  <c r="M939" i="16"/>
  <c r="P939" i="16" s="1"/>
  <c r="M955" i="16"/>
  <c r="M971" i="16"/>
  <c r="P971" i="16" s="1"/>
  <c r="M987" i="16"/>
  <c r="M1003" i="16"/>
  <c r="M1019" i="16"/>
  <c r="M1035" i="16"/>
  <c r="M1051" i="16"/>
  <c r="M1067" i="16"/>
  <c r="M1083" i="16"/>
  <c r="P1083" i="16" s="1"/>
  <c r="M1099" i="16"/>
  <c r="M1115" i="16"/>
  <c r="M1131" i="16"/>
  <c r="P1131" i="16" s="1"/>
  <c r="M1147" i="16"/>
  <c r="M1163" i="16"/>
  <c r="M1179" i="16"/>
  <c r="M20" i="16"/>
  <c r="P20" i="16" s="1"/>
  <c r="M52" i="16"/>
  <c r="M84" i="16"/>
  <c r="M116" i="16"/>
  <c r="M148" i="16"/>
  <c r="P148" i="16" s="1"/>
  <c r="M180" i="16"/>
  <c r="M212" i="16"/>
  <c r="M244" i="16"/>
  <c r="M276" i="16"/>
  <c r="P276" i="16" s="1"/>
  <c r="M308" i="16"/>
  <c r="M340" i="16"/>
  <c r="P340" i="16" s="1"/>
  <c r="M372" i="16"/>
  <c r="M404" i="16"/>
  <c r="P404" i="16" s="1"/>
  <c r="M436" i="16"/>
  <c r="M468" i="16"/>
  <c r="P468" i="16" s="1"/>
  <c r="M500" i="16"/>
  <c r="M532" i="16"/>
  <c r="P532" i="16" s="1"/>
  <c r="M564" i="16"/>
  <c r="M596" i="16"/>
  <c r="P596" i="16" s="1"/>
  <c r="M628" i="16"/>
  <c r="M660" i="16"/>
  <c r="P660" i="16" s="1"/>
  <c r="M692" i="16"/>
  <c r="M724" i="16"/>
  <c r="P724" i="16" s="1"/>
  <c r="M756" i="16"/>
  <c r="M788" i="16"/>
  <c r="P788" i="16" s="1"/>
  <c r="M820" i="16"/>
  <c r="M852" i="16"/>
  <c r="P852" i="16" s="1"/>
  <c r="M884" i="16"/>
  <c r="M916" i="16"/>
  <c r="P916" i="16" s="1"/>
  <c r="M948" i="16"/>
  <c r="M980" i="16"/>
  <c r="P980" i="16" s="1"/>
  <c r="M1012" i="16"/>
  <c r="M1044" i="16"/>
  <c r="P1044" i="16" s="1"/>
  <c r="M1076" i="16"/>
  <c r="M1108" i="16"/>
  <c r="P1108" i="16" s="1"/>
  <c r="M1140" i="16"/>
  <c r="M1172" i="16"/>
  <c r="P1172" i="16" s="1"/>
  <c r="M1197" i="16"/>
  <c r="M1219" i="16"/>
  <c r="M1240" i="16"/>
  <c r="P1240" i="16" s="1"/>
  <c r="M1261" i="16"/>
  <c r="P1261" i="16" s="1"/>
  <c r="M1283" i="16"/>
  <c r="P1283" i="16" s="1"/>
  <c r="M29" i="16"/>
  <c r="M61" i="16"/>
  <c r="M93" i="16"/>
  <c r="M125" i="16"/>
  <c r="M157" i="16"/>
  <c r="M189" i="16"/>
  <c r="M221" i="16"/>
  <c r="P221" i="16" s="1"/>
  <c r="M253" i="16"/>
  <c r="M285" i="16"/>
  <c r="M317" i="16"/>
  <c r="M349" i="16"/>
  <c r="P349" i="16" s="1"/>
  <c r="M381" i="16"/>
  <c r="M413" i="16"/>
  <c r="M445" i="16"/>
  <c r="M477" i="16"/>
  <c r="M509" i="16"/>
  <c r="M541" i="16"/>
  <c r="M573" i="16"/>
  <c r="M605" i="16"/>
  <c r="P605" i="16" s="1"/>
  <c r="M637" i="16"/>
  <c r="M669" i="16"/>
  <c r="M701" i="16"/>
  <c r="M733" i="16"/>
  <c r="P733" i="16" s="1"/>
  <c r="M765" i="16"/>
  <c r="M797" i="16"/>
  <c r="M829" i="16"/>
  <c r="M861" i="16"/>
  <c r="M893" i="16"/>
  <c r="M925" i="16"/>
  <c r="M957" i="16"/>
  <c r="M989" i="16"/>
  <c r="P989" i="16" s="1"/>
  <c r="M1021" i="16"/>
  <c r="M1053" i="16"/>
  <c r="M1085" i="16"/>
  <c r="M1117" i="16"/>
  <c r="P1117" i="16" s="1"/>
  <c r="M1149" i="16"/>
  <c r="M1181" i="16"/>
  <c r="M1204" i="16"/>
  <c r="M1225" i="16"/>
  <c r="P1225" i="16" s="1"/>
  <c r="M1247" i="16"/>
  <c r="P1247" i="16" s="1"/>
  <c r="M1268" i="16"/>
  <c r="P1268" i="16" s="1"/>
  <c r="M16" i="16"/>
  <c r="M48" i="16"/>
  <c r="M65" i="16"/>
  <c r="P65" i="16" s="1"/>
  <c r="M129" i="16"/>
  <c r="P129" i="16" s="1"/>
  <c r="M193" i="16"/>
  <c r="M257" i="16"/>
  <c r="P257" i="16" s="1"/>
  <c r="M321" i="16"/>
  <c r="P321" i="16" s="1"/>
  <c r="M385" i="16"/>
  <c r="M449" i="16"/>
  <c r="M513" i="16"/>
  <c r="M577" i="16"/>
  <c r="P577" i="16" s="1"/>
  <c r="M641" i="16"/>
  <c r="M705" i="16"/>
  <c r="M769" i="16"/>
  <c r="M833" i="16"/>
  <c r="P833" i="16" s="1"/>
  <c r="M897" i="16"/>
  <c r="M961" i="16"/>
  <c r="M1025" i="16"/>
  <c r="M1089" i="16"/>
  <c r="P1089" i="16" s="1"/>
  <c r="M1153" i="16"/>
  <c r="M1207" i="16"/>
  <c r="P1207" i="16" s="1"/>
  <c r="M1249" i="16"/>
  <c r="M17" i="16"/>
  <c r="P17" i="16" s="1"/>
  <c r="M104" i="16"/>
  <c r="M168" i="16"/>
  <c r="M232" i="16"/>
  <c r="M296" i="16"/>
  <c r="P296" i="16" s="1"/>
  <c r="M360" i="16"/>
  <c r="P360" i="16" s="1"/>
  <c r="M424" i="16"/>
  <c r="P424" i="16" s="1"/>
  <c r="M488" i="16"/>
  <c r="P488" i="16" s="1"/>
  <c r="M552" i="16"/>
  <c r="P552" i="16" s="1"/>
  <c r="M616" i="16"/>
  <c r="P616" i="16" s="1"/>
  <c r="M680" i="16"/>
  <c r="P680" i="16" s="1"/>
  <c r="M744" i="16"/>
  <c r="P744" i="16" s="1"/>
  <c r="M808" i="16"/>
  <c r="P808" i="16" s="1"/>
  <c r="M872" i="16"/>
  <c r="P872" i="16" s="1"/>
  <c r="M936" i="16"/>
  <c r="P936" i="16" s="1"/>
  <c r="M1000" i="16"/>
  <c r="P1000" i="16" s="1"/>
  <c r="M1064" i="16"/>
  <c r="P1064" i="16" s="1"/>
  <c r="M1128" i="16"/>
  <c r="P1128" i="16" s="1"/>
  <c r="M1189" i="16"/>
  <c r="M1232" i="16"/>
  <c r="M1275" i="16"/>
  <c r="M96" i="16"/>
  <c r="M160" i="16"/>
  <c r="M224" i="16"/>
  <c r="M288" i="16"/>
  <c r="P288" i="16" s="1"/>
  <c r="M352" i="16"/>
  <c r="M416" i="16"/>
  <c r="M480" i="16"/>
  <c r="M544" i="16"/>
  <c r="P544" i="16" s="1"/>
  <c r="M608" i="16"/>
  <c r="M672" i="16"/>
  <c r="M736" i="16"/>
  <c r="M800" i="16"/>
  <c r="P800" i="16" s="1"/>
  <c r="M864" i="16"/>
  <c r="M928" i="16"/>
  <c r="M992" i="16"/>
  <c r="M1056" i="16"/>
  <c r="P1056" i="16" s="1"/>
  <c r="M1120" i="16"/>
  <c r="M1184" i="16"/>
  <c r="M1227" i="16"/>
  <c r="M1269" i="16"/>
  <c r="M73" i="16"/>
  <c r="M137" i="16"/>
  <c r="M201" i="16"/>
  <c r="M265" i="16"/>
  <c r="M329" i="16"/>
  <c r="M393" i="16"/>
  <c r="M457" i="16"/>
  <c r="M521" i="16"/>
  <c r="P521" i="16" s="1"/>
  <c r="M585" i="16"/>
  <c r="M649" i="16"/>
  <c r="M713" i="16"/>
  <c r="M777" i="16"/>
  <c r="P777" i="16" s="1"/>
  <c r="M841" i="16"/>
  <c r="M905" i="16"/>
  <c r="M969" i="16"/>
  <c r="M1033" i="16"/>
  <c r="P1033" i="16" s="1"/>
  <c r="M1097" i="16"/>
  <c r="P1097" i="16" s="1"/>
  <c r="M1161" i="16"/>
  <c r="P1161" i="16" s="1"/>
  <c r="M1212" i="16"/>
  <c r="P1212" i="16" s="1"/>
  <c r="M1255" i="16"/>
  <c r="M602" i="16"/>
  <c r="M634" i="16"/>
  <c r="M666" i="16"/>
  <c r="P666" i="16" s="1"/>
  <c r="M698" i="16"/>
  <c r="M730" i="16"/>
  <c r="M762" i="16"/>
  <c r="M794" i="16"/>
  <c r="P794" i="16" s="1"/>
  <c r="M826" i="16"/>
  <c r="M858" i="16"/>
  <c r="M890" i="16"/>
  <c r="M922" i="16"/>
  <c r="P922" i="16" s="1"/>
  <c r="M954" i="16"/>
  <c r="M986" i="16"/>
  <c r="M1018" i="16"/>
  <c r="M1050" i="16"/>
  <c r="M1082" i="16"/>
  <c r="M1114" i="16"/>
  <c r="M1146" i="16"/>
  <c r="M1178" i="16"/>
  <c r="M1202" i="16"/>
  <c r="M1218" i="16"/>
  <c r="P1218" i="16" s="1"/>
  <c r="M1234" i="16"/>
  <c r="M1250" i="16"/>
  <c r="M1266" i="16"/>
  <c r="M1282" i="16"/>
  <c r="P1282" i="16" s="1"/>
  <c r="M15" i="16"/>
  <c r="M31" i="16"/>
  <c r="M47" i="16"/>
  <c r="M63" i="16"/>
  <c r="M79" i="16"/>
  <c r="M95" i="16"/>
  <c r="M111" i="16"/>
  <c r="M127" i="16"/>
  <c r="M143" i="16"/>
  <c r="M159" i="16"/>
  <c r="M175" i="16"/>
  <c r="M191" i="16"/>
  <c r="P191" i="16" s="1"/>
  <c r="M207" i="16"/>
  <c r="M223" i="16"/>
  <c r="M239" i="16"/>
  <c r="M255" i="16"/>
  <c r="P255" i="16" s="1"/>
  <c r="M271" i="16"/>
  <c r="M287" i="16"/>
  <c r="P287" i="16" s="1"/>
  <c r="M303" i="16"/>
  <c r="M319" i="16"/>
  <c r="M335" i="16"/>
  <c r="M351" i="16"/>
  <c r="P351" i="16" s="1"/>
  <c r="M367" i="16"/>
  <c r="M383" i="16"/>
  <c r="M399" i="16"/>
  <c r="M415" i="16"/>
  <c r="P415" i="16" s="1"/>
  <c r="M431" i="16"/>
  <c r="M447" i="16"/>
  <c r="M463" i="16"/>
  <c r="M479" i="16"/>
  <c r="P479" i="16" s="1"/>
  <c r="M495" i="16"/>
  <c r="M511" i="16"/>
  <c r="M527" i="16"/>
  <c r="M543" i="16"/>
  <c r="P543" i="16" s="1"/>
  <c r="M559" i="16"/>
  <c r="M575" i="16"/>
  <c r="M591" i="16"/>
  <c r="M607" i="16"/>
  <c r="P607" i="16" s="1"/>
  <c r="M623" i="16"/>
  <c r="M639" i="16"/>
  <c r="M655" i="16"/>
  <c r="M671" i="16"/>
  <c r="P671" i="16" s="1"/>
  <c r="M687" i="16"/>
  <c r="M703" i="16"/>
  <c r="M719" i="16"/>
  <c r="M735" i="16"/>
  <c r="P735" i="16" s="1"/>
  <c r="M751" i="16"/>
  <c r="M767" i="16"/>
  <c r="M783" i="16"/>
  <c r="M799" i="16"/>
  <c r="P799" i="16" s="1"/>
  <c r="M815" i="16"/>
  <c r="M831" i="16"/>
  <c r="M847" i="16"/>
  <c r="M863" i="16"/>
  <c r="P863" i="16" s="1"/>
  <c r="M879" i="16"/>
  <c r="M895" i="16"/>
  <c r="M911" i="16"/>
  <c r="M927" i="16"/>
  <c r="P927" i="16" s="1"/>
  <c r="M943" i="16"/>
  <c r="M959" i="16"/>
  <c r="M975" i="16"/>
  <c r="M991" i="16"/>
  <c r="P991" i="16" s="1"/>
  <c r="M1007" i="16"/>
  <c r="M1023" i="16"/>
  <c r="M1039" i="16"/>
  <c r="M1055" i="16"/>
  <c r="P1055" i="16" s="1"/>
  <c r="M1071" i="16"/>
  <c r="M1087" i="16"/>
  <c r="M1103" i="16"/>
  <c r="M1119" i="16"/>
  <c r="M1135" i="16"/>
  <c r="M1151" i="16"/>
  <c r="M1167" i="16"/>
  <c r="M1183" i="16"/>
  <c r="M28" i="16"/>
  <c r="M60" i="16"/>
  <c r="P60" i="16" s="1"/>
  <c r="M92" i="16"/>
  <c r="M124" i="16"/>
  <c r="P124" i="16" s="1"/>
  <c r="M156" i="16"/>
  <c r="M188" i="16"/>
  <c r="P188" i="16" s="1"/>
  <c r="M220" i="16"/>
  <c r="M252" i="16"/>
  <c r="P252" i="16" s="1"/>
  <c r="M284" i="16"/>
  <c r="M316" i="16"/>
  <c r="M348" i="16"/>
  <c r="M380" i="16"/>
  <c r="P380" i="16" s="1"/>
  <c r="M412" i="16"/>
  <c r="M444" i="16"/>
  <c r="M476" i="16"/>
  <c r="M508" i="16"/>
  <c r="P508" i="16" s="1"/>
  <c r="M540" i="16"/>
  <c r="M572" i="16"/>
  <c r="M604" i="16"/>
  <c r="M636" i="16"/>
  <c r="P636" i="16" s="1"/>
  <c r="M668" i="16"/>
  <c r="M700" i="16"/>
  <c r="M732" i="16"/>
  <c r="M764" i="16"/>
  <c r="P764" i="16" s="1"/>
  <c r="M796" i="16"/>
  <c r="M828" i="16"/>
  <c r="M860" i="16"/>
  <c r="M892" i="16"/>
  <c r="P892" i="16" s="1"/>
  <c r="M924" i="16"/>
  <c r="M956" i="16"/>
  <c r="M988" i="16"/>
  <c r="M1020" i="16"/>
  <c r="P1020" i="16" s="1"/>
  <c r="M1052" i="16"/>
  <c r="M1084" i="16"/>
  <c r="M1116" i="16"/>
  <c r="M1148" i="16"/>
  <c r="P1148" i="16" s="1"/>
  <c r="M1180" i="16"/>
  <c r="M1203" i="16"/>
  <c r="M1224" i="16"/>
  <c r="P1224" i="16" s="1"/>
  <c r="M1245" i="16"/>
  <c r="P1245" i="16" s="1"/>
  <c r="M1267" i="16"/>
  <c r="M5" i="16"/>
  <c r="M37" i="16"/>
  <c r="P37" i="16" s="1"/>
  <c r="M69" i="16"/>
  <c r="M101" i="16"/>
  <c r="M133" i="16"/>
  <c r="M165" i="16"/>
  <c r="M197" i="16"/>
  <c r="M229" i="16"/>
  <c r="M261" i="16"/>
  <c r="M293" i="16"/>
  <c r="M325" i="16"/>
  <c r="P325" i="16" s="1"/>
  <c r="M357" i="16"/>
  <c r="M389" i="16"/>
  <c r="P389" i="16" s="1"/>
  <c r="M421" i="16"/>
  <c r="M453" i="16"/>
  <c r="P453" i="16" s="1"/>
  <c r="M485" i="16"/>
  <c r="M517" i="16"/>
  <c r="P517" i="16" s="1"/>
  <c r="M549" i="16"/>
  <c r="M581" i="16"/>
  <c r="P581" i="16" s="1"/>
  <c r="M613" i="16"/>
  <c r="M645" i="16"/>
  <c r="P645" i="16" s="1"/>
  <c r="M677" i="16"/>
  <c r="M709" i="16"/>
  <c r="M741" i="16"/>
  <c r="M773" i="16"/>
  <c r="P773" i="16" s="1"/>
  <c r="M805" i="16"/>
  <c r="M837" i="16"/>
  <c r="P837" i="16" s="1"/>
  <c r="M869" i="16"/>
  <c r="M901" i="16"/>
  <c r="P901" i="16" s="1"/>
  <c r="M933" i="16"/>
  <c r="M965" i="16"/>
  <c r="P965" i="16" s="1"/>
  <c r="M997" i="16"/>
  <c r="M1029" i="16"/>
  <c r="P1029" i="16" s="1"/>
  <c r="M1061" i="16"/>
  <c r="M1093" i="16"/>
  <c r="P1093" i="16" s="1"/>
  <c r="M1125" i="16"/>
  <c r="M1157" i="16"/>
  <c r="P1157" i="16" s="1"/>
  <c r="M1188" i="16"/>
  <c r="M1209" i="16"/>
  <c r="P1209" i="16" s="1"/>
  <c r="M1231" i="16"/>
  <c r="M1252" i="16"/>
  <c r="P1252" i="16" s="1"/>
  <c r="M1273" i="16"/>
  <c r="P1273" i="16" s="1"/>
  <c r="M24" i="16"/>
  <c r="M56" i="16"/>
  <c r="P56" i="16" s="1"/>
  <c r="M81" i="16"/>
  <c r="M145" i="16"/>
  <c r="M209" i="16"/>
  <c r="P209" i="16" s="1"/>
  <c r="M273" i="16"/>
  <c r="M337" i="16"/>
  <c r="M401" i="16"/>
  <c r="M465" i="16"/>
  <c r="M529" i="16"/>
  <c r="P529" i="16" s="1"/>
  <c r="M593" i="16"/>
  <c r="M657" i="16"/>
  <c r="M721" i="16"/>
  <c r="M785" i="16"/>
  <c r="P785" i="16" s="1"/>
  <c r="M849" i="16"/>
  <c r="M913" i="16"/>
  <c r="M977" i="16"/>
  <c r="M1041" i="16"/>
  <c r="P1041" i="16" s="1"/>
  <c r="M1105" i="16"/>
  <c r="M1169" i="16"/>
  <c r="M1217" i="16"/>
  <c r="M1260" i="16"/>
  <c r="M49" i="16"/>
  <c r="M120" i="16"/>
  <c r="M184" i="16"/>
  <c r="M248" i="16"/>
  <c r="P248" i="16" s="1"/>
  <c r="M312" i="16"/>
  <c r="P312" i="16" s="1"/>
  <c r="M376" i="16"/>
  <c r="P376" i="16" s="1"/>
  <c r="M440" i="16"/>
  <c r="P440" i="16" s="1"/>
  <c r="M504" i="16"/>
  <c r="P504" i="16" s="1"/>
  <c r="M568" i="16"/>
  <c r="P568" i="16" s="1"/>
  <c r="M632" i="16"/>
  <c r="P632" i="16" s="1"/>
  <c r="M696" i="16"/>
  <c r="P696" i="16" s="1"/>
  <c r="M760" i="16"/>
  <c r="P760" i="16" s="1"/>
  <c r="M824" i="16"/>
  <c r="P824" i="16" s="1"/>
  <c r="M888" i="16"/>
  <c r="P888" i="16" s="1"/>
  <c r="M952" i="16"/>
  <c r="P952" i="16" s="1"/>
  <c r="M1016" i="16"/>
  <c r="P1016" i="16" s="1"/>
  <c r="M1080" i="16"/>
  <c r="P1080" i="16" s="1"/>
  <c r="M1144" i="16"/>
  <c r="P1144" i="16" s="1"/>
  <c r="M1200" i="16"/>
  <c r="M1243" i="16"/>
  <c r="M33" i="16"/>
  <c r="M112" i="16"/>
  <c r="M176" i="16"/>
  <c r="M240" i="16"/>
  <c r="P240" i="16" s="1"/>
  <c r="M304" i="16"/>
  <c r="M368" i="16"/>
  <c r="M432" i="16"/>
  <c r="M496" i="16"/>
  <c r="P496" i="16" s="1"/>
  <c r="M560" i="16"/>
  <c r="M624" i="16"/>
  <c r="M688" i="16"/>
  <c r="M752" i="16"/>
  <c r="P752" i="16" s="1"/>
  <c r="M816" i="16"/>
  <c r="M880" i="16"/>
  <c r="M944" i="16"/>
  <c r="M1008" i="16"/>
  <c r="P1008" i="16" s="1"/>
  <c r="M1072" i="16"/>
  <c r="M1136" i="16"/>
  <c r="M1195" i="16"/>
  <c r="P1195" i="16" s="1"/>
  <c r="M1237" i="16"/>
  <c r="M1280" i="16"/>
  <c r="M89" i="16"/>
  <c r="P89" i="16" s="1"/>
  <c r="M153" i="16"/>
  <c r="M217" i="16"/>
  <c r="P217" i="16" s="1"/>
  <c r="M281" i="16"/>
  <c r="P281" i="16" s="1"/>
  <c r="M345" i="16"/>
  <c r="P345" i="16" s="1"/>
  <c r="M409" i="16"/>
  <c r="P409" i="16" s="1"/>
  <c r="M473" i="16"/>
  <c r="P473" i="16" s="1"/>
  <c r="M537" i="16"/>
  <c r="P537" i="16" s="1"/>
  <c r="M601" i="16"/>
  <c r="P601" i="16" s="1"/>
  <c r="M665" i="16"/>
  <c r="P665" i="16" s="1"/>
  <c r="M729" i="16"/>
  <c r="P729" i="16" s="1"/>
  <c r="M793" i="16"/>
  <c r="P793" i="16" s="1"/>
  <c r="M857" i="16"/>
  <c r="P857" i="16" s="1"/>
  <c r="M921" i="16"/>
  <c r="P921" i="16" s="1"/>
  <c r="M985" i="16"/>
  <c r="P985" i="16" s="1"/>
  <c r="M1049" i="16"/>
  <c r="P1049" i="16" s="1"/>
  <c r="M1113" i="16"/>
  <c r="P1113" i="16" s="1"/>
  <c r="M1177" i="16"/>
  <c r="P1177" i="16" s="1"/>
  <c r="M1223" i="16"/>
  <c r="M1265" i="16"/>
  <c r="M610" i="16"/>
  <c r="M642" i="16"/>
  <c r="P642" i="16" s="1"/>
  <c r="M674" i="16"/>
  <c r="M706" i="16"/>
  <c r="P706" i="16" s="1"/>
  <c r="M738" i="16"/>
  <c r="M770" i="16"/>
  <c r="P770" i="16" s="1"/>
  <c r="M802" i="16"/>
  <c r="M834" i="16"/>
  <c r="P834" i="16" s="1"/>
  <c r="M866" i="16"/>
  <c r="M898" i="16"/>
  <c r="P898" i="16" s="1"/>
  <c r="M930" i="16"/>
  <c r="M962" i="16"/>
  <c r="P962" i="16" s="1"/>
  <c r="M994" i="16"/>
  <c r="M1026" i="16"/>
  <c r="P1026" i="16" s="1"/>
  <c r="M1058" i="16"/>
  <c r="M1090" i="16"/>
  <c r="P1090" i="16" s="1"/>
  <c r="M1122" i="16"/>
  <c r="M1154" i="16"/>
  <c r="P1154" i="16" s="1"/>
  <c r="M1186" i="16"/>
  <c r="M1206" i="16"/>
  <c r="P1206" i="16" s="1"/>
  <c r="M1222" i="16"/>
  <c r="M1238" i="16"/>
  <c r="P1238" i="16" s="1"/>
  <c r="M1254" i="16"/>
  <c r="M1270" i="16"/>
  <c r="P1270" i="16" s="1"/>
  <c r="M3" i="16"/>
  <c r="M19" i="16"/>
  <c r="P19" i="16" s="1"/>
  <c r="M35" i="16"/>
  <c r="M51" i="16"/>
  <c r="M67" i="16"/>
  <c r="P67" i="16" s="1"/>
  <c r="M83" i="16"/>
  <c r="P83" i="16" s="1"/>
  <c r="M99" i="16"/>
  <c r="P99" i="16" s="1"/>
  <c r="M115" i="16"/>
  <c r="M131" i="16"/>
  <c r="P131" i="16" s="1"/>
  <c r="M147" i="16"/>
  <c r="P147" i="16" s="1"/>
  <c r="M163" i="16"/>
  <c r="P163" i="16" s="1"/>
  <c r="M179" i="16"/>
  <c r="M195" i="16"/>
  <c r="P195" i="16" s="1"/>
  <c r="M211" i="16"/>
  <c r="P211" i="16" s="1"/>
  <c r="M227" i="16"/>
  <c r="P227" i="16" s="1"/>
  <c r="M243" i="16"/>
  <c r="M259" i="16"/>
  <c r="P259" i="16" s="1"/>
  <c r="M275" i="16"/>
  <c r="P275" i="16" s="1"/>
  <c r="M291" i="16"/>
  <c r="P291" i="16" s="1"/>
  <c r="M307" i="16"/>
  <c r="M323" i="16"/>
  <c r="M339" i="16"/>
  <c r="P339" i="16" s="1"/>
  <c r="M355" i="16"/>
  <c r="P355" i="16" s="1"/>
  <c r="M371" i="16"/>
  <c r="M387" i="16"/>
  <c r="M403" i="16"/>
  <c r="P403" i="16" s="1"/>
  <c r="M419" i="16"/>
  <c r="P419" i="16" s="1"/>
  <c r="M435" i="16"/>
  <c r="M451" i="16"/>
  <c r="M467" i="16"/>
  <c r="P467" i="16" s="1"/>
  <c r="M483" i="16"/>
  <c r="P483" i="16" s="1"/>
  <c r="M499" i="16"/>
  <c r="M515" i="16"/>
  <c r="M531" i="16"/>
  <c r="P531" i="16" s="1"/>
  <c r="M547" i="16"/>
  <c r="P547" i="16" s="1"/>
  <c r="M563" i="16"/>
  <c r="M579" i="16"/>
  <c r="M595" i="16"/>
  <c r="P595" i="16" s="1"/>
  <c r="M611" i="16"/>
  <c r="P611" i="16" s="1"/>
  <c r="M627" i="16"/>
  <c r="M643" i="16"/>
  <c r="M659" i="16"/>
  <c r="P659" i="16" s="1"/>
  <c r="M675" i="16"/>
  <c r="P675" i="16" s="1"/>
  <c r="M691" i="16"/>
  <c r="M707" i="16"/>
  <c r="M723" i="16"/>
  <c r="P723" i="16" s="1"/>
  <c r="M739" i="16"/>
  <c r="P739" i="16" s="1"/>
  <c r="M755" i="16"/>
  <c r="M771" i="16"/>
  <c r="M787" i="16"/>
  <c r="P787" i="16" s="1"/>
  <c r="M803" i="16"/>
  <c r="P803" i="16" s="1"/>
  <c r="M819" i="16"/>
  <c r="M835" i="16"/>
  <c r="M851" i="16"/>
  <c r="P851" i="16" s="1"/>
  <c r="M867" i="16"/>
  <c r="P867" i="16" s="1"/>
  <c r="M883" i="16"/>
  <c r="M899" i="16"/>
  <c r="M915" i="16"/>
  <c r="P915" i="16" s="1"/>
  <c r="M931" i="16"/>
  <c r="P931" i="16" s="1"/>
  <c r="M947" i="16"/>
  <c r="M963" i="16"/>
  <c r="M979" i="16"/>
  <c r="P979" i="16" s="1"/>
  <c r="M995" i="16"/>
  <c r="P995" i="16" s="1"/>
  <c r="M1011" i="16"/>
  <c r="M1027" i="16"/>
  <c r="M1043" i="16"/>
  <c r="P1043" i="16" s="1"/>
  <c r="M1059" i="16"/>
  <c r="P1059" i="16" s="1"/>
  <c r="M1075" i="16"/>
  <c r="M1091" i="16"/>
  <c r="M1107" i="16"/>
  <c r="P1107" i="16" s="1"/>
  <c r="M1123" i="16"/>
  <c r="P1123" i="16" s="1"/>
  <c r="M1139" i="16"/>
  <c r="M1155" i="16"/>
  <c r="M1171" i="16"/>
  <c r="P1171" i="16" s="1"/>
  <c r="M4" i="16"/>
  <c r="M36" i="16"/>
  <c r="M68" i="16"/>
  <c r="M100" i="16"/>
  <c r="P100" i="16" s="1"/>
  <c r="M132" i="16"/>
  <c r="M164" i="16"/>
  <c r="M196" i="16"/>
  <c r="M228" i="16"/>
  <c r="P228" i="16" s="1"/>
  <c r="M260" i="16"/>
  <c r="M292" i="16"/>
  <c r="P292" i="16" s="1"/>
  <c r="M324" i="16"/>
  <c r="M356" i="16"/>
  <c r="P356" i="16" s="1"/>
  <c r="M388" i="16"/>
  <c r="M420" i="16"/>
  <c r="P420" i="16" s="1"/>
  <c r="M452" i="16"/>
  <c r="M484" i="16"/>
  <c r="P484" i="16" s="1"/>
  <c r="M516" i="16"/>
  <c r="M548" i="16"/>
  <c r="P548" i="16" s="1"/>
  <c r="M580" i="16"/>
  <c r="M612" i="16"/>
  <c r="P612" i="16" s="1"/>
  <c r="M644" i="16"/>
  <c r="M676" i="16"/>
  <c r="P676" i="16" s="1"/>
  <c r="M708" i="16"/>
  <c r="M740" i="16"/>
  <c r="P740" i="16" s="1"/>
  <c r="M772" i="16"/>
  <c r="M804" i="16"/>
  <c r="P804" i="16" s="1"/>
  <c r="M836" i="16"/>
  <c r="M868" i="16"/>
  <c r="P868" i="16" s="1"/>
  <c r="M900" i="16"/>
  <c r="M932" i="16"/>
  <c r="P932" i="16" s="1"/>
  <c r="M964" i="16"/>
  <c r="M996" i="16"/>
  <c r="P996" i="16" s="1"/>
  <c r="M1028" i="16"/>
  <c r="M1060" i="16"/>
  <c r="P1060" i="16" s="1"/>
  <c r="M1092" i="16"/>
  <c r="M1124" i="16"/>
  <c r="P1124" i="16" s="1"/>
  <c r="M1156" i="16"/>
  <c r="M1187" i="16"/>
  <c r="M1208" i="16"/>
  <c r="P1208" i="16" s="1"/>
  <c r="M1229" i="16"/>
  <c r="M1251" i="16"/>
  <c r="P1251" i="16" s="1"/>
  <c r="M1272" i="16"/>
  <c r="P1272" i="16" s="1"/>
  <c r="M13" i="16"/>
  <c r="M45" i="16"/>
  <c r="P45" i="16" s="1"/>
  <c r="M77" i="16"/>
  <c r="P77" i="16" s="1"/>
  <c r="M109" i="16"/>
  <c r="P109" i="16" s="1"/>
  <c r="M141" i="16"/>
  <c r="M173" i="16"/>
  <c r="P173" i="16" s="1"/>
  <c r="M205" i="16"/>
  <c r="P205" i="16" s="1"/>
  <c r="M237" i="16"/>
  <c r="P237" i="16" s="1"/>
  <c r="M269" i="16"/>
  <c r="M301" i="16"/>
  <c r="P301" i="16" s="1"/>
  <c r="M333" i="16"/>
  <c r="M365" i="16"/>
  <c r="M397" i="16"/>
  <c r="M429" i="16"/>
  <c r="P429" i="16" s="1"/>
  <c r="M461" i="16"/>
  <c r="M493" i="16"/>
  <c r="M525" i="16"/>
  <c r="M557" i="16"/>
  <c r="P557" i="16" s="1"/>
  <c r="M589" i="16"/>
  <c r="M621" i="16"/>
  <c r="M653" i="16"/>
  <c r="M685" i="16"/>
  <c r="P685" i="16" s="1"/>
  <c r="M717" i="16"/>
  <c r="M749" i="16"/>
  <c r="M781" i="16"/>
  <c r="M813" i="16"/>
  <c r="P813" i="16" s="1"/>
  <c r="M845" i="16"/>
  <c r="M877" i="16"/>
  <c r="M909" i="16"/>
  <c r="M941" i="16"/>
  <c r="P941" i="16" s="1"/>
  <c r="M973" i="16"/>
  <c r="M1005" i="16"/>
  <c r="M1037" i="16"/>
  <c r="M1069" i="16"/>
  <c r="P1069" i="16" s="1"/>
  <c r="M1101" i="16"/>
  <c r="M1133" i="16"/>
  <c r="M1165" i="16"/>
  <c r="M1193" i="16"/>
  <c r="P1193" i="16" s="1"/>
  <c r="M1215" i="16"/>
  <c r="P1215" i="16" s="1"/>
  <c r="M1236" i="16"/>
  <c r="P1236" i="16" s="1"/>
  <c r="M1257" i="16"/>
  <c r="M1279" i="16"/>
  <c r="M32" i="16"/>
  <c r="P32" i="16" s="1"/>
  <c r="M9" i="16"/>
  <c r="P9" i="16" s="1"/>
  <c r="M97" i="16"/>
  <c r="M161" i="16"/>
  <c r="M225" i="16"/>
  <c r="M289" i="16"/>
  <c r="M353" i="16"/>
  <c r="M417" i="16"/>
  <c r="M481" i="16"/>
  <c r="P481" i="16" s="1"/>
  <c r="M545" i="16"/>
  <c r="M609" i="16"/>
  <c r="M673" i="16"/>
  <c r="M737" i="16"/>
  <c r="P737" i="16" s="1"/>
  <c r="M801" i="16"/>
  <c r="M865" i="16"/>
  <c r="M929" i="16"/>
  <c r="M993" i="16"/>
  <c r="P993" i="16" s="1"/>
  <c r="M1057" i="16"/>
  <c r="M1121" i="16"/>
  <c r="M1185" i="16"/>
  <c r="M1228" i="16"/>
  <c r="M1271" i="16"/>
  <c r="P1271" i="16" s="1"/>
  <c r="M72" i="16"/>
  <c r="M136" i="16"/>
  <c r="M200" i="16"/>
  <c r="P200" i="16" s="1"/>
  <c r="M264" i="16"/>
  <c r="M328" i="16"/>
  <c r="P328" i="16" s="1"/>
  <c r="M392" i="16"/>
  <c r="P392" i="16" s="1"/>
  <c r="M456" i="16"/>
  <c r="P456" i="16" s="1"/>
  <c r="M520" i="16"/>
  <c r="P520" i="16" s="1"/>
  <c r="M584" i="16"/>
  <c r="P584" i="16" s="1"/>
  <c r="M648" i="16"/>
  <c r="P648" i="16" s="1"/>
  <c r="M712" i="16"/>
  <c r="P712" i="16" s="1"/>
  <c r="M776" i="16"/>
  <c r="P776" i="16" s="1"/>
  <c r="M840" i="16"/>
  <c r="P840" i="16" s="1"/>
  <c r="M904" i="16"/>
  <c r="P904" i="16" s="1"/>
  <c r="M968" i="16"/>
  <c r="P968" i="16" s="1"/>
  <c r="M1032" i="16"/>
  <c r="P1032" i="16" s="1"/>
  <c r="M1096" i="16"/>
  <c r="P1096" i="16" s="1"/>
  <c r="M1160" i="16"/>
  <c r="P1160" i="16" s="1"/>
  <c r="M1211" i="16"/>
  <c r="M1253" i="16"/>
  <c r="P1253" i="16" s="1"/>
  <c r="M64" i="16"/>
  <c r="M128" i="16"/>
  <c r="M192" i="16"/>
  <c r="P192" i="16" s="1"/>
  <c r="M256" i="16"/>
  <c r="M320" i="16"/>
  <c r="M384" i="16"/>
  <c r="M448" i="16"/>
  <c r="P448" i="16" s="1"/>
  <c r="M512" i="16"/>
  <c r="M576" i="16"/>
  <c r="M640" i="16"/>
  <c r="M704" i="16"/>
  <c r="P704" i="16" s="1"/>
  <c r="M768" i="16"/>
  <c r="M832" i="16"/>
  <c r="M896" i="16"/>
  <c r="M960" i="16"/>
  <c r="P960" i="16" s="1"/>
  <c r="M1024" i="16"/>
  <c r="M1088" i="16"/>
  <c r="M1152" i="16"/>
  <c r="M1205" i="16"/>
  <c r="M1248" i="16"/>
  <c r="M25" i="16"/>
  <c r="M105" i="16"/>
  <c r="P105" i="16" s="1"/>
  <c r="M169" i="16"/>
  <c r="M233" i="16"/>
  <c r="M297" i="16"/>
  <c r="M361" i="16"/>
  <c r="M425" i="16"/>
  <c r="P425" i="16" s="1"/>
  <c r="M489" i="16"/>
  <c r="M553" i="16"/>
  <c r="M617" i="16"/>
  <c r="M681" i="16"/>
  <c r="P681" i="16" s="1"/>
  <c r="M745" i="16"/>
  <c r="M809" i="16"/>
  <c r="M873" i="16"/>
  <c r="M937" i="16"/>
  <c r="P937" i="16" s="1"/>
  <c r="M1001" i="16"/>
  <c r="M1065" i="16"/>
  <c r="P1065" i="16" s="1"/>
  <c r="M1129" i="16"/>
  <c r="P1129" i="16" s="1"/>
  <c r="M1191" i="16"/>
  <c r="M1233" i="16"/>
  <c r="M1276" i="16"/>
  <c r="U1311" i="16"/>
  <c r="U1315" i="16"/>
  <c r="U1319" i="16"/>
  <c r="U1323" i="16"/>
  <c r="U1327" i="16"/>
  <c r="U1331" i="16"/>
  <c r="X1331" i="16" s="1"/>
  <c r="U1308" i="16"/>
  <c r="U1312" i="16"/>
  <c r="U1316" i="16"/>
  <c r="U1320" i="16"/>
  <c r="X1320" i="16" s="1"/>
  <c r="U1324" i="16"/>
  <c r="U1328" i="16"/>
  <c r="U1309" i="16"/>
  <c r="X1309" i="16" s="1"/>
  <c r="U1313" i="16"/>
  <c r="U1317" i="16"/>
  <c r="U1321" i="16"/>
  <c r="U1325" i="16"/>
  <c r="X1325" i="16" s="1"/>
  <c r="U1329" i="16"/>
  <c r="U1310" i="16"/>
  <c r="U1314" i="16"/>
  <c r="U1318" i="16"/>
  <c r="U1322" i="16"/>
  <c r="U1326" i="16"/>
  <c r="U1330" i="16"/>
  <c r="U1301" i="16"/>
  <c r="U1286" i="16"/>
  <c r="U1290" i="16"/>
  <c r="U1294" i="16"/>
  <c r="U1298" i="16"/>
  <c r="U1302" i="16"/>
  <c r="U1306" i="16"/>
  <c r="U1287" i="16"/>
  <c r="X1287" i="16" s="1"/>
  <c r="U1291" i="16"/>
  <c r="U1295" i="16"/>
  <c r="U1299" i="16"/>
  <c r="U1307" i="16"/>
  <c r="U1303" i="16"/>
  <c r="X1303" i="16" s="1"/>
  <c r="U1284" i="16"/>
  <c r="U1288" i="16"/>
  <c r="U1292" i="16"/>
  <c r="U1296" i="16"/>
  <c r="U1300" i="16"/>
  <c r="U1304" i="16"/>
  <c r="U1285" i="16"/>
  <c r="U1289" i="16"/>
  <c r="X1289" i="16" s="1"/>
  <c r="U1293" i="16"/>
  <c r="U1297" i="16"/>
  <c r="U1305" i="16"/>
  <c r="U5" i="16"/>
  <c r="U21" i="16"/>
  <c r="U37" i="16"/>
  <c r="U53" i="16"/>
  <c r="U69" i="16"/>
  <c r="U85" i="16"/>
  <c r="U101" i="16"/>
  <c r="U117" i="16"/>
  <c r="U133" i="16"/>
  <c r="U10" i="16"/>
  <c r="X10" i="16" s="1"/>
  <c r="U31" i="16"/>
  <c r="U52" i="16"/>
  <c r="U74" i="16"/>
  <c r="X74" i="16" s="1"/>
  <c r="U95" i="16"/>
  <c r="U116" i="16"/>
  <c r="U138" i="16"/>
  <c r="X138" i="16" s="1"/>
  <c r="U155" i="16"/>
  <c r="X155" i="16" s="1"/>
  <c r="U171" i="16"/>
  <c r="U187" i="16"/>
  <c r="U203" i="16"/>
  <c r="U219" i="16"/>
  <c r="X219" i="16" s="1"/>
  <c r="U235" i="16"/>
  <c r="U3" i="16"/>
  <c r="U32" i="16"/>
  <c r="U60" i="16"/>
  <c r="U88" i="16"/>
  <c r="U118" i="16"/>
  <c r="U145" i="16"/>
  <c r="U166" i="16"/>
  <c r="U188" i="16"/>
  <c r="X188" i="16" s="1"/>
  <c r="U209" i="16"/>
  <c r="U230" i="16"/>
  <c r="U251" i="16"/>
  <c r="X251" i="16" s="1"/>
  <c r="U267" i="16"/>
  <c r="U283" i="16"/>
  <c r="U299" i="16"/>
  <c r="U315" i="16"/>
  <c r="X315" i="16" s="1"/>
  <c r="U331" i="16"/>
  <c r="U347" i="16"/>
  <c r="U363" i="16"/>
  <c r="U379" i="16"/>
  <c r="U395" i="16"/>
  <c r="U411" i="16"/>
  <c r="U427" i="16"/>
  <c r="X427" i="16" s="1"/>
  <c r="U443" i="16"/>
  <c r="U459" i="16"/>
  <c r="U475" i="16"/>
  <c r="U491" i="16"/>
  <c r="X491" i="16" s="1"/>
  <c r="U507" i="16"/>
  <c r="U523" i="16"/>
  <c r="U539" i="16"/>
  <c r="U555" i="16"/>
  <c r="U571" i="16"/>
  <c r="U587" i="16"/>
  <c r="U603" i="16"/>
  <c r="U619" i="16"/>
  <c r="U635" i="16"/>
  <c r="U651" i="16"/>
  <c r="U667" i="16"/>
  <c r="U683" i="16"/>
  <c r="U699" i="16"/>
  <c r="U715" i="16"/>
  <c r="U731" i="16"/>
  <c r="U747" i="16"/>
  <c r="U763" i="16"/>
  <c r="U779" i="16"/>
  <c r="U795" i="16"/>
  <c r="U811" i="16"/>
  <c r="U827" i="16"/>
  <c r="U843" i="16"/>
  <c r="U859" i="16"/>
  <c r="U875" i="16"/>
  <c r="U891" i="16"/>
  <c r="U907" i="16"/>
  <c r="U923" i="16"/>
  <c r="U939" i="16"/>
  <c r="U955" i="16"/>
  <c r="U971" i="16"/>
  <c r="U987" i="16"/>
  <c r="U1003" i="16"/>
  <c r="U1019" i="16"/>
  <c r="U1035" i="16"/>
  <c r="U1051" i="16"/>
  <c r="U1067" i="16"/>
  <c r="U1083" i="16"/>
  <c r="U1099" i="16"/>
  <c r="U1115" i="16"/>
  <c r="U1131" i="16"/>
  <c r="U6" i="16"/>
  <c r="U34" i="16"/>
  <c r="U62" i="16"/>
  <c r="U91" i="16"/>
  <c r="U119" i="16"/>
  <c r="X119" i="16" s="1"/>
  <c r="U146" i="16"/>
  <c r="U168" i="16"/>
  <c r="U189" i="16"/>
  <c r="U210" i="16"/>
  <c r="U232" i="16"/>
  <c r="U252" i="16"/>
  <c r="U268" i="16"/>
  <c r="U43" i="16"/>
  <c r="X43" i="16" s="1"/>
  <c r="U99" i="16"/>
  <c r="U153" i="16"/>
  <c r="U196" i="16"/>
  <c r="U238" i="16"/>
  <c r="X238" i="16" s="1"/>
  <c r="U273" i="16"/>
  <c r="U294" i="16"/>
  <c r="U316" i="16"/>
  <c r="U337" i="16"/>
  <c r="X337" i="16" s="1"/>
  <c r="U358" i="16"/>
  <c r="U380" i="16"/>
  <c r="U401" i="16"/>
  <c r="U422" i="16"/>
  <c r="U444" i="16"/>
  <c r="U465" i="16"/>
  <c r="U486" i="16"/>
  <c r="U508" i="16"/>
  <c r="X508" i="16" s="1"/>
  <c r="U529" i="16"/>
  <c r="X529" i="16" s="1"/>
  <c r="U550" i="16"/>
  <c r="U572" i="16"/>
  <c r="U593" i="16"/>
  <c r="U614" i="16"/>
  <c r="U636" i="16"/>
  <c r="U657" i="16"/>
  <c r="U678" i="16"/>
  <c r="U700" i="16"/>
  <c r="U721" i="16"/>
  <c r="U742" i="16"/>
  <c r="U764" i="16"/>
  <c r="U785" i="16"/>
  <c r="U806" i="16"/>
  <c r="X806" i="16" s="1"/>
  <c r="U828" i="16"/>
  <c r="U849" i="16"/>
  <c r="U870" i="16"/>
  <c r="U892" i="16"/>
  <c r="U913" i="16"/>
  <c r="U934" i="16"/>
  <c r="U956" i="16"/>
  <c r="U977" i="16"/>
  <c r="U998" i="16"/>
  <c r="U1020" i="16"/>
  <c r="U1041" i="16"/>
  <c r="U1062" i="16"/>
  <c r="X1062" i="16" s="1"/>
  <c r="U1084" i="16"/>
  <c r="U1105" i="16"/>
  <c r="U1126" i="16"/>
  <c r="U1147" i="16"/>
  <c r="X1147" i="16" s="1"/>
  <c r="U1163" i="16"/>
  <c r="U1179" i="16"/>
  <c r="X1179" i="16" s="1"/>
  <c r="U1195" i="16"/>
  <c r="X1195" i="16" s="1"/>
  <c r="U1211" i="16"/>
  <c r="U1227" i="16"/>
  <c r="X1227" i="16" s="1"/>
  <c r="U1243" i="16"/>
  <c r="X1243" i="16" s="1"/>
  <c r="U1259" i="16"/>
  <c r="U1275" i="16"/>
  <c r="U16" i="16"/>
  <c r="X16" i="16" s="1"/>
  <c r="U72" i="16"/>
  <c r="U130" i="16"/>
  <c r="U176" i="16"/>
  <c r="U218" i="16"/>
  <c r="X218" i="16" s="1"/>
  <c r="U258" i="16"/>
  <c r="U285" i="16"/>
  <c r="U306" i="16"/>
  <c r="U328" i="16"/>
  <c r="U349" i="16"/>
  <c r="U370" i="16"/>
  <c r="U392" i="16"/>
  <c r="U413" i="16"/>
  <c r="U434" i="16"/>
  <c r="U456" i="16"/>
  <c r="X456" i="16" s="1"/>
  <c r="U477" i="16"/>
  <c r="U498" i="16"/>
  <c r="U520" i="16"/>
  <c r="X520" i="16" s="1"/>
  <c r="U541" i="16"/>
  <c r="U562" i="16"/>
  <c r="U584" i="16"/>
  <c r="U605" i="16"/>
  <c r="X605" i="16" s="1"/>
  <c r="U626" i="16"/>
  <c r="X626" i="16" s="1"/>
  <c r="U648" i="16"/>
  <c r="U669" i="16"/>
  <c r="U690" i="16"/>
  <c r="U712" i="16"/>
  <c r="U733" i="16"/>
  <c r="U754" i="16"/>
  <c r="U776" i="16"/>
  <c r="X776" i="16" s="1"/>
  <c r="U797" i="16"/>
  <c r="U818" i="16"/>
  <c r="U840" i="16"/>
  <c r="U861" i="16"/>
  <c r="X861" i="16" s="1"/>
  <c r="U882" i="16"/>
  <c r="X882" i="16" s="1"/>
  <c r="U904" i="16"/>
  <c r="U925" i="16"/>
  <c r="U946" i="16"/>
  <c r="U968" i="16"/>
  <c r="U989" i="16"/>
  <c r="U1010" i="16"/>
  <c r="U1032" i="16"/>
  <c r="X1032" i="16" s="1"/>
  <c r="U1053" i="16"/>
  <c r="U1074" i="16"/>
  <c r="U1096" i="16"/>
  <c r="U1117" i="16"/>
  <c r="X1117" i="16" s="1"/>
  <c r="U1138" i="16"/>
  <c r="U1156" i="16"/>
  <c r="X1156" i="16" s="1"/>
  <c r="U1172" i="16"/>
  <c r="U1188" i="16"/>
  <c r="X1188" i="16" s="1"/>
  <c r="U1204" i="16"/>
  <c r="U1220" i="16"/>
  <c r="U1236" i="16"/>
  <c r="U1252" i="16"/>
  <c r="X1252" i="16" s="1"/>
  <c r="U1268" i="16"/>
  <c r="U7" i="16"/>
  <c r="X7" i="16" s="1"/>
  <c r="U64" i="16"/>
  <c r="U120" i="16"/>
  <c r="U169" i="16"/>
  <c r="X169" i="16" s="1"/>
  <c r="U212" i="16"/>
  <c r="U253" i="16"/>
  <c r="U281" i="16"/>
  <c r="U302" i="16"/>
  <c r="U324" i="16"/>
  <c r="X324" i="16" s="1"/>
  <c r="U345" i="16"/>
  <c r="U366" i="16"/>
  <c r="U388" i="16"/>
  <c r="U409" i="16"/>
  <c r="U430" i="16"/>
  <c r="U452" i="16"/>
  <c r="U473" i="16"/>
  <c r="X473" i="16" s="1"/>
  <c r="U494" i="16"/>
  <c r="U516" i="16"/>
  <c r="U537" i="16"/>
  <c r="X537" i="16" s="1"/>
  <c r="U558" i="16"/>
  <c r="U580" i="16"/>
  <c r="X580" i="16" s="1"/>
  <c r="U601" i="16"/>
  <c r="U622" i="16"/>
  <c r="U644" i="16"/>
  <c r="U665" i="16"/>
  <c r="U686" i="16"/>
  <c r="U192" i="16"/>
  <c r="X192" i="16" s="1"/>
  <c r="U314" i="16"/>
  <c r="X314" i="16" s="1"/>
  <c r="U400" i="16"/>
  <c r="U485" i="16"/>
  <c r="U570" i="16"/>
  <c r="U656" i="16"/>
  <c r="X656" i="16" s="1"/>
  <c r="U714" i="16"/>
  <c r="U757" i="16"/>
  <c r="U800" i="16"/>
  <c r="U842" i="16"/>
  <c r="U885" i="16"/>
  <c r="U928" i="16"/>
  <c r="U970" i="16"/>
  <c r="U1013" i="16"/>
  <c r="U1056" i="16"/>
  <c r="U1098" i="16"/>
  <c r="U1141" i="16"/>
  <c r="U1174" i="16"/>
  <c r="U1206" i="16"/>
  <c r="X1206" i="16" s="1"/>
  <c r="U1238" i="16"/>
  <c r="U1270" i="16"/>
  <c r="U160" i="16"/>
  <c r="U298" i="16"/>
  <c r="X298" i="16" s="1"/>
  <c r="U384" i="16"/>
  <c r="U469" i="16"/>
  <c r="X469" i="16" s="1"/>
  <c r="U554" i="16"/>
  <c r="U640" i="16"/>
  <c r="U708" i="16"/>
  <c r="U750" i="16"/>
  <c r="U793" i="16"/>
  <c r="U836" i="16"/>
  <c r="X836" i="16" s="1"/>
  <c r="U878" i="16"/>
  <c r="U921" i="16"/>
  <c r="X921" i="16" s="1"/>
  <c r="U964" i="16"/>
  <c r="U1006" i="16"/>
  <c r="U1049" i="16"/>
  <c r="U1092" i="16"/>
  <c r="X1092" i="16" s="1"/>
  <c r="U1134" i="16"/>
  <c r="U1169" i="16"/>
  <c r="U1201" i="16"/>
  <c r="U1233" i="16"/>
  <c r="U1265" i="16"/>
  <c r="U170" i="16"/>
  <c r="X170" i="16" s="1"/>
  <c r="U389" i="16"/>
  <c r="U560" i="16"/>
  <c r="U709" i="16"/>
  <c r="U794" i="16"/>
  <c r="U880" i="16"/>
  <c r="U965" i="16"/>
  <c r="U1050" i="16"/>
  <c r="U1136" i="16"/>
  <c r="U1202" i="16"/>
  <c r="U1266" i="16"/>
  <c r="U262" i="16"/>
  <c r="U437" i="16"/>
  <c r="X437" i="16" s="1"/>
  <c r="U608" i="16"/>
  <c r="U734" i="16"/>
  <c r="U820" i="16"/>
  <c r="U905" i="16"/>
  <c r="U990" i="16"/>
  <c r="U1076" i="16"/>
  <c r="X1076" i="16" s="1"/>
  <c r="U1157" i="16"/>
  <c r="U9" i="16"/>
  <c r="U25" i="16"/>
  <c r="U41" i="16"/>
  <c r="U57" i="16"/>
  <c r="X57" i="16" s="1"/>
  <c r="U73" i="16"/>
  <c r="U89" i="16"/>
  <c r="U105" i="16"/>
  <c r="U121" i="16"/>
  <c r="X121" i="16" s="1"/>
  <c r="U137" i="16"/>
  <c r="U15" i="16"/>
  <c r="U36" i="16"/>
  <c r="X36" i="16" s="1"/>
  <c r="U58" i="16"/>
  <c r="X58" i="16" s="1"/>
  <c r="U79" i="16"/>
  <c r="U100" i="16"/>
  <c r="U122" i="16"/>
  <c r="X122" i="16" s="1"/>
  <c r="U143" i="16"/>
  <c r="U159" i="16"/>
  <c r="U175" i="16"/>
  <c r="U191" i="16"/>
  <c r="U207" i="16"/>
  <c r="U223" i="16"/>
  <c r="U239" i="16"/>
  <c r="U11" i="16"/>
  <c r="X11" i="16" s="1"/>
  <c r="U39" i="16"/>
  <c r="X39" i="16" s="1"/>
  <c r="U67" i="16"/>
  <c r="U96" i="16"/>
  <c r="U124" i="16"/>
  <c r="U150" i="16"/>
  <c r="U172" i="16"/>
  <c r="U193" i="16"/>
  <c r="X193" i="16" s="1"/>
  <c r="U214" i="16"/>
  <c r="U236" i="16"/>
  <c r="U255" i="16"/>
  <c r="U271" i="16"/>
  <c r="U287" i="16"/>
  <c r="U303" i="16"/>
  <c r="U319" i="16"/>
  <c r="U335" i="16"/>
  <c r="U351" i="16"/>
  <c r="U367" i="16"/>
  <c r="X367" i="16" s="1"/>
  <c r="U383" i="16"/>
  <c r="U399" i="16"/>
  <c r="U415" i="16"/>
  <c r="X415" i="16" s="1"/>
  <c r="U431" i="16"/>
  <c r="U447" i="16"/>
  <c r="U463" i="16"/>
  <c r="U479" i="16"/>
  <c r="X479" i="16" s="1"/>
  <c r="U495" i="16"/>
  <c r="U511" i="16"/>
  <c r="U527" i="16"/>
  <c r="U543" i="16"/>
  <c r="X543" i="16" s="1"/>
  <c r="U559" i="16"/>
  <c r="U575" i="16"/>
  <c r="U591" i="16"/>
  <c r="U607" i="16"/>
  <c r="X607" i="16" s="1"/>
  <c r="U623" i="16"/>
  <c r="U639" i="16"/>
  <c r="U655" i="16"/>
  <c r="U671" i="16"/>
  <c r="X671" i="16" s="1"/>
  <c r="U687" i="16"/>
  <c r="U703" i="16"/>
  <c r="U719" i="16"/>
  <c r="U735" i="16"/>
  <c r="X735" i="16" s="1"/>
  <c r="U751" i="16"/>
  <c r="U767" i="16"/>
  <c r="U783" i="16"/>
  <c r="U799" i="16"/>
  <c r="X799" i="16" s="1"/>
  <c r="U815" i="16"/>
  <c r="U831" i="16"/>
  <c r="U847" i="16"/>
  <c r="U863" i="16"/>
  <c r="X863" i="16" s="1"/>
  <c r="U879" i="16"/>
  <c r="U895" i="16"/>
  <c r="U911" i="16"/>
  <c r="U927" i="16"/>
  <c r="X927" i="16" s="1"/>
  <c r="U943" i="16"/>
  <c r="U959" i="16"/>
  <c r="U975" i="16"/>
  <c r="U991" i="16"/>
  <c r="X991" i="16" s="1"/>
  <c r="U1007" i="16"/>
  <c r="U1023" i="16"/>
  <c r="U1039" i="16"/>
  <c r="U1055" i="16"/>
  <c r="X1055" i="16" s="1"/>
  <c r="U1071" i="16"/>
  <c r="U1087" i="16"/>
  <c r="U1103" i="16"/>
  <c r="U1119" i="16"/>
  <c r="U1135" i="16"/>
  <c r="U12" i="16"/>
  <c r="U40" i="16"/>
  <c r="U70" i="16"/>
  <c r="U98" i="16"/>
  <c r="U126" i="16"/>
  <c r="U152" i="16"/>
  <c r="U173" i="16"/>
  <c r="U194" i="16"/>
  <c r="U216" i="16"/>
  <c r="U237" i="16"/>
  <c r="U256" i="16"/>
  <c r="X256" i="16" s="1"/>
  <c r="U272" i="16"/>
  <c r="X272" i="16" s="1"/>
  <c r="U56" i="16"/>
  <c r="U114" i="16"/>
  <c r="U164" i="16"/>
  <c r="X164" i="16" s="1"/>
  <c r="U206" i="16"/>
  <c r="U249" i="16"/>
  <c r="U278" i="16"/>
  <c r="U300" i="16"/>
  <c r="U321" i="16"/>
  <c r="X321" i="16" s="1"/>
  <c r="U342" i="16"/>
  <c r="U364" i="16"/>
  <c r="U385" i="16"/>
  <c r="U406" i="16"/>
  <c r="U428" i="16"/>
  <c r="U449" i="16"/>
  <c r="U470" i="16"/>
  <c r="X470" i="16" s="1"/>
  <c r="U492" i="16"/>
  <c r="U513" i="16"/>
  <c r="U534" i="16"/>
  <c r="U556" i="16"/>
  <c r="X556" i="16" s="1"/>
  <c r="U577" i="16"/>
  <c r="U598" i="16"/>
  <c r="X598" i="16" s="1"/>
  <c r="U620" i="16"/>
  <c r="U641" i="16"/>
  <c r="U662" i="16"/>
  <c r="U684" i="16"/>
  <c r="U705" i="16"/>
  <c r="U726" i="16"/>
  <c r="X726" i="16" s="1"/>
  <c r="U748" i="16"/>
  <c r="U769" i="16"/>
  <c r="U790" i="16"/>
  <c r="U812" i="16"/>
  <c r="U833" i="16"/>
  <c r="U854" i="16"/>
  <c r="X854" i="16" s="1"/>
  <c r="U876" i="16"/>
  <c r="U897" i="16"/>
  <c r="U918" i="16"/>
  <c r="U940" i="16"/>
  <c r="U961" i="16"/>
  <c r="U982" i="16"/>
  <c r="X982" i="16" s="1"/>
  <c r="U1004" i="16"/>
  <c r="U1025" i="16"/>
  <c r="U1046" i="16"/>
  <c r="U1068" i="16"/>
  <c r="U1089" i="16"/>
  <c r="U1110" i="16"/>
  <c r="X1110" i="16" s="1"/>
  <c r="U1132" i="16"/>
  <c r="U1151" i="16"/>
  <c r="U1167" i="16"/>
  <c r="U1183" i="16"/>
  <c r="U1199" i="16"/>
  <c r="U1215" i="16"/>
  <c r="U1231" i="16"/>
  <c r="U1247" i="16"/>
  <c r="U1263" i="16"/>
  <c r="U1279" i="16"/>
  <c r="U30" i="16"/>
  <c r="U87" i="16"/>
  <c r="X87" i="16" s="1"/>
  <c r="U144" i="16"/>
  <c r="X144" i="16" s="1"/>
  <c r="U186" i="16"/>
  <c r="X186" i="16" s="1"/>
  <c r="U229" i="16"/>
  <c r="U266" i="16"/>
  <c r="X266" i="16" s="1"/>
  <c r="U290" i="16"/>
  <c r="U312" i="16"/>
  <c r="U333" i="16"/>
  <c r="U354" i="16"/>
  <c r="U376" i="16"/>
  <c r="U397" i="16"/>
  <c r="X397" i="16" s="1"/>
  <c r="U418" i="16"/>
  <c r="U440" i="16"/>
  <c r="X440" i="16" s="1"/>
  <c r="U461" i="16"/>
  <c r="U482" i="16"/>
  <c r="U504" i="16"/>
  <c r="X504" i="16" s="1"/>
  <c r="U525" i="16"/>
  <c r="U546" i="16"/>
  <c r="U568" i="16"/>
  <c r="X568" i="16" s="1"/>
  <c r="U589" i="16"/>
  <c r="U610" i="16"/>
  <c r="U632" i="16"/>
  <c r="U653" i="16"/>
  <c r="X653" i="16" s="1"/>
  <c r="U13" i="16"/>
  <c r="U29" i="16"/>
  <c r="X29" i="16" s="1"/>
  <c r="U45" i="16"/>
  <c r="U61" i="16"/>
  <c r="X61" i="16" s="1"/>
  <c r="U77" i="16"/>
  <c r="U93" i="16"/>
  <c r="X93" i="16" s="1"/>
  <c r="U109" i="16"/>
  <c r="U125" i="16"/>
  <c r="X125" i="16" s="1"/>
  <c r="U141" i="16"/>
  <c r="U20" i="16"/>
  <c r="U42" i="16"/>
  <c r="X42" i="16" s="1"/>
  <c r="U63" i="16"/>
  <c r="U84" i="16"/>
  <c r="X84" i="16" s="1"/>
  <c r="U106" i="16"/>
  <c r="X106" i="16" s="1"/>
  <c r="U127" i="16"/>
  <c r="U147" i="16"/>
  <c r="U163" i="16"/>
  <c r="U179" i="16"/>
  <c r="U195" i="16"/>
  <c r="U211" i="16"/>
  <c r="U227" i="16"/>
  <c r="U243" i="16"/>
  <c r="U18" i="16"/>
  <c r="U46" i="16"/>
  <c r="X46" i="16" s="1"/>
  <c r="U75" i="16"/>
  <c r="U103" i="16"/>
  <c r="X103" i="16" s="1"/>
  <c r="U131" i="16"/>
  <c r="U156" i="16"/>
  <c r="U177" i="16"/>
  <c r="X177" i="16" s="1"/>
  <c r="U198" i="16"/>
  <c r="U220" i="16"/>
  <c r="U241" i="16"/>
  <c r="X241" i="16" s="1"/>
  <c r="U259" i="16"/>
  <c r="U275" i="16"/>
  <c r="U291" i="16"/>
  <c r="U307" i="16"/>
  <c r="U323" i="16"/>
  <c r="U339" i="16"/>
  <c r="U355" i="16"/>
  <c r="U371" i="16"/>
  <c r="X371" i="16" s="1"/>
  <c r="U387" i="16"/>
  <c r="X387" i="16" s="1"/>
  <c r="U403" i="16"/>
  <c r="U419" i="16"/>
  <c r="U435" i="16"/>
  <c r="U451" i="16"/>
  <c r="X451" i="16" s="1"/>
  <c r="U467" i="16"/>
  <c r="U483" i="16"/>
  <c r="U499" i="16"/>
  <c r="U515" i="16"/>
  <c r="X515" i="16" s="1"/>
  <c r="U531" i="16"/>
  <c r="U547" i="16"/>
  <c r="U563" i="16"/>
  <c r="U579" i="16"/>
  <c r="X579" i="16" s="1"/>
  <c r="U595" i="16"/>
  <c r="U611" i="16"/>
  <c r="U627" i="16"/>
  <c r="U643" i="16"/>
  <c r="X643" i="16" s="1"/>
  <c r="U659" i="16"/>
  <c r="U675" i="16"/>
  <c r="U691" i="16"/>
  <c r="U707" i="16"/>
  <c r="X707" i="16" s="1"/>
  <c r="U723" i="16"/>
  <c r="U739" i="16"/>
  <c r="U755" i="16"/>
  <c r="U771" i="16"/>
  <c r="X771" i="16" s="1"/>
  <c r="U787" i="16"/>
  <c r="U803" i="16"/>
  <c r="U819" i="16"/>
  <c r="U835" i="16"/>
  <c r="X835" i="16" s="1"/>
  <c r="U851" i="16"/>
  <c r="U867" i="16"/>
  <c r="U883" i="16"/>
  <c r="U899" i="16"/>
  <c r="X899" i="16" s="1"/>
  <c r="U915" i="16"/>
  <c r="U931" i="16"/>
  <c r="U947" i="16"/>
  <c r="U963" i="16"/>
  <c r="X963" i="16" s="1"/>
  <c r="U979" i="16"/>
  <c r="U995" i="16"/>
  <c r="U1011" i="16"/>
  <c r="U1027" i="16"/>
  <c r="X1027" i="16" s="1"/>
  <c r="U1043" i="16"/>
  <c r="U1059" i="16"/>
  <c r="U1075" i="16"/>
  <c r="U1091" i="16"/>
  <c r="U1107" i="16"/>
  <c r="U1123" i="16"/>
  <c r="U1139" i="16"/>
  <c r="U19" i="16"/>
  <c r="U48" i="16"/>
  <c r="U76" i="16"/>
  <c r="U104" i="16"/>
  <c r="X104" i="16" s="1"/>
  <c r="U134" i="16"/>
  <c r="U157" i="16"/>
  <c r="X157" i="16" s="1"/>
  <c r="U178" i="16"/>
  <c r="U200" i="16"/>
  <c r="X200" i="16" s="1"/>
  <c r="U221" i="16"/>
  <c r="U242" i="16"/>
  <c r="U260" i="16"/>
  <c r="U14" i="16"/>
  <c r="X14" i="16" s="1"/>
  <c r="U71" i="16"/>
  <c r="X71" i="16" s="1"/>
  <c r="U128" i="16"/>
  <c r="X128" i="16" s="1"/>
  <c r="U174" i="16"/>
  <c r="U217" i="16"/>
  <c r="U257" i="16"/>
  <c r="X257" i="16" s="1"/>
  <c r="U284" i="16"/>
  <c r="U305" i="16"/>
  <c r="X305" i="16" s="1"/>
  <c r="U326" i="16"/>
  <c r="U348" i="16"/>
  <c r="U369" i="16"/>
  <c r="X369" i="16" s="1"/>
  <c r="U390" i="16"/>
  <c r="U412" i="16"/>
  <c r="U433" i="16"/>
  <c r="X433" i="16" s="1"/>
  <c r="U454" i="16"/>
  <c r="X454" i="16" s="1"/>
  <c r="U476" i="16"/>
  <c r="U497" i="16"/>
  <c r="U518" i="16"/>
  <c r="U540" i="16"/>
  <c r="U561" i="16"/>
  <c r="U582" i="16"/>
  <c r="X582" i="16" s="1"/>
  <c r="U604" i="16"/>
  <c r="U625" i="16"/>
  <c r="U646" i="16"/>
  <c r="U668" i="16"/>
  <c r="U689" i="16"/>
  <c r="U710" i="16"/>
  <c r="X710" i="16" s="1"/>
  <c r="U732" i="16"/>
  <c r="U753" i="16"/>
  <c r="U774" i="16"/>
  <c r="U796" i="16"/>
  <c r="U817" i="16"/>
  <c r="U838" i="16"/>
  <c r="X838" i="16" s="1"/>
  <c r="U860" i="16"/>
  <c r="U881" i="16"/>
  <c r="U902" i="16"/>
  <c r="U924" i="16"/>
  <c r="U945" i="16"/>
  <c r="U966" i="16"/>
  <c r="X966" i="16" s="1"/>
  <c r="U988" i="16"/>
  <c r="U1009" i="16"/>
  <c r="U1030" i="16"/>
  <c r="U1052" i="16"/>
  <c r="U1073" i="16"/>
  <c r="U1094" i="16"/>
  <c r="X1094" i="16" s="1"/>
  <c r="U1116" i="16"/>
  <c r="U1137" i="16"/>
  <c r="U1155" i="16"/>
  <c r="U1171" i="16"/>
  <c r="U1187" i="16"/>
  <c r="U1203" i="16"/>
  <c r="U1219" i="16"/>
  <c r="U1235" i="16"/>
  <c r="U1251" i="16"/>
  <c r="U1267" i="16"/>
  <c r="U1283" i="16"/>
  <c r="U44" i="16"/>
  <c r="U102" i="16"/>
  <c r="U154" i="16"/>
  <c r="X154" i="16" s="1"/>
  <c r="U197" i="16"/>
  <c r="U240" i="16"/>
  <c r="U274" i="16"/>
  <c r="U296" i="16"/>
  <c r="U317" i="16"/>
  <c r="U338" i="16"/>
  <c r="U360" i="16"/>
  <c r="U381" i="16"/>
  <c r="U402" i="16"/>
  <c r="U424" i="16"/>
  <c r="X424" i="16" s="1"/>
  <c r="U445" i="16"/>
  <c r="U466" i="16"/>
  <c r="U488" i="16"/>
  <c r="X488" i="16" s="1"/>
  <c r="U509" i="16"/>
  <c r="X509" i="16" s="1"/>
  <c r="U530" i="16"/>
  <c r="X530" i="16" s="1"/>
  <c r="U552" i="16"/>
  <c r="X552" i="16" s="1"/>
  <c r="U573" i="16"/>
  <c r="U594" i="16"/>
  <c r="U616" i="16"/>
  <c r="U637" i="16"/>
  <c r="U658" i="16"/>
  <c r="U680" i="16"/>
  <c r="X680" i="16" s="1"/>
  <c r="U701" i="16"/>
  <c r="U722" i="16"/>
  <c r="U744" i="16"/>
  <c r="U765" i="16"/>
  <c r="X765" i="16" s="1"/>
  <c r="U786" i="16"/>
  <c r="X786" i="16" s="1"/>
  <c r="U808" i="16"/>
  <c r="U829" i="16"/>
  <c r="U850" i="16"/>
  <c r="U872" i="16"/>
  <c r="U893" i="16"/>
  <c r="U914" i="16"/>
  <c r="U936" i="16"/>
  <c r="X936" i="16" s="1"/>
  <c r="U957" i="16"/>
  <c r="U978" i="16"/>
  <c r="U1000" i="16"/>
  <c r="U1021" i="16"/>
  <c r="X1021" i="16" s="1"/>
  <c r="U1042" i="16"/>
  <c r="X1042" i="16" s="1"/>
  <c r="U1064" i="16"/>
  <c r="U1085" i="16"/>
  <c r="U1106" i="16"/>
  <c r="U1128" i="16"/>
  <c r="U1148" i="16"/>
  <c r="U1164" i="16"/>
  <c r="U1180" i="16"/>
  <c r="U1196" i="16"/>
  <c r="U1212" i="16"/>
  <c r="U1228" i="16"/>
  <c r="U1244" i="16"/>
  <c r="X1244" i="16" s="1"/>
  <c r="U1260" i="16"/>
  <c r="U1276" i="16"/>
  <c r="U35" i="16"/>
  <c r="U92" i="16"/>
  <c r="U148" i="16"/>
  <c r="X148" i="16" s="1"/>
  <c r="U190" i="16"/>
  <c r="U233" i="16"/>
  <c r="U269" i="16"/>
  <c r="X269" i="16" s="1"/>
  <c r="U292" i="16"/>
  <c r="U313" i="16"/>
  <c r="U334" i="16"/>
  <c r="U356" i="16"/>
  <c r="X356" i="16" s="1"/>
  <c r="U377" i="16"/>
  <c r="U398" i="16"/>
  <c r="U420" i="16"/>
  <c r="U441" i="16"/>
  <c r="X441" i="16" s="1"/>
  <c r="U462" i="16"/>
  <c r="U484" i="16"/>
  <c r="U505" i="16"/>
  <c r="X505" i="16" s="1"/>
  <c r="U526" i="16"/>
  <c r="X526" i="16" s="1"/>
  <c r="U548" i="16"/>
  <c r="X548" i="16" s="1"/>
  <c r="U569" i="16"/>
  <c r="U590" i="16"/>
  <c r="U612" i="16"/>
  <c r="X612" i="16" s="1"/>
  <c r="U633" i="16"/>
  <c r="U654" i="16"/>
  <c r="U676" i="16"/>
  <c r="U94" i="16"/>
  <c r="X94" i="16" s="1"/>
  <c r="U270" i="16"/>
  <c r="U357" i="16"/>
  <c r="U442" i="16"/>
  <c r="U528" i="16"/>
  <c r="U613" i="16"/>
  <c r="U693" i="16"/>
  <c r="U736" i="16"/>
  <c r="U778" i="16"/>
  <c r="X778" i="16" s="1"/>
  <c r="U821" i="16"/>
  <c r="U864" i="16"/>
  <c r="U906" i="16"/>
  <c r="U949" i="16"/>
  <c r="U992" i="16"/>
  <c r="X992" i="16" s="1"/>
  <c r="U1034" i="16"/>
  <c r="U1077" i="16"/>
  <c r="U1120" i="16"/>
  <c r="U1158" i="16"/>
  <c r="U1190" i="16"/>
  <c r="X1190" i="16" s="1"/>
  <c r="U1222" i="16"/>
  <c r="U1254" i="16"/>
  <c r="X1254" i="16" s="1"/>
  <c r="U51" i="16"/>
  <c r="X51" i="16" s="1"/>
  <c r="U245" i="16"/>
  <c r="U341" i="16"/>
  <c r="U426" i="16"/>
  <c r="U512" i="16"/>
  <c r="U597" i="16"/>
  <c r="U682" i="16"/>
  <c r="U729" i="16"/>
  <c r="X729" i="16" s="1"/>
  <c r="U772" i="16"/>
  <c r="X772" i="16" s="1"/>
  <c r="U814" i="16"/>
  <c r="U857" i="16"/>
  <c r="X857" i="16" s="1"/>
  <c r="U900" i="16"/>
  <c r="X900" i="16" s="1"/>
  <c r="U942" i="16"/>
  <c r="U985" i="16"/>
  <c r="U1028" i="16"/>
  <c r="U1070" i="16"/>
  <c r="U1113" i="16"/>
  <c r="U1153" i="16"/>
  <c r="U1185" i="16"/>
  <c r="U1217" i="16"/>
  <c r="U1249" i="16"/>
  <c r="U1281" i="16"/>
  <c r="U304" i="16"/>
  <c r="U474" i="16"/>
  <c r="U645" i="16"/>
  <c r="X645" i="16" s="1"/>
  <c r="U752" i="16"/>
  <c r="U837" i="16"/>
  <c r="U922" i="16"/>
  <c r="U1008" i="16"/>
  <c r="X1008" i="16" s="1"/>
  <c r="U1093" i="16"/>
  <c r="U1170" i="16"/>
  <c r="U1234" i="16"/>
  <c r="U80" i="16"/>
  <c r="X80" i="16" s="1"/>
  <c r="U352" i="16"/>
  <c r="U522" i="16"/>
  <c r="U692" i="16"/>
  <c r="X692" i="16" s="1"/>
  <c r="U777" i="16"/>
  <c r="U862" i="16"/>
  <c r="U948" i="16"/>
  <c r="U1033" i="16"/>
  <c r="X1033" i="16" s="1"/>
  <c r="U1118" i="16"/>
  <c r="U1189" i="16"/>
  <c r="U1253" i="16"/>
  <c r="U17" i="16"/>
  <c r="X17" i="16" s="1"/>
  <c r="U33" i="16"/>
  <c r="X33" i="16" s="1"/>
  <c r="U49" i="16"/>
  <c r="X49" i="16" s="1"/>
  <c r="U65" i="16"/>
  <c r="X65" i="16" s="1"/>
  <c r="U81" i="16"/>
  <c r="X81" i="16" s="1"/>
  <c r="U97" i="16"/>
  <c r="X97" i="16" s="1"/>
  <c r="U113" i="16"/>
  <c r="X113" i="16" s="1"/>
  <c r="U129" i="16"/>
  <c r="X129" i="16" s="1"/>
  <c r="U4" i="16"/>
  <c r="X4" i="16" s="1"/>
  <c r="U26" i="16"/>
  <c r="X26" i="16" s="1"/>
  <c r="U47" i="16"/>
  <c r="U68" i="16"/>
  <c r="U90" i="16"/>
  <c r="X90" i="16" s="1"/>
  <c r="U111" i="16"/>
  <c r="U132" i="16"/>
  <c r="X132" i="16" s="1"/>
  <c r="U151" i="16"/>
  <c r="X151" i="16" s="1"/>
  <c r="U167" i="16"/>
  <c r="X167" i="16" s="1"/>
  <c r="U183" i="16"/>
  <c r="X183" i="16" s="1"/>
  <c r="U199" i="16"/>
  <c r="X199" i="16" s="1"/>
  <c r="U215" i="16"/>
  <c r="X215" i="16" s="1"/>
  <c r="U231" i="16"/>
  <c r="X231" i="16" s="1"/>
  <c r="U247" i="16"/>
  <c r="X247" i="16" s="1"/>
  <c r="U24" i="16"/>
  <c r="U54" i="16"/>
  <c r="U82" i="16"/>
  <c r="U110" i="16"/>
  <c r="U139" i="16"/>
  <c r="U161" i="16"/>
  <c r="U182" i="16"/>
  <c r="U204" i="16"/>
  <c r="U225" i="16"/>
  <c r="U246" i="16"/>
  <c r="U263" i="16"/>
  <c r="X263" i="16" s="1"/>
  <c r="U279" i="16"/>
  <c r="X279" i="16" s="1"/>
  <c r="U295" i="16"/>
  <c r="X295" i="16" s="1"/>
  <c r="U311" i="16"/>
  <c r="X311" i="16" s="1"/>
  <c r="U327" i="16"/>
  <c r="X327" i="16" s="1"/>
  <c r="U343" i="16"/>
  <c r="X343" i="16" s="1"/>
  <c r="U359" i="16"/>
  <c r="X359" i="16" s="1"/>
  <c r="U375" i="16"/>
  <c r="U391" i="16"/>
  <c r="X391" i="16" s="1"/>
  <c r="U407" i="16"/>
  <c r="U423" i="16"/>
  <c r="X423" i="16" s="1"/>
  <c r="U439" i="16"/>
  <c r="U455" i="16"/>
  <c r="X455" i="16" s="1"/>
  <c r="U471" i="16"/>
  <c r="U487" i="16"/>
  <c r="X487" i="16" s="1"/>
  <c r="U503" i="16"/>
  <c r="U519" i="16"/>
  <c r="X519" i="16" s="1"/>
  <c r="U535" i="16"/>
  <c r="U551" i="16"/>
  <c r="U567" i="16"/>
  <c r="U583" i="16"/>
  <c r="U599" i="16"/>
  <c r="U615" i="16"/>
  <c r="X615" i="16" s="1"/>
  <c r="U631" i="16"/>
  <c r="U647" i="16"/>
  <c r="X647" i="16" s="1"/>
  <c r="U663" i="16"/>
  <c r="U679" i="16"/>
  <c r="U695" i="16"/>
  <c r="U711" i="16"/>
  <c r="X711" i="16" s="1"/>
  <c r="U727" i="16"/>
  <c r="U743" i="16"/>
  <c r="U759" i="16"/>
  <c r="U775" i="16"/>
  <c r="X775" i="16" s="1"/>
  <c r="U791" i="16"/>
  <c r="U807" i="16"/>
  <c r="X807" i="16" s="1"/>
  <c r="U823" i="16"/>
  <c r="U839" i="16"/>
  <c r="U855" i="16"/>
  <c r="U871" i="16"/>
  <c r="X871" i="16" s="1"/>
  <c r="U887" i="16"/>
  <c r="U903" i="16"/>
  <c r="X903" i="16" s="1"/>
  <c r="U919" i="16"/>
  <c r="U935" i="16"/>
  <c r="U951" i="16"/>
  <c r="U967" i="16"/>
  <c r="X967" i="16" s="1"/>
  <c r="U983" i="16"/>
  <c r="U999" i="16"/>
  <c r="U1015" i="16"/>
  <c r="U1031" i="16"/>
  <c r="X1031" i="16" s="1"/>
  <c r="U1047" i="16"/>
  <c r="U1063" i="16"/>
  <c r="X1063" i="16" s="1"/>
  <c r="U1079" i="16"/>
  <c r="U1095" i="16"/>
  <c r="U1111" i="16"/>
  <c r="U1127" i="16"/>
  <c r="U1143" i="16"/>
  <c r="U27" i="16"/>
  <c r="X27" i="16" s="1"/>
  <c r="U55" i="16"/>
  <c r="X55" i="16" s="1"/>
  <c r="U83" i="16"/>
  <c r="U112" i="16"/>
  <c r="U140" i="16"/>
  <c r="U162" i="16"/>
  <c r="U184" i="16"/>
  <c r="U205" i="16"/>
  <c r="U226" i="16"/>
  <c r="U248" i="16"/>
  <c r="U264" i="16"/>
  <c r="X264" i="16" s="1"/>
  <c r="U28" i="16"/>
  <c r="U86" i="16"/>
  <c r="U142" i="16"/>
  <c r="U185" i="16"/>
  <c r="U228" i="16"/>
  <c r="U265" i="16"/>
  <c r="U289" i="16"/>
  <c r="X289" i="16" s="1"/>
  <c r="U310" i="16"/>
  <c r="U332" i="16"/>
  <c r="U353" i="16"/>
  <c r="U374" i="16"/>
  <c r="X374" i="16" s="1"/>
  <c r="U396" i="16"/>
  <c r="U417" i="16"/>
  <c r="U438" i="16"/>
  <c r="X438" i="16" s="1"/>
  <c r="U460" i="16"/>
  <c r="U481" i="16"/>
  <c r="U502" i="16"/>
  <c r="U524" i="16"/>
  <c r="X524" i="16" s="1"/>
  <c r="U545" i="16"/>
  <c r="X545" i="16" s="1"/>
  <c r="U566" i="16"/>
  <c r="X566" i="16" s="1"/>
  <c r="U588" i="16"/>
  <c r="U609" i="16"/>
  <c r="U630" i="16"/>
  <c r="U652" i="16"/>
  <c r="U673" i="16"/>
  <c r="U694" i="16"/>
  <c r="X694" i="16" s="1"/>
  <c r="U716" i="16"/>
  <c r="U737" i="16"/>
  <c r="U758" i="16"/>
  <c r="U780" i="16"/>
  <c r="U801" i="16"/>
  <c r="U822" i="16"/>
  <c r="X822" i="16" s="1"/>
  <c r="U844" i="16"/>
  <c r="U865" i="16"/>
  <c r="U886" i="16"/>
  <c r="U908" i="16"/>
  <c r="U929" i="16"/>
  <c r="U950" i="16"/>
  <c r="X950" i="16" s="1"/>
  <c r="U972" i="16"/>
  <c r="U993" i="16"/>
  <c r="U1014" i="16"/>
  <c r="U1036" i="16"/>
  <c r="U1057" i="16"/>
  <c r="U1078" i="16"/>
  <c r="X1078" i="16" s="1"/>
  <c r="U1100" i="16"/>
  <c r="U1121" i="16"/>
  <c r="U1142" i="16"/>
  <c r="U1159" i="16"/>
  <c r="U1175" i="16"/>
  <c r="U1191" i="16"/>
  <c r="U1207" i="16"/>
  <c r="U1223" i="16"/>
  <c r="U1239" i="16"/>
  <c r="U1255" i="16"/>
  <c r="U1271" i="16"/>
  <c r="U2" i="16"/>
  <c r="U59" i="16"/>
  <c r="U115" i="16"/>
  <c r="U165" i="16"/>
  <c r="U208" i="16"/>
  <c r="X208" i="16" s="1"/>
  <c r="U250" i="16"/>
  <c r="X250" i="16" s="1"/>
  <c r="U280" i="16"/>
  <c r="X280" i="16" s="1"/>
  <c r="U301" i="16"/>
  <c r="X301" i="16" s="1"/>
  <c r="U322" i="16"/>
  <c r="U344" i="16"/>
  <c r="U365" i="16"/>
  <c r="X365" i="16" s="1"/>
  <c r="U386" i="16"/>
  <c r="U408" i="16"/>
  <c r="X408" i="16" s="1"/>
  <c r="U429" i="16"/>
  <c r="U450" i="16"/>
  <c r="U472" i="16"/>
  <c r="X472" i="16" s="1"/>
  <c r="U493" i="16"/>
  <c r="U514" i="16"/>
  <c r="U536" i="16"/>
  <c r="X536" i="16" s="1"/>
  <c r="U557" i="16"/>
  <c r="U578" i="16"/>
  <c r="U600" i="16"/>
  <c r="U621" i="16"/>
  <c r="X621" i="16" s="1"/>
  <c r="U642" i="16"/>
  <c r="X642" i="16" s="1"/>
  <c r="U664" i="16"/>
  <c r="U685" i="16"/>
  <c r="U706" i="16"/>
  <c r="U728" i="16"/>
  <c r="U749" i="16"/>
  <c r="U770" i="16"/>
  <c r="U792" i="16"/>
  <c r="X792" i="16" s="1"/>
  <c r="U813" i="16"/>
  <c r="U834" i="16"/>
  <c r="U856" i="16"/>
  <c r="U877" i="16"/>
  <c r="X877" i="16" s="1"/>
  <c r="U898" i="16"/>
  <c r="X898" i="16" s="1"/>
  <c r="U920" i="16"/>
  <c r="U941" i="16"/>
  <c r="U962" i="16"/>
  <c r="U984" i="16"/>
  <c r="U1005" i="16"/>
  <c r="U1026" i="16"/>
  <c r="U1048" i="16"/>
  <c r="X1048" i="16" s="1"/>
  <c r="U1069" i="16"/>
  <c r="U1090" i="16"/>
  <c r="U1112" i="16"/>
  <c r="X1112" i="16" s="1"/>
  <c r="U674" i="16"/>
  <c r="U760" i="16"/>
  <c r="U845" i="16"/>
  <c r="U930" i="16"/>
  <c r="U1016" i="16"/>
  <c r="X1016" i="16" s="1"/>
  <c r="U1101" i="16"/>
  <c r="U1152" i="16"/>
  <c r="U1184" i="16"/>
  <c r="U1216" i="16"/>
  <c r="U1248" i="16"/>
  <c r="X1248" i="16" s="1"/>
  <c r="U1280" i="16"/>
  <c r="U107" i="16"/>
  <c r="U201" i="16"/>
  <c r="U276" i="16"/>
  <c r="X276" i="16" s="1"/>
  <c r="U318" i="16"/>
  <c r="U361" i="16"/>
  <c r="U404" i="16"/>
  <c r="X404" i="16" s="1"/>
  <c r="U446" i="16"/>
  <c r="U489" i="16"/>
  <c r="U532" i="16"/>
  <c r="U574" i="16"/>
  <c r="X574" i="16" s="1"/>
  <c r="U660" i="16"/>
  <c r="X660" i="16" s="1"/>
  <c r="U149" i="16"/>
  <c r="U378" i="16"/>
  <c r="X378" i="16" s="1"/>
  <c r="U549" i="16"/>
  <c r="X549" i="16" s="1"/>
  <c r="U789" i="16"/>
  <c r="X789" i="16" s="1"/>
  <c r="U960" i="16"/>
  <c r="U1198" i="16"/>
  <c r="U618" i="16"/>
  <c r="X618" i="16" s="1"/>
  <c r="U910" i="16"/>
  <c r="U1225" i="16"/>
  <c r="U773" i="16"/>
  <c r="U394" i="16"/>
  <c r="X394" i="16" s="1"/>
  <c r="U1205" i="16"/>
  <c r="X1205" i="16" s="1"/>
  <c r="U666" i="16"/>
  <c r="U933" i="16"/>
  <c r="U1178" i="16"/>
  <c r="X1178" i="16" s="1"/>
  <c r="U330" i="16"/>
  <c r="X330" i="16" s="1"/>
  <c r="U544" i="16"/>
  <c r="U724" i="16"/>
  <c r="X724" i="16" s="1"/>
  <c r="U745" i="16"/>
  <c r="X745" i="16" s="1"/>
  <c r="U696" i="16"/>
  <c r="U781" i="16"/>
  <c r="U866" i="16"/>
  <c r="U952" i="16"/>
  <c r="X952" i="16" s="1"/>
  <c r="U1037" i="16"/>
  <c r="U1122" i="16"/>
  <c r="U1160" i="16"/>
  <c r="U1192" i="16"/>
  <c r="X1192" i="16" s="1"/>
  <c r="U1224" i="16"/>
  <c r="U1256" i="16"/>
  <c r="U22" i="16"/>
  <c r="U135" i="16"/>
  <c r="X135" i="16" s="1"/>
  <c r="U222" i="16"/>
  <c r="U286" i="16"/>
  <c r="U329" i="16"/>
  <c r="U372" i="16"/>
  <c r="X372" i="16" s="1"/>
  <c r="U414" i="16"/>
  <c r="U457" i="16"/>
  <c r="U500" i="16"/>
  <c r="U542" i="16"/>
  <c r="X542" i="16" s="1"/>
  <c r="U585" i="16"/>
  <c r="U628" i="16"/>
  <c r="X628" i="16" s="1"/>
  <c r="U670" i="16"/>
  <c r="U234" i="16"/>
  <c r="X234" i="16" s="1"/>
  <c r="U421" i="16"/>
  <c r="X421" i="16" s="1"/>
  <c r="U592" i="16"/>
  <c r="U725" i="16"/>
  <c r="U810" i="16"/>
  <c r="X810" i="16" s="1"/>
  <c r="U896" i="16"/>
  <c r="X896" i="16" s="1"/>
  <c r="U981" i="16"/>
  <c r="U1066" i="16"/>
  <c r="U1150" i="16"/>
  <c r="U1214" i="16"/>
  <c r="U1278" i="16"/>
  <c r="U320" i="16"/>
  <c r="X320" i="16" s="1"/>
  <c r="U490" i="16"/>
  <c r="U661" i="16"/>
  <c r="X661" i="16" s="1"/>
  <c r="U761" i="16"/>
  <c r="U846" i="16"/>
  <c r="U932" i="16"/>
  <c r="X932" i="16" s="1"/>
  <c r="U1017" i="16"/>
  <c r="U1102" i="16"/>
  <c r="U1177" i="16"/>
  <c r="X1177" i="16" s="1"/>
  <c r="U1241" i="16"/>
  <c r="X1241" i="16" s="1"/>
  <c r="U254" i="16"/>
  <c r="U602" i="16"/>
  <c r="U816" i="16"/>
  <c r="U986" i="16"/>
  <c r="X986" i="16" s="1"/>
  <c r="U1154" i="16"/>
  <c r="X1154" i="16" s="1"/>
  <c r="U1282" i="16"/>
  <c r="U480" i="16"/>
  <c r="U756" i="16"/>
  <c r="X756" i="16" s="1"/>
  <c r="U926" i="16"/>
  <c r="U1097" i="16"/>
  <c r="U1221" i="16"/>
  <c r="U123" i="16"/>
  <c r="X123" i="16" s="1"/>
  <c r="U368" i="16"/>
  <c r="X368" i="16" s="1"/>
  <c r="U538" i="16"/>
  <c r="U698" i="16"/>
  <c r="U784" i="16"/>
  <c r="U869" i="16"/>
  <c r="X869" i="16" s="1"/>
  <c r="U954" i="16"/>
  <c r="U1040" i="16"/>
  <c r="U1125" i="16"/>
  <c r="U1194" i="16"/>
  <c r="U1258" i="16"/>
  <c r="U501" i="16"/>
  <c r="U937" i="16"/>
  <c r="X937" i="16" s="1"/>
  <c r="U1245" i="16"/>
  <c r="U702" i="16"/>
  <c r="U1044" i="16"/>
  <c r="X1044" i="16" s="1"/>
  <c r="U224" i="16"/>
  <c r="X224" i="16" s="1"/>
  <c r="U809" i="16"/>
  <c r="U1149" i="16"/>
  <c r="U1086" i="16"/>
  <c r="U458" i="16"/>
  <c r="U1001" i="16"/>
  <c r="U638" i="16"/>
  <c r="U746" i="16"/>
  <c r="U917" i="16"/>
  <c r="U1088" i="16"/>
  <c r="X1088" i="16" s="1"/>
  <c r="U1166" i="16"/>
  <c r="U1230" i="16"/>
  <c r="U362" i="16"/>
  <c r="U533" i="16"/>
  <c r="X533" i="16" s="1"/>
  <c r="U782" i="16"/>
  <c r="U868" i="16"/>
  <c r="X868" i="16" s="1"/>
  <c r="U1038" i="16"/>
  <c r="U1124" i="16"/>
  <c r="X1124" i="16" s="1"/>
  <c r="U1257" i="16"/>
  <c r="U346" i="16"/>
  <c r="X346" i="16" s="1"/>
  <c r="U858" i="16"/>
  <c r="X858" i="16" s="1"/>
  <c r="U1029" i="16"/>
  <c r="X1029" i="16" s="1"/>
  <c r="U1186" i="16"/>
  <c r="U565" i="16"/>
  <c r="U798" i="16"/>
  <c r="U969" i="16"/>
  <c r="U1237" i="16"/>
  <c r="U213" i="16"/>
  <c r="U410" i="16"/>
  <c r="X410" i="16" s="1"/>
  <c r="U720" i="16"/>
  <c r="X720" i="16" s="1"/>
  <c r="U805" i="16"/>
  <c r="U890" i="16"/>
  <c r="U1061" i="16"/>
  <c r="U1146" i="16"/>
  <c r="U1210" i="16"/>
  <c r="U672" i="16"/>
  <c r="U1022" i="16"/>
  <c r="U788" i="16"/>
  <c r="X788" i="16" s="1"/>
  <c r="U1129" i="16"/>
  <c r="U894" i="16"/>
  <c r="U1213" i="16"/>
  <c r="X1213" i="16" s="1"/>
  <c r="U916" i="16"/>
  <c r="X916" i="16" s="1"/>
  <c r="U717" i="16"/>
  <c r="U802" i="16"/>
  <c r="U888" i="16"/>
  <c r="X888" i="16" s="1"/>
  <c r="U973" i="16"/>
  <c r="U1058" i="16"/>
  <c r="U1133" i="16"/>
  <c r="U1168" i="16"/>
  <c r="U1200" i="16"/>
  <c r="X1200" i="16" s="1"/>
  <c r="U1232" i="16"/>
  <c r="U1264" i="16"/>
  <c r="U50" i="16"/>
  <c r="U158" i="16"/>
  <c r="U244" i="16"/>
  <c r="U297" i="16"/>
  <c r="U340" i="16"/>
  <c r="X340" i="16" s="1"/>
  <c r="U382" i="16"/>
  <c r="U425" i="16"/>
  <c r="U468" i="16"/>
  <c r="U510" i="16"/>
  <c r="X510" i="16" s="1"/>
  <c r="U553" i="16"/>
  <c r="X553" i="16" s="1"/>
  <c r="U596" i="16"/>
  <c r="X596" i="16" s="1"/>
  <c r="U681" i="16"/>
  <c r="X681" i="16" s="1"/>
  <c r="U293" i="16"/>
  <c r="X293" i="16" s="1"/>
  <c r="U464" i="16"/>
  <c r="U634" i="16"/>
  <c r="U832" i="16"/>
  <c r="U1002" i="16"/>
  <c r="X1002" i="16" s="1"/>
  <c r="U108" i="16"/>
  <c r="U697" i="16"/>
  <c r="U953" i="16"/>
  <c r="X953" i="16" s="1"/>
  <c r="U1193" i="16"/>
  <c r="X1193" i="16" s="1"/>
  <c r="U688" i="16"/>
  <c r="X688" i="16" s="1"/>
  <c r="U181" i="16"/>
  <c r="U1140" i="16"/>
  <c r="U581" i="16"/>
  <c r="U976" i="16"/>
  <c r="X976" i="16" s="1"/>
  <c r="U1274" i="16"/>
  <c r="U136" i="16"/>
  <c r="U416" i="16"/>
  <c r="U288" i="16"/>
  <c r="U738" i="16"/>
  <c r="U824" i="16"/>
  <c r="U909" i="16"/>
  <c r="X909" i="16" s="1"/>
  <c r="U994" i="16"/>
  <c r="X994" i="16" s="1"/>
  <c r="U1080" i="16"/>
  <c r="U1144" i="16"/>
  <c r="X1144" i="16" s="1"/>
  <c r="U1176" i="16"/>
  <c r="X1176" i="16" s="1"/>
  <c r="U1208" i="16"/>
  <c r="X1208" i="16" s="1"/>
  <c r="U1240" i="16"/>
  <c r="U1272" i="16"/>
  <c r="U78" i="16"/>
  <c r="X78" i="16" s="1"/>
  <c r="U180" i="16"/>
  <c r="X180" i="16" s="1"/>
  <c r="U261" i="16"/>
  <c r="U308" i="16"/>
  <c r="U350" i="16"/>
  <c r="X350" i="16" s="1"/>
  <c r="U393" i="16"/>
  <c r="X393" i="16" s="1"/>
  <c r="U436" i="16"/>
  <c r="U478" i="16"/>
  <c r="U521" i="16"/>
  <c r="X521" i="16" s="1"/>
  <c r="U564" i="16"/>
  <c r="X564" i="16" s="1"/>
  <c r="U606" i="16"/>
  <c r="U649" i="16"/>
  <c r="X649" i="16" s="1"/>
  <c r="U38" i="16"/>
  <c r="U336" i="16"/>
  <c r="X336" i="16" s="1"/>
  <c r="U506" i="16"/>
  <c r="U677" i="16"/>
  <c r="U768" i="16"/>
  <c r="U853" i="16"/>
  <c r="X853" i="16" s="1"/>
  <c r="U938" i="16"/>
  <c r="U1024" i="16"/>
  <c r="U1109" i="16"/>
  <c r="U1182" i="16"/>
  <c r="U1246" i="16"/>
  <c r="U202" i="16"/>
  <c r="X202" i="16" s="1"/>
  <c r="U405" i="16"/>
  <c r="X405" i="16" s="1"/>
  <c r="U576" i="16"/>
  <c r="X576" i="16" s="1"/>
  <c r="U718" i="16"/>
  <c r="U804" i="16"/>
  <c r="X804" i="16" s="1"/>
  <c r="U889" i="16"/>
  <c r="X889" i="16" s="1"/>
  <c r="U974" i="16"/>
  <c r="U1060" i="16"/>
  <c r="X1060" i="16" s="1"/>
  <c r="U1145" i="16"/>
  <c r="X1145" i="16" s="1"/>
  <c r="U1209" i="16"/>
  <c r="X1209" i="16" s="1"/>
  <c r="U1273" i="16"/>
  <c r="U432" i="16"/>
  <c r="U730" i="16"/>
  <c r="U901" i="16"/>
  <c r="U1072" i="16"/>
  <c r="X1072" i="16" s="1"/>
  <c r="U1218" i="16"/>
  <c r="U309" i="16"/>
  <c r="U650" i="16"/>
  <c r="X650" i="16" s="1"/>
  <c r="U841" i="16"/>
  <c r="U1012" i="16"/>
  <c r="X1012" i="16" s="1"/>
  <c r="U1173" i="16"/>
  <c r="U1269" i="16"/>
  <c r="U282" i="16"/>
  <c r="X282" i="16" s="1"/>
  <c r="U453" i="16"/>
  <c r="X453" i="16" s="1"/>
  <c r="U624" i="16"/>
  <c r="U741" i="16"/>
  <c r="U826" i="16"/>
  <c r="U912" i="16"/>
  <c r="U997" i="16"/>
  <c r="U1082" i="16"/>
  <c r="X1082" i="16" s="1"/>
  <c r="U1162" i="16"/>
  <c r="U1226" i="16"/>
  <c r="U23" i="16"/>
  <c r="X23" i="16" s="1"/>
  <c r="U766" i="16"/>
  <c r="U1108" i="16"/>
  <c r="U373" i="16"/>
  <c r="U873" i="16"/>
  <c r="X873" i="16" s="1"/>
  <c r="U1197" i="16"/>
  <c r="X1197" i="16" s="1"/>
  <c r="U586" i="16"/>
  <c r="U980" i="16"/>
  <c r="X980" i="16" s="1"/>
  <c r="U1277" i="16"/>
  <c r="U830" i="16"/>
  <c r="U1229" i="16"/>
  <c r="U617" i="16"/>
  <c r="U704" i="16"/>
  <c r="U874" i="16"/>
  <c r="X874" i="16" s="1"/>
  <c r="U1045" i="16"/>
  <c r="X1045" i="16" s="1"/>
  <c r="U1130" i="16"/>
  <c r="U1262" i="16"/>
  <c r="U277" i="16"/>
  <c r="X277" i="16" s="1"/>
  <c r="U448" i="16"/>
  <c r="U740" i="16"/>
  <c r="X740" i="16" s="1"/>
  <c r="U825" i="16"/>
  <c r="X825" i="16" s="1"/>
  <c r="U996" i="16"/>
  <c r="X996" i="16" s="1"/>
  <c r="U1081" i="16"/>
  <c r="U1161" i="16"/>
  <c r="U66" i="16"/>
  <c r="U517" i="16"/>
  <c r="X517" i="16" s="1"/>
  <c r="U944" i="16"/>
  <c r="X944" i="16" s="1"/>
  <c r="U1114" i="16"/>
  <c r="U1250" i="16"/>
  <c r="U713" i="16"/>
  <c r="X713" i="16" s="1"/>
  <c r="U884" i="16"/>
  <c r="X884" i="16" s="1"/>
  <c r="U1054" i="16"/>
  <c r="U8" i="16"/>
  <c r="U325" i="16"/>
  <c r="U496" i="16"/>
  <c r="U762" i="16"/>
  <c r="U848" i="16"/>
  <c r="U1018" i="16"/>
  <c r="X1018" i="16" s="1"/>
  <c r="U1104" i="16"/>
  <c r="X1104" i="16" s="1"/>
  <c r="U1242" i="16"/>
  <c r="U852" i="16"/>
  <c r="X852" i="16" s="1"/>
  <c r="U1181" i="16"/>
  <c r="X1181" i="16" s="1"/>
  <c r="U958" i="16"/>
  <c r="U1261" i="16"/>
  <c r="U1065" i="16"/>
  <c r="X1065" i="16" s="1"/>
  <c r="U1165" i="16"/>
  <c r="X1165" i="16" s="1"/>
  <c r="U629" i="16"/>
  <c r="X629" i="16" s="1"/>
  <c r="K2" i="16"/>
  <c r="K6" i="16"/>
  <c r="K10" i="16"/>
  <c r="K14" i="16"/>
  <c r="K18" i="16"/>
  <c r="K22" i="16"/>
  <c r="K26" i="16"/>
  <c r="K30" i="16"/>
  <c r="K34" i="16"/>
  <c r="K38" i="16"/>
  <c r="K42" i="16"/>
  <c r="K46" i="16"/>
  <c r="K50" i="16"/>
  <c r="K54" i="16"/>
  <c r="K58" i="16"/>
  <c r="K62" i="16"/>
  <c r="K66" i="16"/>
  <c r="K70" i="16"/>
  <c r="K74" i="16"/>
  <c r="K78" i="16"/>
  <c r="K82" i="16"/>
  <c r="K86" i="16"/>
  <c r="K90" i="16"/>
  <c r="K94" i="16"/>
  <c r="K98" i="16"/>
  <c r="K102" i="16"/>
  <c r="K106" i="16"/>
  <c r="K110" i="16"/>
  <c r="K114" i="16"/>
  <c r="K118" i="16"/>
  <c r="K122" i="16"/>
  <c r="K126" i="16"/>
  <c r="K130" i="16"/>
  <c r="K134" i="16"/>
  <c r="K138" i="16"/>
  <c r="K142" i="16"/>
  <c r="K146" i="16"/>
  <c r="K150" i="16"/>
  <c r="K154" i="16"/>
  <c r="K158" i="16"/>
  <c r="K162" i="16"/>
  <c r="K166" i="16"/>
  <c r="K170" i="16"/>
  <c r="K174" i="16"/>
  <c r="K178" i="16"/>
  <c r="K182" i="16"/>
  <c r="K186" i="16"/>
  <c r="K190" i="16"/>
  <c r="K194" i="16"/>
  <c r="K198" i="16"/>
  <c r="K202" i="16"/>
  <c r="K206" i="16"/>
  <c r="K210" i="16"/>
  <c r="K214" i="16"/>
  <c r="K218" i="16"/>
  <c r="K222" i="16"/>
  <c r="K226" i="16"/>
  <c r="K230" i="16"/>
  <c r="K234" i="16"/>
  <c r="K238" i="16"/>
  <c r="K242" i="16"/>
  <c r="K246" i="16"/>
  <c r="K250" i="16"/>
  <c r="K254" i="16"/>
  <c r="K258" i="16"/>
  <c r="K262" i="16"/>
  <c r="K266" i="16"/>
  <c r="K270" i="16"/>
  <c r="K274" i="16"/>
  <c r="K278" i="16"/>
  <c r="K3" i="16"/>
  <c r="K7" i="16"/>
  <c r="K11" i="16"/>
  <c r="K15" i="16"/>
  <c r="K19" i="16"/>
  <c r="K23" i="16"/>
  <c r="K27" i="16"/>
  <c r="K31" i="16"/>
  <c r="K35" i="16"/>
  <c r="K39" i="16"/>
  <c r="K43" i="16"/>
  <c r="K47" i="16"/>
  <c r="K51" i="16"/>
  <c r="K55" i="16"/>
  <c r="K59" i="16"/>
  <c r="K63" i="16"/>
  <c r="K67" i="16"/>
  <c r="K71" i="16"/>
  <c r="K75" i="16"/>
  <c r="K79" i="16"/>
  <c r="K83" i="16"/>
  <c r="K87" i="16"/>
  <c r="K91" i="16"/>
  <c r="K95" i="16"/>
  <c r="K99" i="16"/>
  <c r="K103" i="16"/>
  <c r="K107" i="16"/>
  <c r="K111" i="16"/>
  <c r="K115" i="16"/>
  <c r="K119" i="16"/>
  <c r="K123" i="16"/>
  <c r="K127" i="16"/>
  <c r="K131" i="16"/>
  <c r="K135" i="16"/>
  <c r="K139" i="16"/>
  <c r="K143" i="16"/>
  <c r="K147" i="16"/>
  <c r="K151" i="16"/>
  <c r="K155" i="16"/>
  <c r="K159" i="16"/>
  <c r="K163" i="16"/>
  <c r="K167" i="16"/>
  <c r="K171" i="16"/>
  <c r="K175" i="16"/>
  <c r="K179" i="16"/>
  <c r="K183" i="16"/>
  <c r="K187" i="16"/>
  <c r="K191" i="16"/>
  <c r="K195" i="16"/>
  <c r="K199" i="16"/>
  <c r="K203" i="16"/>
  <c r="K207" i="16"/>
  <c r="K211" i="16"/>
  <c r="K215" i="16"/>
  <c r="K219" i="16"/>
  <c r="K223" i="16"/>
  <c r="K227" i="16"/>
  <c r="K231" i="16"/>
  <c r="K235" i="16"/>
  <c r="K239" i="16"/>
  <c r="K243" i="16"/>
  <c r="K247" i="16"/>
  <c r="K251" i="16"/>
  <c r="K255" i="16"/>
  <c r="K259" i="16"/>
  <c r="K263" i="16"/>
  <c r="K267" i="16"/>
  <c r="K271" i="16"/>
  <c r="K275" i="16"/>
  <c r="K279" i="16"/>
  <c r="K283" i="16"/>
  <c r="K287" i="16"/>
  <c r="K291" i="16"/>
  <c r="K295" i="16"/>
  <c r="K299" i="16"/>
  <c r="K303" i="16"/>
  <c r="K307" i="16"/>
  <c r="K311" i="16"/>
  <c r="K315" i="16"/>
  <c r="K319" i="16"/>
  <c r="K323" i="16"/>
  <c r="K327" i="16"/>
  <c r="K331" i="16"/>
  <c r="K335" i="16"/>
  <c r="K339" i="16"/>
  <c r="K4" i="16"/>
  <c r="K8" i="16"/>
  <c r="K12" i="16"/>
  <c r="K16" i="16"/>
  <c r="K20" i="16"/>
  <c r="K24" i="16"/>
  <c r="K28" i="16"/>
  <c r="K32" i="16"/>
  <c r="K36" i="16"/>
  <c r="K40" i="16"/>
  <c r="K44" i="16"/>
  <c r="K48" i="16"/>
  <c r="K52" i="16"/>
  <c r="K56" i="16"/>
  <c r="K60" i="16"/>
  <c r="K64" i="16"/>
  <c r="K68" i="16"/>
  <c r="K72" i="16"/>
  <c r="K76" i="16"/>
  <c r="K80" i="16"/>
  <c r="K84" i="16"/>
  <c r="K88" i="16"/>
  <c r="K92" i="16"/>
  <c r="K96" i="16"/>
  <c r="K100" i="16"/>
  <c r="K104" i="16"/>
  <c r="K108" i="16"/>
  <c r="K112" i="16"/>
  <c r="K116" i="16"/>
  <c r="K120" i="16"/>
  <c r="K124" i="16"/>
  <c r="K128" i="16"/>
  <c r="K132" i="16"/>
  <c r="K136" i="16"/>
  <c r="K140" i="16"/>
  <c r="K144" i="16"/>
  <c r="K148" i="16"/>
  <c r="K152" i="16"/>
  <c r="K156" i="16"/>
  <c r="K160" i="16"/>
  <c r="K164" i="16"/>
  <c r="K168" i="16"/>
  <c r="K172" i="16"/>
  <c r="K176" i="16"/>
  <c r="K180" i="16"/>
  <c r="K184" i="16"/>
  <c r="K188" i="16"/>
  <c r="K192" i="16"/>
  <c r="K196" i="16"/>
  <c r="K200" i="16"/>
  <c r="K204" i="16"/>
  <c r="K208" i="16"/>
  <c r="K212" i="16"/>
  <c r="K216" i="16"/>
  <c r="K220" i="16"/>
  <c r="K224" i="16"/>
  <c r="K228" i="16"/>
  <c r="K232" i="16"/>
  <c r="K236" i="16"/>
  <c r="K240" i="16"/>
  <c r="K244" i="16"/>
  <c r="K248" i="16"/>
  <c r="K252" i="16"/>
  <c r="K256" i="16"/>
  <c r="K260" i="16"/>
  <c r="K264" i="16"/>
  <c r="K268" i="16"/>
  <c r="K272" i="16"/>
  <c r="K276" i="16"/>
  <c r="K280" i="16"/>
  <c r="K284" i="16"/>
  <c r="K288" i="16"/>
  <c r="K292" i="16"/>
  <c r="K296" i="16"/>
  <c r="K300" i="16"/>
  <c r="K5" i="16"/>
  <c r="K21" i="16"/>
  <c r="K37" i="16"/>
  <c r="K53" i="16"/>
  <c r="K69" i="16"/>
  <c r="K85" i="16"/>
  <c r="K101" i="16"/>
  <c r="K117" i="16"/>
  <c r="K133" i="16"/>
  <c r="K149" i="16"/>
  <c r="K165" i="16"/>
  <c r="K181" i="16"/>
  <c r="K197" i="16"/>
  <c r="K213" i="16"/>
  <c r="K229" i="16"/>
  <c r="K245" i="16"/>
  <c r="K261" i="16"/>
  <c r="K277" i="16"/>
  <c r="K286" i="16"/>
  <c r="K294" i="16"/>
  <c r="K302" i="16"/>
  <c r="K308" i="16"/>
  <c r="K313" i="16"/>
  <c r="K318" i="16"/>
  <c r="K324" i="16"/>
  <c r="K329" i="16"/>
  <c r="K334" i="16"/>
  <c r="K340" i="16"/>
  <c r="K344" i="16"/>
  <c r="K9" i="16"/>
  <c r="K25" i="16"/>
  <c r="K41" i="16"/>
  <c r="K57" i="16"/>
  <c r="K73" i="16"/>
  <c r="K89" i="16"/>
  <c r="K105" i="16"/>
  <c r="K121" i="16"/>
  <c r="K137" i="16"/>
  <c r="K153" i="16"/>
  <c r="K169" i="16"/>
  <c r="K185" i="16"/>
  <c r="K201" i="16"/>
  <c r="K217" i="16"/>
  <c r="K233" i="16"/>
  <c r="K249" i="16"/>
  <c r="K265" i="16"/>
  <c r="K281" i="16"/>
  <c r="K289" i="16"/>
  <c r="K297" i="16"/>
  <c r="K304" i="16"/>
  <c r="K309" i="16"/>
  <c r="K314" i="16"/>
  <c r="K320" i="16"/>
  <c r="K325" i="16"/>
  <c r="K330" i="16"/>
  <c r="K336" i="16"/>
  <c r="K341" i="16"/>
  <c r="K345" i="16"/>
  <c r="K349" i="16"/>
  <c r="K353" i="16"/>
  <c r="K357" i="16"/>
  <c r="K361" i="16"/>
  <c r="K365" i="16"/>
  <c r="K369" i="16"/>
  <c r="K373" i="16"/>
  <c r="K377" i="16"/>
  <c r="K381" i="16"/>
  <c r="K385" i="16"/>
  <c r="K389" i="16"/>
  <c r="K393" i="16"/>
  <c r="K397" i="16"/>
  <c r="K401" i="16"/>
  <c r="K405" i="16"/>
  <c r="K409" i="16"/>
  <c r="K413" i="16"/>
  <c r="K417" i="16"/>
  <c r="K421" i="16"/>
  <c r="K425" i="16"/>
  <c r="K429" i="16"/>
  <c r="K433" i="16"/>
  <c r="K437" i="16"/>
  <c r="K441" i="16"/>
  <c r="K445" i="16"/>
  <c r="K449" i="16"/>
  <c r="K453" i="16"/>
  <c r="K457" i="16"/>
  <c r="K461" i="16"/>
  <c r="K465" i="16"/>
  <c r="K469" i="16"/>
  <c r="K473" i="16"/>
  <c r="K477" i="16"/>
  <c r="K481" i="16"/>
  <c r="K485" i="16"/>
  <c r="K489" i="16"/>
  <c r="K493" i="16"/>
  <c r="K497" i="16"/>
  <c r="K501" i="16"/>
  <c r="K505" i="16"/>
  <c r="K509" i="16"/>
  <c r="K513" i="16"/>
  <c r="K517" i="16"/>
  <c r="K521" i="16"/>
  <c r="K525" i="16"/>
  <c r="K529" i="16"/>
  <c r="K533" i="16"/>
  <c r="K537" i="16"/>
  <c r="K541" i="16"/>
  <c r="K545" i="16"/>
  <c r="K549" i="16"/>
  <c r="K553" i="16"/>
  <c r="K557" i="16"/>
  <c r="K561" i="16"/>
  <c r="K565" i="16"/>
  <c r="K569" i="16"/>
  <c r="K573" i="16"/>
  <c r="K13" i="16"/>
  <c r="K29" i="16"/>
  <c r="K45" i="16"/>
  <c r="K61" i="16"/>
  <c r="K77" i="16"/>
  <c r="K93" i="16"/>
  <c r="K109" i="16"/>
  <c r="K125" i="16"/>
  <c r="K141" i="16"/>
  <c r="K157" i="16"/>
  <c r="K173" i="16"/>
  <c r="K189" i="16"/>
  <c r="K205" i="16"/>
  <c r="K221" i="16"/>
  <c r="K237" i="16"/>
  <c r="K253" i="16"/>
  <c r="K269" i="16"/>
  <c r="K282" i="16"/>
  <c r="K290" i="16"/>
  <c r="K298" i="16"/>
  <c r="K305" i="16"/>
  <c r="K310" i="16"/>
  <c r="K316" i="16"/>
  <c r="K321" i="16"/>
  <c r="K326" i="16"/>
  <c r="K332" i="16"/>
  <c r="K337" i="16"/>
  <c r="K342" i="16"/>
  <c r="K346" i="16"/>
  <c r="K17" i="16"/>
  <c r="K33" i="16"/>
  <c r="K49" i="16"/>
  <c r="K65" i="16"/>
  <c r="K81" i="16"/>
  <c r="K97" i="16"/>
  <c r="K113" i="16"/>
  <c r="K129" i="16"/>
  <c r="K145" i="16"/>
  <c r="K161" i="16"/>
  <c r="K177" i="16"/>
  <c r="K193" i="16"/>
  <c r="K209" i="16"/>
  <c r="K225" i="16"/>
  <c r="K241" i="16"/>
  <c r="K257" i="16"/>
  <c r="K273" i="16"/>
  <c r="K285" i="16"/>
  <c r="K293" i="16"/>
  <c r="K301" i="16"/>
  <c r="K306" i="16"/>
  <c r="K312" i="16"/>
  <c r="K317" i="16"/>
  <c r="K322" i="16"/>
  <c r="K328" i="16"/>
  <c r="K333" i="16"/>
  <c r="K338" i="16"/>
  <c r="K343" i="16"/>
  <c r="K347" i="16"/>
  <c r="K351" i="16"/>
  <c r="K355" i="16"/>
  <c r="K359" i="16"/>
  <c r="K363" i="16"/>
  <c r="K367" i="16"/>
  <c r="K371" i="16"/>
  <c r="K375" i="16"/>
  <c r="K379" i="16"/>
  <c r="K383" i="16"/>
  <c r="K387" i="16"/>
  <c r="K391" i="16"/>
  <c r="K395" i="16"/>
  <c r="K399" i="16"/>
  <c r="K403" i="16"/>
  <c r="K407" i="16"/>
  <c r="K411" i="16"/>
  <c r="K415" i="16"/>
  <c r="K419" i="16"/>
  <c r="K423" i="16"/>
  <c r="K427" i="16"/>
  <c r="K431" i="16"/>
  <c r="K435" i="16"/>
  <c r="K439" i="16"/>
  <c r="K443" i="16"/>
  <c r="K447" i="16"/>
  <c r="K451" i="16"/>
  <c r="K455" i="16"/>
  <c r="K459" i="16"/>
  <c r="K463" i="16"/>
  <c r="K467" i="16"/>
  <c r="K471" i="16"/>
  <c r="K475" i="16"/>
  <c r="K479" i="16"/>
  <c r="K483" i="16"/>
  <c r="K487" i="16"/>
  <c r="K491" i="16"/>
  <c r="K495" i="16"/>
  <c r="K499" i="16"/>
  <c r="K503" i="16"/>
  <c r="K507" i="16"/>
  <c r="K511" i="16"/>
  <c r="K515" i="16"/>
  <c r="K519" i="16"/>
  <c r="K523" i="16"/>
  <c r="K527" i="16"/>
  <c r="K531" i="16"/>
  <c r="K535" i="16"/>
  <c r="K539" i="16"/>
  <c r="K543" i="16"/>
  <c r="K547" i="16"/>
  <c r="K551" i="16"/>
  <c r="K555" i="16"/>
  <c r="K559" i="16"/>
  <c r="K563" i="16"/>
  <c r="K567" i="16"/>
  <c r="K571" i="16"/>
  <c r="K348" i="16"/>
  <c r="K356" i="16"/>
  <c r="K364" i="16"/>
  <c r="K372" i="16"/>
  <c r="K380" i="16"/>
  <c r="K388" i="16"/>
  <c r="K396" i="16"/>
  <c r="K404" i="16"/>
  <c r="K412" i="16"/>
  <c r="K420" i="16"/>
  <c r="K428" i="16"/>
  <c r="K436" i="16"/>
  <c r="K444" i="16"/>
  <c r="K452" i="16"/>
  <c r="K460" i="16"/>
  <c r="K468" i="16"/>
  <c r="K476" i="16"/>
  <c r="K484" i="16"/>
  <c r="K492" i="16"/>
  <c r="K500" i="16"/>
  <c r="K508" i="16"/>
  <c r="K516" i="16"/>
  <c r="K524" i="16"/>
  <c r="K532" i="16"/>
  <c r="K540" i="16"/>
  <c r="K548" i="16"/>
  <c r="K556" i="16"/>
  <c r="K564" i="16"/>
  <c r="K572" i="16"/>
  <c r="K577" i="16"/>
  <c r="K581" i="16"/>
  <c r="K585" i="16"/>
  <c r="K589" i="16"/>
  <c r="K593" i="16"/>
  <c r="K597" i="16"/>
  <c r="K601" i="16"/>
  <c r="K605" i="16"/>
  <c r="K609" i="16"/>
  <c r="K613" i="16"/>
  <c r="K617" i="16"/>
  <c r="K621" i="16"/>
  <c r="K625" i="16"/>
  <c r="K629" i="16"/>
  <c r="K633" i="16"/>
  <c r="K637" i="16"/>
  <c r="K641" i="16"/>
  <c r="K645" i="16"/>
  <c r="K649" i="16"/>
  <c r="K653" i="16"/>
  <c r="K657" i="16"/>
  <c r="K661" i="16"/>
  <c r="K665" i="16"/>
  <c r="K669" i="16"/>
  <c r="K673" i="16"/>
  <c r="K677" i="16"/>
  <c r="K681" i="16"/>
  <c r="K685" i="16"/>
  <c r="K689" i="16"/>
  <c r="K693" i="16"/>
  <c r="K697" i="16"/>
  <c r="K701" i="16"/>
  <c r="K705" i="16"/>
  <c r="K709" i="16"/>
  <c r="K713" i="16"/>
  <c r="K717" i="16"/>
  <c r="K721" i="16"/>
  <c r="K725" i="16"/>
  <c r="K729" i="16"/>
  <c r="K733" i="16"/>
  <c r="K737" i="16"/>
  <c r="K741" i="16"/>
  <c r="K745" i="16"/>
  <c r="K749" i="16"/>
  <c r="K753" i="16"/>
  <c r="K757" i="16"/>
  <c r="K761" i="16"/>
  <c r="K765" i="16"/>
  <c r="K769" i="16"/>
  <c r="K773" i="16"/>
  <c r="K777" i="16"/>
  <c r="K781" i="16"/>
  <c r="K785" i="16"/>
  <c r="K789" i="16"/>
  <c r="K793" i="16"/>
  <c r="K797" i="16"/>
  <c r="K350" i="16"/>
  <c r="K358" i="16"/>
  <c r="K366" i="16"/>
  <c r="K374" i="16"/>
  <c r="K382" i="16"/>
  <c r="K390" i="16"/>
  <c r="K398" i="16"/>
  <c r="K406" i="16"/>
  <c r="K414" i="16"/>
  <c r="K422" i="16"/>
  <c r="K430" i="16"/>
  <c r="K438" i="16"/>
  <c r="K446" i="16"/>
  <c r="K454" i="16"/>
  <c r="K462" i="16"/>
  <c r="K470" i="16"/>
  <c r="K478" i="16"/>
  <c r="K486" i="16"/>
  <c r="K494" i="16"/>
  <c r="K502" i="16"/>
  <c r="K510" i="16"/>
  <c r="K518" i="16"/>
  <c r="K526" i="16"/>
  <c r="K534" i="16"/>
  <c r="K542" i="16"/>
  <c r="K550" i="16"/>
  <c r="K558" i="16"/>
  <c r="K566" i="16"/>
  <c r="K574" i="16"/>
  <c r="K578" i="16"/>
  <c r="K582" i="16"/>
  <c r="K586" i="16"/>
  <c r="K590" i="16"/>
  <c r="K594" i="16"/>
  <c r="K598" i="16"/>
  <c r="K602" i="16"/>
  <c r="K606" i="16"/>
  <c r="K610" i="16"/>
  <c r="K614" i="16"/>
  <c r="K618" i="16"/>
  <c r="K622" i="16"/>
  <c r="K626" i="16"/>
  <c r="K630" i="16"/>
  <c r="K634" i="16"/>
  <c r="K638" i="16"/>
  <c r="K642" i="16"/>
  <c r="K646" i="16"/>
  <c r="K650" i="16"/>
  <c r="K654" i="16"/>
  <c r="K658" i="16"/>
  <c r="K662" i="16"/>
  <c r="K666" i="16"/>
  <c r="K670" i="16"/>
  <c r="K674" i="16"/>
  <c r="K678" i="16"/>
  <c r="K682" i="16"/>
  <c r="K686" i="16"/>
  <c r="K690" i="16"/>
  <c r="K694" i="16"/>
  <c r="K698" i="16"/>
  <c r="K702" i="16"/>
  <c r="K706" i="16"/>
  <c r="K710" i="16"/>
  <c r="K714" i="16"/>
  <c r="K718" i="16"/>
  <c r="K722" i="16"/>
  <c r="K726" i="16"/>
  <c r="K730" i="16"/>
  <c r="K734" i="16"/>
  <c r="K738" i="16"/>
  <c r="K742" i="16"/>
  <c r="K746" i="16"/>
  <c r="K750" i="16"/>
  <c r="K754" i="16"/>
  <c r="K758" i="16"/>
  <c r="K762" i="16"/>
  <c r="K766" i="16"/>
  <c r="K770" i="16"/>
  <c r="K774" i="16"/>
  <c r="K778" i="16"/>
  <c r="K782" i="16"/>
  <c r="K786" i="16"/>
  <c r="K790" i="16"/>
  <c r="K794" i="16"/>
  <c r="K798" i="16"/>
  <c r="K802" i="16"/>
  <c r="K806" i="16"/>
  <c r="K810" i="16"/>
  <c r="K814" i="16"/>
  <c r="K818" i="16"/>
  <c r="K822" i="16"/>
  <c r="K826" i="16"/>
  <c r="K830" i="16"/>
  <c r="K834" i="16"/>
  <c r="K838" i="16"/>
  <c r="K842" i="16"/>
  <c r="K846" i="16"/>
  <c r="K850" i="16"/>
  <c r="K854" i="16"/>
  <c r="K858" i="16"/>
  <c r="K862" i="16"/>
  <c r="K866" i="16"/>
  <c r="K870" i="16"/>
  <c r="K874" i="16"/>
  <c r="K878" i="16"/>
  <c r="K882" i="16"/>
  <c r="K886" i="16"/>
  <c r="K890" i="16"/>
  <c r="K894" i="16"/>
  <c r="K898" i="16"/>
  <c r="K902" i="16"/>
  <c r="K906" i="16"/>
  <c r="K910" i="16"/>
  <c r="K914" i="16"/>
  <c r="K918" i="16"/>
  <c r="K922" i="16"/>
  <c r="K926" i="16"/>
  <c r="K930" i="16"/>
  <c r="K934" i="16"/>
  <c r="K938" i="16"/>
  <c r="K942" i="16"/>
  <c r="K946" i="16"/>
  <c r="K950" i="16"/>
  <c r="K954" i="16"/>
  <c r="K958" i="16"/>
  <c r="K962" i="16"/>
  <c r="K966" i="16"/>
  <c r="K970" i="16"/>
  <c r="K974" i="16"/>
  <c r="K978" i="16"/>
  <c r="K982" i="16"/>
  <c r="K986" i="16"/>
  <c r="K990" i="16"/>
  <c r="K994" i="16"/>
  <c r="K998" i="16"/>
  <c r="K1002" i="16"/>
  <c r="K1006" i="16"/>
  <c r="K1010" i="16"/>
  <c r="K1014" i="16"/>
  <c r="K1018" i="16"/>
  <c r="K1022" i="16"/>
  <c r="K1026" i="16"/>
  <c r="K1030" i="16"/>
  <c r="K1034" i="16"/>
  <c r="K1038" i="16"/>
  <c r="K1042" i="16"/>
  <c r="K1046" i="16"/>
  <c r="K1050" i="16"/>
  <c r="K1054" i="16"/>
  <c r="K1058" i="16"/>
  <c r="K1062" i="16"/>
  <c r="K1066" i="16"/>
  <c r="K1070" i="16"/>
  <c r="K1074" i="16"/>
  <c r="K1078" i="16"/>
  <c r="K1082" i="16"/>
  <c r="K1086" i="16"/>
  <c r="K1090" i="16"/>
  <c r="K1094" i="16"/>
  <c r="K1098" i="16"/>
  <c r="K1102" i="16"/>
  <c r="K1106" i="16"/>
  <c r="K1110" i="16"/>
  <c r="K1114" i="16"/>
  <c r="K1118" i="16"/>
  <c r="K1122" i="16"/>
  <c r="K1126" i="16"/>
  <c r="K1130" i="16"/>
  <c r="K1134" i="16"/>
  <c r="K1138" i="16"/>
  <c r="K352" i="16"/>
  <c r="K360" i="16"/>
  <c r="K368" i="16"/>
  <c r="K376" i="16"/>
  <c r="K384" i="16"/>
  <c r="K392" i="16"/>
  <c r="K400" i="16"/>
  <c r="K408" i="16"/>
  <c r="K416" i="16"/>
  <c r="K424" i="16"/>
  <c r="K432" i="16"/>
  <c r="K440" i="16"/>
  <c r="K448" i="16"/>
  <c r="K456" i="16"/>
  <c r="K464" i="16"/>
  <c r="K472" i="16"/>
  <c r="K480" i="16"/>
  <c r="K488" i="16"/>
  <c r="K496" i="16"/>
  <c r="K504" i="16"/>
  <c r="K512" i="16"/>
  <c r="K520" i="16"/>
  <c r="K528" i="16"/>
  <c r="K536" i="16"/>
  <c r="K544" i="16"/>
  <c r="K552" i="16"/>
  <c r="K560" i="16"/>
  <c r="K568" i="16"/>
  <c r="K575" i="16"/>
  <c r="K579" i="16"/>
  <c r="K583" i="16"/>
  <c r="K587" i="16"/>
  <c r="K591" i="16"/>
  <c r="K595" i="16"/>
  <c r="K599" i="16"/>
  <c r="K603" i="16"/>
  <c r="K607" i="16"/>
  <c r="K611" i="16"/>
  <c r="K615" i="16"/>
  <c r="K619" i="16"/>
  <c r="K623" i="16"/>
  <c r="K627" i="16"/>
  <c r="K631" i="16"/>
  <c r="K635" i="16"/>
  <c r="K639" i="16"/>
  <c r="K643" i="16"/>
  <c r="K647" i="16"/>
  <c r="K651" i="16"/>
  <c r="K655" i="16"/>
  <c r="K659" i="16"/>
  <c r="K663" i="16"/>
  <c r="K667" i="16"/>
  <c r="K671" i="16"/>
  <c r="K675" i="16"/>
  <c r="K679" i="16"/>
  <c r="K683" i="16"/>
  <c r="K687" i="16"/>
  <c r="K691" i="16"/>
  <c r="K695" i="16"/>
  <c r="K699" i="16"/>
  <c r="K703" i="16"/>
  <c r="K707" i="16"/>
  <c r="K711" i="16"/>
  <c r="K715" i="16"/>
  <c r="K719" i="16"/>
  <c r="K723" i="16"/>
  <c r="K727" i="16"/>
  <c r="K731" i="16"/>
  <c r="K735" i="16"/>
  <c r="K739" i="16"/>
  <c r="K743" i="16"/>
  <c r="K747" i="16"/>
  <c r="K751" i="16"/>
  <c r="K755" i="16"/>
  <c r="K759" i="16"/>
  <c r="K763" i="16"/>
  <c r="K767" i="16"/>
  <c r="K771" i="16"/>
  <c r="K775" i="16"/>
  <c r="K779" i="16"/>
  <c r="K783" i="16"/>
  <c r="K787" i="16"/>
  <c r="K791" i="16"/>
  <c r="K795" i="16"/>
  <c r="K799" i="16"/>
  <c r="K354" i="16"/>
  <c r="K362" i="16"/>
  <c r="K370" i="16"/>
  <c r="K378" i="16"/>
  <c r="K386" i="16"/>
  <c r="K394" i="16"/>
  <c r="K402" i="16"/>
  <c r="K410" i="16"/>
  <c r="K418" i="16"/>
  <c r="K426" i="16"/>
  <c r="K434" i="16"/>
  <c r="K442" i="16"/>
  <c r="K450" i="16"/>
  <c r="K458" i="16"/>
  <c r="K466" i="16"/>
  <c r="K474" i="16"/>
  <c r="K482" i="16"/>
  <c r="K490" i="16"/>
  <c r="K498" i="16"/>
  <c r="K506" i="16"/>
  <c r="K514" i="16"/>
  <c r="K522" i="16"/>
  <c r="K530" i="16"/>
  <c r="K538" i="16"/>
  <c r="K546" i="16"/>
  <c r="K554" i="16"/>
  <c r="K562" i="16"/>
  <c r="K570" i="16"/>
  <c r="K576" i="16"/>
  <c r="K580" i="16"/>
  <c r="K584" i="16"/>
  <c r="K588" i="16"/>
  <c r="K592" i="16"/>
  <c r="K596" i="16"/>
  <c r="K600" i="16"/>
  <c r="K604" i="16"/>
  <c r="K608" i="16"/>
  <c r="K612" i="16"/>
  <c r="K616" i="16"/>
  <c r="K620" i="16"/>
  <c r="K624" i="16"/>
  <c r="K628" i="16"/>
  <c r="K632" i="16"/>
  <c r="K636" i="16"/>
  <c r="K640" i="16"/>
  <c r="K644" i="16"/>
  <c r="K648" i="16"/>
  <c r="K652" i="16"/>
  <c r="K656" i="16"/>
  <c r="K660" i="16"/>
  <c r="K664" i="16"/>
  <c r="K668" i="16"/>
  <c r="K672" i="16"/>
  <c r="K676" i="16"/>
  <c r="K680" i="16"/>
  <c r="K684" i="16"/>
  <c r="K688" i="16"/>
  <c r="K692" i="16"/>
  <c r="K696" i="16"/>
  <c r="K700" i="16"/>
  <c r="K704" i="16"/>
  <c r="K708" i="16"/>
  <c r="K712" i="16"/>
  <c r="K716" i="16"/>
  <c r="K720" i="16"/>
  <c r="K724" i="16"/>
  <c r="K728" i="16"/>
  <c r="K732" i="16"/>
  <c r="K736" i="16"/>
  <c r="K740" i="16"/>
  <c r="K744" i="16"/>
  <c r="K748" i="16"/>
  <c r="K752" i="16"/>
  <c r="K756" i="16"/>
  <c r="K760" i="16"/>
  <c r="K764" i="16"/>
  <c r="K768" i="16"/>
  <c r="K772" i="16"/>
  <c r="K776" i="16"/>
  <c r="K780" i="16"/>
  <c r="K784" i="16"/>
  <c r="K788" i="16"/>
  <c r="K792" i="16"/>
  <c r="K796" i="16"/>
  <c r="K800" i="16"/>
  <c r="K804" i="16"/>
  <c r="K808" i="16"/>
  <c r="K812" i="16"/>
  <c r="K816" i="16"/>
  <c r="K820" i="16"/>
  <c r="K824" i="16"/>
  <c r="K828" i="16"/>
  <c r="K832" i="16"/>
  <c r="K836" i="16"/>
  <c r="K840" i="16"/>
  <c r="K844" i="16"/>
  <c r="K848" i="16"/>
  <c r="K852" i="16"/>
  <c r="K856" i="16"/>
  <c r="K860" i="16"/>
  <c r="K864" i="16"/>
  <c r="K868" i="16"/>
  <c r="K872" i="16"/>
  <c r="K876" i="16"/>
  <c r="K880" i="16"/>
  <c r="K884" i="16"/>
  <c r="K888" i="16"/>
  <c r="K892" i="16"/>
  <c r="K896" i="16"/>
  <c r="K900" i="16"/>
  <c r="K904" i="16"/>
  <c r="K908" i="16"/>
  <c r="K912" i="16"/>
  <c r="K916" i="16"/>
  <c r="K920" i="16"/>
  <c r="K924" i="16"/>
  <c r="K928" i="16"/>
  <c r="K932" i="16"/>
  <c r="K936" i="16"/>
  <c r="K940" i="16"/>
  <c r="K944" i="16"/>
  <c r="K948" i="16"/>
  <c r="K952" i="16"/>
  <c r="K956" i="16"/>
  <c r="K960" i="16"/>
  <c r="K964" i="16"/>
  <c r="K968" i="16"/>
  <c r="K972" i="16"/>
  <c r="K976" i="16"/>
  <c r="K980" i="16"/>
  <c r="K984" i="16"/>
  <c r="K988" i="16"/>
  <c r="K992" i="16"/>
  <c r="K996" i="16"/>
  <c r="K1000" i="16"/>
  <c r="K1004" i="16"/>
  <c r="K1008" i="16"/>
  <c r="K1012" i="16"/>
  <c r="K1016" i="16"/>
  <c r="K1020" i="16"/>
  <c r="K1024" i="16"/>
  <c r="K1028" i="16"/>
  <c r="K1032" i="16"/>
  <c r="K1036" i="16"/>
  <c r="K1040" i="16"/>
  <c r="K1044" i="16"/>
  <c r="K1048" i="16"/>
  <c r="K1052" i="16"/>
  <c r="K1056" i="16"/>
  <c r="K1060" i="16"/>
  <c r="K1064" i="16"/>
  <c r="K1068" i="16"/>
  <c r="K1072" i="16"/>
  <c r="K1076" i="16"/>
  <c r="K1080" i="16"/>
  <c r="K1084" i="16"/>
  <c r="K1088" i="16"/>
  <c r="K1092" i="16"/>
  <c r="K1096" i="16"/>
  <c r="K1100" i="16"/>
  <c r="K1104" i="16"/>
  <c r="K1108" i="16"/>
  <c r="K1112" i="16"/>
  <c r="K1116" i="16"/>
  <c r="K1120" i="16"/>
  <c r="K1124" i="16"/>
  <c r="K1128" i="16"/>
  <c r="K1132" i="16"/>
  <c r="K1136" i="16"/>
  <c r="K1140" i="16"/>
  <c r="K801" i="16"/>
  <c r="K809" i="16"/>
  <c r="K817" i="16"/>
  <c r="K825" i="16"/>
  <c r="K833" i="16"/>
  <c r="K841" i="16"/>
  <c r="K849" i="16"/>
  <c r="K857" i="16"/>
  <c r="K865" i="16"/>
  <c r="K873" i="16"/>
  <c r="K881" i="16"/>
  <c r="K889" i="16"/>
  <c r="K897" i="16"/>
  <c r="K905" i="16"/>
  <c r="K913" i="16"/>
  <c r="K921" i="16"/>
  <c r="K929" i="16"/>
  <c r="K937" i="16"/>
  <c r="K945" i="16"/>
  <c r="K953" i="16"/>
  <c r="K961" i="16"/>
  <c r="K969" i="16"/>
  <c r="K977" i="16"/>
  <c r="K985" i="16"/>
  <c r="K993" i="16"/>
  <c r="K1001" i="16"/>
  <c r="K1009" i="16"/>
  <c r="K1017" i="16"/>
  <c r="K1025" i="16"/>
  <c r="K1033" i="16"/>
  <c r="K1041" i="16"/>
  <c r="K1049" i="16"/>
  <c r="K1057" i="16"/>
  <c r="K1065" i="16"/>
  <c r="K1073" i="16"/>
  <c r="K1081" i="16"/>
  <c r="K1089" i="16"/>
  <c r="K1097" i="16"/>
  <c r="K1105" i="16"/>
  <c r="K1113" i="16"/>
  <c r="K1121" i="16"/>
  <c r="K1129" i="16"/>
  <c r="K1137" i="16"/>
  <c r="K1143" i="16"/>
  <c r="K1147" i="16"/>
  <c r="K1151" i="16"/>
  <c r="K1155" i="16"/>
  <c r="K1159" i="16"/>
  <c r="K1163" i="16"/>
  <c r="K1167" i="16"/>
  <c r="K1171" i="16"/>
  <c r="K1175" i="16"/>
  <c r="K1179" i="16"/>
  <c r="K1183" i="16"/>
  <c r="K1187" i="16"/>
  <c r="K1191" i="16"/>
  <c r="K1195" i="16"/>
  <c r="K1199" i="16"/>
  <c r="K1203" i="16"/>
  <c r="K1207" i="16"/>
  <c r="K1211" i="16"/>
  <c r="K1215" i="16"/>
  <c r="K1219" i="16"/>
  <c r="K1223" i="16"/>
  <c r="K1227" i="16"/>
  <c r="K1231" i="16"/>
  <c r="K1235" i="16"/>
  <c r="K1239" i="16"/>
  <c r="K1243" i="16"/>
  <c r="K1247" i="16"/>
  <c r="K1251" i="16"/>
  <c r="K1255" i="16"/>
  <c r="K1259" i="16"/>
  <c r="K1263" i="16"/>
  <c r="K1267" i="16"/>
  <c r="K1271" i="16"/>
  <c r="K1275" i="16"/>
  <c r="K1279" i="16"/>
  <c r="K1283" i="16"/>
  <c r="K1287" i="16"/>
  <c r="K1291" i="16"/>
  <c r="K1295" i="16"/>
  <c r="K1299" i="16"/>
  <c r="K1303" i="16"/>
  <c r="K1307" i="16"/>
  <c r="K1311" i="16"/>
  <c r="K803" i="16"/>
  <c r="K811" i="16"/>
  <c r="K819" i="16"/>
  <c r="K827" i="16"/>
  <c r="K835" i="16"/>
  <c r="K843" i="16"/>
  <c r="K851" i="16"/>
  <c r="K859" i="16"/>
  <c r="K867" i="16"/>
  <c r="K875" i="16"/>
  <c r="K883" i="16"/>
  <c r="K891" i="16"/>
  <c r="K899" i="16"/>
  <c r="K907" i="16"/>
  <c r="K915" i="16"/>
  <c r="K923" i="16"/>
  <c r="K931" i="16"/>
  <c r="K939" i="16"/>
  <c r="K947" i="16"/>
  <c r="K955" i="16"/>
  <c r="K963" i="16"/>
  <c r="K971" i="16"/>
  <c r="K979" i="16"/>
  <c r="K987" i="16"/>
  <c r="K995" i="16"/>
  <c r="K1003" i="16"/>
  <c r="K1011" i="16"/>
  <c r="K1019" i="16"/>
  <c r="K1027" i="16"/>
  <c r="K1035" i="16"/>
  <c r="K1043" i="16"/>
  <c r="K1051" i="16"/>
  <c r="K1059" i="16"/>
  <c r="K1067" i="16"/>
  <c r="K1075" i="16"/>
  <c r="K1083" i="16"/>
  <c r="K1091" i="16"/>
  <c r="K1099" i="16"/>
  <c r="K1107" i="16"/>
  <c r="K1115" i="16"/>
  <c r="K1123" i="16"/>
  <c r="K1131" i="16"/>
  <c r="K1139" i="16"/>
  <c r="K1144" i="16"/>
  <c r="K1148" i="16"/>
  <c r="K1152" i="16"/>
  <c r="K1156" i="16"/>
  <c r="K1160" i="16"/>
  <c r="K1164" i="16"/>
  <c r="K1168" i="16"/>
  <c r="K1172" i="16"/>
  <c r="K1176" i="16"/>
  <c r="K1180" i="16"/>
  <c r="K1184" i="16"/>
  <c r="K1188" i="16"/>
  <c r="K1192" i="16"/>
  <c r="K1196" i="16"/>
  <c r="K1200" i="16"/>
  <c r="K1204" i="16"/>
  <c r="K1208" i="16"/>
  <c r="K1212" i="16"/>
  <c r="K1216" i="16"/>
  <c r="K1220" i="16"/>
  <c r="K1224" i="16"/>
  <c r="K1228" i="16"/>
  <c r="K1232" i="16"/>
  <c r="K1236" i="16"/>
  <c r="K1240" i="16"/>
  <c r="K1244" i="16"/>
  <c r="K1248" i="16"/>
  <c r="K1252" i="16"/>
  <c r="K1256" i="16"/>
  <c r="K1260" i="16"/>
  <c r="K1264" i="16"/>
  <c r="K1268" i="16"/>
  <c r="K1272" i="16"/>
  <c r="K1276" i="16"/>
  <c r="K1280" i="16"/>
  <c r="K1284" i="16"/>
  <c r="K1288" i="16"/>
  <c r="K1292" i="16"/>
  <c r="K1296" i="16"/>
  <c r="K1300" i="16"/>
  <c r="K1304" i="16"/>
  <c r="K1308" i="16"/>
  <c r="K1312" i="16"/>
  <c r="K1316" i="16"/>
  <c r="K1320" i="16"/>
  <c r="K1324" i="16"/>
  <c r="K1328" i="16"/>
  <c r="K805" i="16"/>
  <c r="K813" i="16"/>
  <c r="K821" i="16"/>
  <c r="K829" i="16"/>
  <c r="K837" i="16"/>
  <c r="K845" i="16"/>
  <c r="K853" i="16"/>
  <c r="K861" i="16"/>
  <c r="K869" i="16"/>
  <c r="K877" i="16"/>
  <c r="K885" i="16"/>
  <c r="K893" i="16"/>
  <c r="K901" i="16"/>
  <c r="K909" i="16"/>
  <c r="K917" i="16"/>
  <c r="K925" i="16"/>
  <c r="K933" i="16"/>
  <c r="K941" i="16"/>
  <c r="K949" i="16"/>
  <c r="K957" i="16"/>
  <c r="K965" i="16"/>
  <c r="K973" i="16"/>
  <c r="K981" i="16"/>
  <c r="K989" i="16"/>
  <c r="K997" i="16"/>
  <c r="K1005" i="16"/>
  <c r="K1013" i="16"/>
  <c r="K1021" i="16"/>
  <c r="K1029" i="16"/>
  <c r="K1037" i="16"/>
  <c r="K1045" i="16"/>
  <c r="K1053" i="16"/>
  <c r="K1061" i="16"/>
  <c r="K1069" i="16"/>
  <c r="K1077" i="16"/>
  <c r="K1085" i="16"/>
  <c r="K1093" i="16"/>
  <c r="K1101" i="16"/>
  <c r="K1109" i="16"/>
  <c r="K1117" i="16"/>
  <c r="K1125" i="16"/>
  <c r="K1133" i="16"/>
  <c r="K1141" i="16"/>
  <c r="K1145" i="16"/>
  <c r="K1149" i="16"/>
  <c r="K1153" i="16"/>
  <c r="K1157" i="16"/>
  <c r="K1161" i="16"/>
  <c r="K1165" i="16"/>
  <c r="K1169" i="16"/>
  <c r="K1173" i="16"/>
  <c r="K1177" i="16"/>
  <c r="K1181" i="16"/>
  <c r="K1185" i="16"/>
  <c r="K1189" i="16"/>
  <c r="K1193" i="16"/>
  <c r="K1197" i="16"/>
  <c r="K1201" i="16"/>
  <c r="K1205" i="16"/>
  <c r="K1209" i="16"/>
  <c r="K1213" i="16"/>
  <c r="K1217" i="16"/>
  <c r="K1221" i="16"/>
  <c r="K1225" i="16"/>
  <c r="K1229" i="16"/>
  <c r="K1233" i="16"/>
  <c r="K1237" i="16"/>
  <c r="K1241" i="16"/>
  <c r="K1245" i="16"/>
  <c r="K1249" i="16"/>
  <c r="K1253" i="16"/>
  <c r="K1257" i="16"/>
  <c r="K1261" i="16"/>
  <c r="K1265" i="16"/>
  <c r="K1269" i="16"/>
  <c r="K1273" i="16"/>
  <c r="K1277" i="16"/>
  <c r="K1281" i="16"/>
  <c r="K1285" i="16"/>
  <c r="K1289" i="16"/>
  <c r="K1293" i="16"/>
  <c r="K1297" i="16"/>
  <c r="K1301" i="16"/>
  <c r="K1305" i="16"/>
  <c r="K1309" i="16"/>
  <c r="K807" i="16"/>
  <c r="K815" i="16"/>
  <c r="K823" i="16"/>
  <c r="K831" i="16"/>
  <c r="K839" i="16"/>
  <c r="K847" i="16"/>
  <c r="K855" i="16"/>
  <c r="K863" i="16"/>
  <c r="K871" i="16"/>
  <c r="K879" i="16"/>
  <c r="K887" i="16"/>
  <c r="K895" i="16"/>
  <c r="K903" i="16"/>
  <c r="K911" i="16"/>
  <c r="K919" i="16"/>
  <c r="K927" i="16"/>
  <c r="K935" i="16"/>
  <c r="K943" i="16"/>
  <c r="K951" i="16"/>
  <c r="K959" i="16"/>
  <c r="K967" i="16"/>
  <c r="K975" i="16"/>
  <c r="K983" i="16"/>
  <c r="K991" i="16"/>
  <c r="K999" i="16"/>
  <c r="K1007" i="16"/>
  <c r="K1015" i="16"/>
  <c r="K1023" i="16"/>
  <c r="K1031" i="16"/>
  <c r="K1039" i="16"/>
  <c r="K1047" i="16"/>
  <c r="K1055" i="16"/>
  <c r="K1063" i="16"/>
  <c r="K1071" i="16"/>
  <c r="K1079" i="16"/>
  <c r="K1087" i="16"/>
  <c r="K1095" i="16"/>
  <c r="K1103" i="16"/>
  <c r="K1111" i="16"/>
  <c r="K1119" i="16"/>
  <c r="K1127" i="16"/>
  <c r="K1135" i="16"/>
  <c r="K1142" i="16"/>
  <c r="K1146" i="16"/>
  <c r="K1150" i="16"/>
  <c r="K1154" i="16"/>
  <c r="K1158" i="16"/>
  <c r="K1162" i="16"/>
  <c r="K1166" i="16"/>
  <c r="K1170" i="16"/>
  <c r="K1174" i="16"/>
  <c r="K1178" i="16"/>
  <c r="K1182" i="16"/>
  <c r="K1186" i="16"/>
  <c r="K1190" i="16"/>
  <c r="K1194" i="16"/>
  <c r="K1198" i="16"/>
  <c r="K1202" i="16"/>
  <c r="K1206" i="16"/>
  <c r="K1210" i="16"/>
  <c r="K1214" i="16"/>
  <c r="K1218" i="16"/>
  <c r="K1222" i="16"/>
  <c r="K1226" i="16"/>
  <c r="K1230" i="16"/>
  <c r="K1234" i="16"/>
  <c r="K1238" i="16"/>
  <c r="K1242" i="16"/>
  <c r="K1246" i="16"/>
  <c r="K1250" i="16"/>
  <c r="K1254" i="16"/>
  <c r="K1258" i="16"/>
  <c r="K1262" i="16"/>
  <c r="K1266" i="16"/>
  <c r="K1270" i="16"/>
  <c r="K1274" i="16"/>
  <c r="K1278" i="16"/>
  <c r="K1282" i="16"/>
  <c r="K1286" i="16"/>
  <c r="K1290" i="16"/>
  <c r="K1294" i="16"/>
  <c r="K1298" i="16"/>
  <c r="K1302" i="16"/>
  <c r="K1306" i="16"/>
  <c r="K1310" i="16"/>
  <c r="K1314" i="16"/>
  <c r="K1318" i="16"/>
  <c r="K1322" i="16"/>
  <c r="K1326" i="16"/>
  <c r="K1330" i="16"/>
  <c r="K1313" i="16"/>
  <c r="K1321" i="16"/>
  <c r="K1329" i="16"/>
  <c r="K1315" i="16"/>
  <c r="K1323" i="16"/>
  <c r="K1331" i="16"/>
  <c r="K1317" i="16"/>
  <c r="K1325" i="16"/>
  <c r="K1319" i="16"/>
  <c r="K1327" i="16"/>
  <c r="J2" i="16"/>
  <c r="J6" i="16"/>
  <c r="J10" i="16"/>
  <c r="J14" i="16"/>
  <c r="J18" i="16"/>
  <c r="J22" i="16"/>
  <c r="J26" i="16"/>
  <c r="J30" i="16"/>
  <c r="J34" i="16"/>
  <c r="J38" i="16"/>
  <c r="J42" i="16"/>
  <c r="J46" i="16"/>
  <c r="J50" i="16"/>
  <c r="J54" i="16"/>
  <c r="J58" i="16"/>
  <c r="J62" i="16"/>
  <c r="J66" i="16"/>
  <c r="J70" i="16"/>
  <c r="J74" i="16"/>
  <c r="J78" i="16"/>
  <c r="J82" i="16"/>
  <c r="J86" i="16"/>
  <c r="J90" i="16"/>
  <c r="J94" i="16"/>
  <c r="J98" i="16"/>
  <c r="J102" i="16"/>
  <c r="J106" i="16"/>
  <c r="J110" i="16"/>
  <c r="J114" i="16"/>
  <c r="J118" i="16"/>
  <c r="J122" i="16"/>
  <c r="J126" i="16"/>
  <c r="J130" i="16"/>
  <c r="J134" i="16"/>
  <c r="J138" i="16"/>
  <c r="J142" i="16"/>
  <c r="J146" i="16"/>
  <c r="J150" i="16"/>
  <c r="J154" i="16"/>
  <c r="J158" i="16"/>
  <c r="J162" i="16"/>
  <c r="J166" i="16"/>
  <c r="J170" i="16"/>
  <c r="J174" i="16"/>
  <c r="J178" i="16"/>
  <c r="J182" i="16"/>
  <c r="J186" i="16"/>
  <c r="J190" i="16"/>
  <c r="J194" i="16"/>
  <c r="J198" i="16"/>
  <c r="J202" i="16"/>
  <c r="J206" i="16"/>
  <c r="J210" i="16"/>
  <c r="J214" i="16"/>
  <c r="J218" i="16"/>
  <c r="J222" i="16"/>
  <c r="J226" i="16"/>
  <c r="J230" i="16"/>
  <c r="J234" i="16"/>
  <c r="J238" i="16"/>
  <c r="J242" i="16"/>
  <c r="J246" i="16"/>
  <c r="J250" i="16"/>
  <c r="J254" i="16"/>
  <c r="J258" i="16"/>
  <c r="J262" i="16"/>
  <c r="J266" i="16"/>
  <c r="J270" i="16"/>
  <c r="J274" i="16"/>
  <c r="J278" i="16"/>
  <c r="J282" i="16"/>
  <c r="J286" i="16"/>
  <c r="J290" i="16"/>
  <c r="J4" i="16"/>
  <c r="L4" i="16" s="1"/>
  <c r="J8" i="16"/>
  <c r="J12" i="16"/>
  <c r="L12" i="16" s="1"/>
  <c r="J16" i="16"/>
  <c r="J20" i="16"/>
  <c r="J24" i="16"/>
  <c r="L24" i="16" s="1"/>
  <c r="J28" i="16"/>
  <c r="L28" i="16" s="1"/>
  <c r="J32" i="16"/>
  <c r="J36" i="16"/>
  <c r="J40" i="16"/>
  <c r="J44" i="16"/>
  <c r="J48" i="16"/>
  <c r="L48" i="16" s="1"/>
  <c r="J52" i="16"/>
  <c r="J56" i="16"/>
  <c r="J60" i="16"/>
  <c r="J64" i="16"/>
  <c r="L64" i="16" s="1"/>
  <c r="J68" i="16"/>
  <c r="L68" i="16" s="1"/>
  <c r="J72" i="16"/>
  <c r="J76" i="16"/>
  <c r="L76" i="16" s="1"/>
  <c r="J80" i="16"/>
  <c r="J84" i="16"/>
  <c r="J88" i="16"/>
  <c r="L88" i="16" s="1"/>
  <c r="J92" i="16"/>
  <c r="L92" i="16" s="1"/>
  <c r="J96" i="16"/>
  <c r="J100" i="16"/>
  <c r="J104" i="16"/>
  <c r="J108" i="16"/>
  <c r="J112" i="16"/>
  <c r="L112" i="16" s="1"/>
  <c r="J116" i="16"/>
  <c r="J120" i="16"/>
  <c r="J124" i="16"/>
  <c r="J128" i="16"/>
  <c r="L128" i="16" s="1"/>
  <c r="J132" i="16"/>
  <c r="L132" i="16" s="1"/>
  <c r="J136" i="16"/>
  <c r="J140" i="16"/>
  <c r="L140" i="16" s="1"/>
  <c r="J144" i="16"/>
  <c r="J148" i="16"/>
  <c r="J152" i="16"/>
  <c r="L152" i="16" s="1"/>
  <c r="J156" i="16"/>
  <c r="L156" i="16" s="1"/>
  <c r="J160" i="16"/>
  <c r="J164" i="16"/>
  <c r="J168" i="16"/>
  <c r="J172" i="16"/>
  <c r="J176" i="16"/>
  <c r="L176" i="16" s="1"/>
  <c r="J180" i="16"/>
  <c r="J184" i="16"/>
  <c r="J188" i="16"/>
  <c r="J192" i="16"/>
  <c r="L192" i="16" s="1"/>
  <c r="J196" i="16"/>
  <c r="L196" i="16" s="1"/>
  <c r="J200" i="16"/>
  <c r="J204" i="16"/>
  <c r="L204" i="16" s="1"/>
  <c r="J208" i="16"/>
  <c r="J212" i="16"/>
  <c r="J216" i="16"/>
  <c r="L216" i="16" s="1"/>
  <c r="J220" i="16"/>
  <c r="L220" i="16" s="1"/>
  <c r="J224" i="16"/>
  <c r="J228" i="16"/>
  <c r="J232" i="16"/>
  <c r="J236" i="16"/>
  <c r="J240" i="16"/>
  <c r="L240" i="16" s="1"/>
  <c r="J244" i="16"/>
  <c r="J248" i="16"/>
  <c r="J252" i="16"/>
  <c r="J256" i="16"/>
  <c r="L256" i="16" s="1"/>
  <c r="J260" i="16"/>
  <c r="L260" i="16" s="1"/>
  <c r="J264" i="16"/>
  <c r="J268" i="16"/>
  <c r="L268" i="16" s="1"/>
  <c r="J272" i="16"/>
  <c r="J276" i="16"/>
  <c r="J280" i="16"/>
  <c r="L280" i="16" s="1"/>
  <c r="J284" i="16"/>
  <c r="L284" i="16" s="1"/>
  <c r="J288" i="16"/>
  <c r="J7" i="16"/>
  <c r="J15" i="16"/>
  <c r="J23" i="16"/>
  <c r="J31" i="16"/>
  <c r="J39" i="16"/>
  <c r="J47" i="16"/>
  <c r="J55" i="16"/>
  <c r="J63" i="16"/>
  <c r="J71" i="16"/>
  <c r="J79" i="16"/>
  <c r="J87" i="16"/>
  <c r="J95" i="16"/>
  <c r="J103" i="16"/>
  <c r="J111" i="16"/>
  <c r="J119" i="16"/>
  <c r="J127" i="16"/>
  <c r="J135" i="16"/>
  <c r="J143" i="16"/>
  <c r="J151" i="16"/>
  <c r="J159" i="16"/>
  <c r="J167" i="16"/>
  <c r="J175" i="16"/>
  <c r="J183" i="16"/>
  <c r="J191" i="16"/>
  <c r="J199" i="16"/>
  <c r="J207" i="16"/>
  <c r="J215" i="16"/>
  <c r="J223" i="16"/>
  <c r="J231" i="16"/>
  <c r="J239" i="16"/>
  <c r="J247" i="16"/>
  <c r="J255" i="16"/>
  <c r="J263" i="16"/>
  <c r="J271" i="16"/>
  <c r="J279" i="16"/>
  <c r="J287" i="16"/>
  <c r="J293" i="16"/>
  <c r="J297" i="16"/>
  <c r="J301" i="16"/>
  <c r="J305" i="16"/>
  <c r="J309" i="16"/>
  <c r="J313" i="16"/>
  <c r="J317" i="16"/>
  <c r="J321" i="16"/>
  <c r="J325" i="16"/>
  <c r="J329" i="16"/>
  <c r="J333" i="16"/>
  <c r="J337" i="16"/>
  <c r="J341" i="16"/>
  <c r="J345" i="16"/>
  <c r="J349" i="16"/>
  <c r="J353" i="16"/>
  <c r="J357" i="16"/>
  <c r="J361" i="16"/>
  <c r="J365" i="16"/>
  <c r="J369" i="16"/>
  <c r="J373" i="16"/>
  <c r="J377" i="16"/>
  <c r="J381" i="16"/>
  <c r="J385" i="16"/>
  <c r="J389" i="16"/>
  <c r="J393" i="16"/>
  <c r="J397" i="16"/>
  <c r="J401" i="16"/>
  <c r="J405" i="16"/>
  <c r="J409" i="16"/>
  <c r="J413" i="16"/>
  <c r="J417" i="16"/>
  <c r="J421" i="16"/>
  <c r="J425" i="16"/>
  <c r="J429" i="16"/>
  <c r="J433" i="16"/>
  <c r="J437" i="16"/>
  <c r="J441" i="16"/>
  <c r="J445" i="16"/>
  <c r="J449" i="16"/>
  <c r="J453" i="16"/>
  <c r="J457" i="16"/>
  <c r="J461" i="16"/>
  <c r="J465" i="16"/>
  <c r="J469" i="16"/>
  <c r="J473" i="16"/>
  <c r="J477" i="16"/>
  <c r="J481" i="16"/>
  <c r="J485" i="16"/>
  <c r="J489" i="16"/>
  <c r="J493" i="16"/>
  <c r="J497" i="16"/>
  <c r="J501" i="16"/>
  <c r="J505" i="16"/>
  <c r="J509" i="16"/>
  <c r="J513" i="16"/>
  <c r="J517" i="16"/>
  <c r="J521" i="16"/>
  <c r="J525" i="16"/>
  <c r="J529" i="16"/>
  <c r="J533" i="16"/>
  <c r="J537" i="16"/>
  <c r="J541" i="16"/>
  <c r="J545" i="16"/>
  <c r="J549" i="16"/>
  <c r="J553" i="16"/>
  <c r="J557" i="16"/>
  <c r="J561" i="16"/>
  <c r="J9" i="16"/>
  <c r="J17" i="16"/>
  <c r="J25" i="16"/>
  <c r="J33" i="16"/>
  <c r="J41" i="16"/>
  <c r="J49" i="16"/>
  <c r="J57" i="16"/>
  <c r="J65" i="16"/>
  <c r="J73" i="16"/>
  <c r="J81" i="16"/>
  <c r="J89" i="16"/>
  <c r="J97" i="16"/>
  <c r="J105" i="16"/>
  <c r="J113" i="16"/>
  <c r="J121" i="16"/>
  <c r="J129" i="16"/>
  <c r="J137" i="16"/>
  <c r="J145" i="16"/>
  <c r="J153" i="16"/>
  <c r="J161" i="16"/>
  <c r="J169" i="16"/>
  <c r="J177" i="16"/>
  <c r="J185" i="16"/>
  <c r="J193" i="16"/>
  <c r="J201" i="16"/>
  <c r="J209" i="16"/>
  <c r="J217" i="16"/>
  <c r="J225" i="16"/>
  <c r="J233" i="16"/>
  <c r="J241" i="16"/>
  <c r="J249" i="16"/>
  <c r="J257" i="16"/>
  <c r="J265" i="16"/>
  <c r="J273" i="16"/>
  <c r="J281" i="16"/>
  <c r="J289" i="16"/>
  <c r="J294" i="16"/>
  <c r="J298" i="16"/>
  <c r="J302" i="16"/>
  <c r="J306" i="16"/>
  <c r="J310" i="16"/>
  <c r="J314" i="16"/>
  <c r="J318" i="16"/>
  <c r="J322" i="16"/>
  <c r="J326" i="16"/>
  <c r="J330" i="16"/>
  <c r="J334" i="16"/>
  <c r="J338" i="16"/>
  <c r="J342" i="16"/>
  <c r="J346" i="16"/>
  <c r="J350" i="16"/>
  <c r="J354" i="16"/>
  <c r="J358" i="16"/>
  <c r="J362" i="16"/>
  <c r="J366" i="16"/>
  <c r="J370" i="16"/>
  <c r="J374" i="16"/>
  <c r="J378" i="16"/>
  <c r="J382" i="16"/>
  <c r="J386" i="16"/>
  <c r="J390" i="16"/>
  <c r="J394" i="16"/>
  <c r="J398" i="16"/>
  <c r="J402" i="16"/>
  <c r="J406" i="16"/>
  <c r="J410" i="16"/>
  <c r="J414" i="16"/>
  <c r="J418" i="16"/>
  <c r="J422" i="16"/>
  <c r="J426" i="16"/>
  <c r="J430" i="16"/>
  <c r="J434" i="16"/>
  <c r="J438" i="16"/>
  <c r="J442" i="16"/>
  <c r="J446" i="16"/>
  <c r="J450" i="16"/>
  <c r="J454" i="16"/>
  <c r="J458" i="16"/>
  <c r="J462" i="16"/>
  <c r="J466" i="16"/>
  <c r="J470" i="16"/>
  <c r="J474" i="16"/>
  <c r="J478" i="16"/>
  <c r="J482" i="16"/>
  <c r="J486" i="16"/>
  <c r="J490" i="16"/>
  <c r="J494" i="16"/>
  <c r="J498" i="16"/>
  <c r="J502" i="16"/>
  <c r="J506" i="16"/>
  <c r="J510" i="16"/>
  <c r="J514" i="16"/>
  <c r="J518" i="16"/>
  <c r="J522" i="16"/>
  <c r="J526" i="16"/>
  <c r="J530" i="16"/>
  <c r="J534" i="16"/>
  <c r="J538" i="16"/>
  <c r="J542" i="16"/>
  <c r="J546" i="16"/>
  <c r="J550" i="16"/>
  <c r="J554" i="16"/>
  <c r="J558" i="16"/>
  <c r="J562" i="16"/>
  <c r="J566" i="16"/>
  <c r="J570" i="16"/>
  <c r="J574" i="16"/>
  <c r="J578" i="16"/>
  <c r="J582" i="16"/>
  <c r="J586" i="16"/>
  <c r="J590" i="16"/>
  <c r="J594" i="16"/>
  <c r="J598" i="16"/>
  <c r="J602" i="16"/>
  <c r="J606" i="16"/>
  <c r="J610" i="16"/>
  <c r="J614" i="16"/>
  <c r="J618" i="16"/>
  <c r="J622" i="16"/>
  <c r="J626" i="16"/>
  <c r="J630" i="16"/>
  <c r="J634" i="16"/>
  <c r="J638" i="16"/>
  <c r="J642" i="16"/>
  <c r="J646" i="16"/>
  <c r="J650" i="16"/>
  <c r="J654" i="16"/>
  <c r="J658" i="16"/>
  <c r="J662" i="16"/>
  <c r="J666" i="16"/>
  <c r="J670" i="16"/>
  <c r="J674" i="16"/>
  <c r="J678" i="16"/>
  <c r="J682" i="16"/>
  <c r="J686" i="16"/>
  <c r="J690" i="16"/>
  <c r="J694" i="16"/>
  <c r="J698" i="16"/>
  <c r="J702" i="16"/>
  <c r="J706" i="16"/>
  <c r="J710" i="16"/>
  <c r="J714" i="16"/>
  <c r="J718" i="16"/>
  <c r="J722" i="16"/>
  <c r="J726" i="16"/>
  <c r="J730" i="16"/>
  <c r="J734" i="16"/>
  <c r="J738" i="16"/>
  <c r="J742" i="16"/>
  <c r="J746" i="16"/>
  <c r="J750" i="16"/>
  <c r="J754" i="16"/>
  <c r="J758" i="16"/>
  <c r="J762" i="16"/>
  <c r="J766" i="16"/>
  <c r="J770" i="16"/>
  <c r="J774" i="16"/>
  <c r="J778" i="16"/>
  <c r="J782" i="16"/>
  <c r="J786" i="16"/>
  <c r="J790" i="16"/>
  <c r="J794" i="16"/>
  <c r="J798" i="16"/>
  <c r="J802" i="16"/>
  <c r="J806" i="16"/>
  <c r="J810" i="16"/>
  <c r="J814" i="16"/>
  <c r="J3" i="16"/>
  <c r="J11" i="16"/>
  <c r="J19" i="16"/>
  <c r="J27" i="16"/>
  <c r="J35" i="16"/>
  <c r="J43" i="16"/>
  <c r="J51" i="16"/>
  <c r="J59" i="16"/>
  <c r="J67" i="16"/>
  <c r="J75" i="16"/>
  <c r="J83" i="16"/>
  <c r="J91" i="16"/>
  <c r="J99" i="16"/>
  <c r="J107" i="16"/>
  <c r="J115" i="16"/>
  <c r="J123" i="16"/>
  <c r="J131" i="16"/>
  <c r="J139" i="16"/>
  <c r="J147" i="16"/>
  <c r="J155" i="16"/>
  <c r="J163" i="16"/>
  <c r="J171" i="16"/>
  <c r="J179" i="16"/>
  <c r="J187" i="16"/>
  <c r="J195" i="16"/>
  <c r="J203" i="16"/>
  <c r="J211" i="16"/>
  <c r="J219" i="16"/>
  <c r="J227" i="16"/>
  <c r="J235" i="16"/>
  <c r="J243" i="16"/>
  <c r="J251" i="16"/>
  <c r="J259" i="16"/>
  <c r="J267" i="16"/>
  <c r="J275" i="16"/>
  <c r="J283" i="16"/>
  <c r="J291" i="16"/>
  <c r="J295" i="16"/>
  <c r="J299" i="16"/>
  <c r="J303" i="16"/>
  <c r="J307" i="16"/>
  <c r="J311" i="16"/>
  <c r="J315" i="16"/>
  <c r="J319" i="16"/>
  <c r="J323" i="16"/>
  <c r="J327" i="16"/>
  <c r="J331" i="16"/>
  <c r="J335" i="16"/>
  <c r="J339" i="16"/>
  <c r="J343" i="16"/>
  <c r="J347" i="16"/>
  <c r="J351" i="16"/>
  <c r="J355" i="16"/>
  <c r="J359" i="16"/>
  <c r="J363" i="16"/>
  <c r="J367" i="16"/>
  <c r="J371" i="16"/>
  <c r="J375" i="16"/>
  <c r="J379" i="16"/>
  <c r="J383" i="16"/>
  <c r="J387" i="16"/>
  <c r="J391" i="16"/>
  <c r="J395" i="16"/>
  <c r="J399" i="16"/>
  <c r="J403" i="16"/>
  <c r="J407" i="16"/>
  <c r="J411" i="16"/>
  <c r="J415" i="16"/>
  <c r="J419" i="16"/>
  <c r="J423" i="16"/>
  <c r="J427" i="16"/>
  <c r="J431" i="16"/>
  <c r="J435" i="16"/>
  <c r="J439" i="16"/>
  <c r="J443" i="16"/>
  <c r="J447" i="16"/>
  <c r="J451" i="16"/>
  <c r="J455" i="16"/>
  <c r="J459" i="16"/>
  <c r="J463" i="16"/>
  <c r="J467" i="16"/>
  <c r="J471" i="16"/>
  <c r="J475" i="16"/>
  <c r="J479" i="16"/>
  <c r="J483" i="16"/>
  <c r="J487" i="16"/>
  <c r="J491" i="16"/>
  <c r="J495" i="16"/>
  <c r="J499" i="16"/>
  <c r="J503" i="16"/>
  <c r="J507" i="16"/>
  <c r="J511" i="16"/>
  <c r="J515" i="16"/>
  <c r="J519" i="16"/>
  <c r="J523" i="16"/>
  <c r="J527" i="16"/>
  <c r="J531" i="16"/>
  <c r="J535" i="16"/>
  <c r="J539" i="16"/>
  <c r="J543" i="16"/>
  <c r="J547" i="16"/>
  <c r="J551" i="16"/>
  <c r="J555" i="16"/>
  <c r="J559" i="16"/>
  <c r="J5" i="16"/>
  <c r="J13" i="16"/>
  <c r="J21" i="16"/>
  <c r="J29" i="16"/>
  <c r="J37" i="16"/>
  <c r="J45" i="16"/>
  <c r="J53" i="16"/>
  <c r="J61" i="16"/>
  <c r="J69" i="16"/>
  <c r="J77" i="16"/>
  <c r="J85" i="16"/>
  <c r="J93" i="16"/>
  <c r="J101" i="16"/>
  <c r="J109" i="16"/>
  <c r="J117" i="16"/>
  <c r="J125" i="16"/>
  <c r="J133" i="16"/>
  <c r="J141" i="16"/>
  <c r="J149" i="16"/>
  <c r="J157" i="16"/>
  <c r="J165" i="16"/>
  <c r="J173" i="16"/>
  <c r="J181" i="16"/>
  <c r="J189" i="16"/>
  <c r="J197" i="16"/>
  <c r="J205" i="16"/>
  <c r="J213" i="16"/>
  <c r="J221" i="16"/>
  <c r="J229" i="16"/>
  <c r="J237" i="16"/>
  <c r="J245" i="16"/>
  <c r="J253" i="16"/>
  <c r="J261" i="16"/>
  <c r="J269" i="16"/>
  <c r="J277" i="16"/>
  <c r="J285" i="16"/>
  <c r="J292" i="16"/>
  <c r="J296" i="16"/>
  <c r="J300" i="16"/>
  <c r="J304" i="16"/>
  <c r="J308" i="16"/>
  <c r="J312" i="16"/>
  <c r="J316" i="16"/>
  <c r="J320" i="16"/>
  <c r="J324" i="16"/>
  <c r="J328" i="16"/>
  <c r="J332" i="16"/>
  <c r="J336" i="16"/>
  <c r="J340" i="16"/>
  <c r="J344" i="16"/>
  <c r="J348" i="16"/>
  <c r="J352" i="16"/>
  <c r="J356" i="16"/>
  <c r="J360" i="16"/>
  <c r="J364" i="16"/>
  <c r="J368" i="16"/>
  <c r="J372" i="16"/>
  <c r="L372" i="16" s="1"/>
  <c r="J376" i="16"/>
  <c r="J380" i="16"/>
  <c r="J384" i="16"/>
  <c r="J388" i="16"/>
  <c r="J392" i="16"/>
  <c r="L392" i="16" s="1"/>
  <c r="J396" i="16"/>
  <c r="J400" i="16"/>
  <c r="J404" i="16"/>
  <c r="L404" i="16" s="1"/>
  <c r="J408" i="16"/>
  <c r="J412" i="16"/>
  <c r="J416" i="16"/>
  <c r="J420" i="16"/>
  <c r="J424" i="16"/>
  <c r="J428" i="16"/>
  <c r="J432" i="16"/>
  <c r="J436" i="16"/>
  <c r="L436" i="16" s="1"/>
  <c r="J440" i="16"/>
  <c r="J444" i="16"/>
  <c r="J448" i="16"/>
  <c r="J452" i="16"/>
  <c r="J456" i="16"/>
  <c r="J460" i="16"/>
  <c r="J464" i="16"/>
  <c r="J468" i="16"/>
  <c r="J472" i="16"/>
  <c r="J476" i="16"/>
  <c r="J480" i="16"/>
  <c r="J484" i="16"/>
  <c r="J488" i="16"/>
  <c r="J492" i="16"/>
  <c r="J496" i="16"/>
  <c r="J500" i="16"/>
  <c r="L500" i="16" s="1"/>
  <c r="J504" i="16"/>
  <c r="J508" i="16"/>
  <c r="J512" i="16"/>
  <c r="J516" i="16"/>
  <c r="J520" i="16"/>
  <c r="L520" i="16" s="1"/>
  <c r="J524" i="16"/>
  <c r="J528" i="16"/>
  <c r="J532" i="16"/>
  <c r="L532" i="16" s="1"/>
  <c r="J536" i="16"/>
  <c r="J540" i="16"/>
  <c r="J544" i="16"/>
  <c r="J548" i="16"/>
  <c r="J552" i="16"/>
  <c r="J556" i="16"/>
  <c r="J560" i="16"/>
  <c r="J564" i="16"/>
  <c r="J568" i="16"/>
  <c r="J572" i="16"/>
  <c r="J576" i="16"/>
  <c r="J580" i="16"/>
  <c r="J584" i="16"/>
  <c r="J588" i="16"/>
  <c r="J592" i="16"/>
  <c r="J596" i="16"/>
  <c r="J600" i="16"/>
  <c r="J604" i="16"/>
  <c r="J608" i="16"/>
  <c r="J612" i="16"/>
  <c r="J616" i="16"/>
  <c r="J620" i="16"/>
  <c r="J624" i="16"/>
  <c r="J628" i="16"/>
  <c r="J632" i="16"/>
  <c r="J636" i="16"/>
  <c r="J640" i="16"/>
  <c r="J644" i="16"/>
  <c r="J648" i="16"/>
  <c r="J652" i="16"/>
  <c r="J656" i="16"/>
  <c r="J660" i="16"/>
  <c r="J664" i="16"/>
  <c r="J668" i="16"/>
  <c r="J672" i="16"/>
  <c r="J676" i="16"/>
  <c r="J680" i="16"/>
  <c r="J684" i="16"/>
  <c r="J688" i="16"/>
  <c r="J692" i="16"/>
  <c r="J696" i="16"/>
  <c r="J700" i="16"/>
  <c r="J704" i="16"/>
  <c r="J708" i="16"/>
  <c r="J712" i="16"/>
  <c r="J716" i="16"/>
  <c r="J720" i="16"/>
  <c r="J724" i="16"/>
  <c r="J728" i="16"/>
  <c r="J732" i="16"/>
  <c r="J736" i="16"/>
  <c r="J740" i="16"/>
  <c r="J744" i="16"/>
  <c r="J748" i="16"/>
  <c r="J752" i="16"/>
  <c r="J756" i="16"/>
  <c r="J760" i="16"/>
  <c r="J764" i="16"/>
  <c r="J768" i="16"/>
  <c r="J772" i="16"/>
  <c r="J776" i="16"/>
  <c r="J780" i="16"/>
  <c r="J784" i="16"/>
  <c r="J788" i="16"/>
  <c r="J792" i="16"/>
  <c r="J796" i="16"/>
  <c r="J800" i="16"/>
  <c r="J804" i="16"/>
  <c r="J808" i="16"/>
  <c r="J812" i="16"/>
  <c r="J816" i="16"/>
  <c r="J563" i="16"/>
  <c r="J571" i="16"/>
  <c r="J579" i="16"/>
  <c r="J587" i="16"/>
  <c r="J595" i="16"/>
  <c r="J603" i="16"/>
  <c r="J611" i="16"/>
  <c r="J619" i="16"/>
  <c r="J627" i="16"/>
  <c r="J635" i="16"/>
  <c r="J643" i="16"/>
  <c r="J651" i="16"/>
  <c r="J659" i="16"/>
  <c r="J667" i="16"/>
  <c r="J675" i="16"/>
  <c r="J683" i="16"/>
  <c r="J691" i="16"/>
  <c r="J699" i="16"/>
  <c r="J707" i="16"/>
  <c r="J715" i="16"/>
  <c r="J723" i="16"/>
  <c r="J731" i="16"/>
  <c r="J739" i="16"/>
  <c r="J747" i="16"/>
  <c r="J755" i="16"/>
  <c r="J763" i="16"/>
  <c r="J771" i="16"/>
  <c r="J779" i="16"/>
  <c r="J787" i="16"/>
  <c r="J795" i="16"/>
  <c r="J803" i="16"/>
  <c r="J811" i="16"/>
  <c r="J818" i="16"/>
  <c r="J822" i="16"/>
  <c r="J826" i="16"/>
  <c r="J830" i="16"/>
  <c r="J834" i="16"/>
  <c r="J838" i="16"/>
  <c r="J842" i="16"/>
  <c r="J846" i="16"/>
  <c r="J850" i="16"/>
  <c r="J854" i="16"/>
  <c r="J858" i="16"/>
  <c r="J862" i="16"/>
  <c r="J866" i="16"/>
  <c r="J870" i="16"/>
  <c r="J874" i="16"/>
  <c r="J878" i="16"/>
  <c r="J882" i="16"/>
  <c r="J886" i="16"/>
  <c r="J890" i="16"/>
  <c r="J894" i="16"/>
  <c r="J898" i="16"/>
  <c r="J902" i="16"/>
  <c r="J906" i="16"/>
  <c r="J910" i="16"/>
  <c r="J914" i="16"/>
  <c r="J918" i="16"/>
  <c r="J922" i="16"/>
  <c r="J926" i="16"/>
  <c r="J930" i="16"/>
  <c r="J934" i="16"/>
  <c r="J938" i="16"/>
  <c r="J942" i="16"/>
  <c r="J946" i="16"/>
  <c r="J950" i="16"/>
  <c r="J954" i="16"/>
  <c r="J958" i="16"/>
  <c r="J962" i="16"/>
  <c r="J966" i="16"/>
  <c r="J970" i="16"/>
  <c r="J974" i="16"/>
  <c r="J978" i="16"/>
  <c r="J982" i="16"/>
  <c r="J986" i="16"/>
  <c r="J990" i="16"/>
  <c r="J994" i="16"/>
  <c r="J998" i="16"/>
  <c r="J1002" i="16"/>
  <c r="J1006" i="16"/>
  <c r="J1010" i="16"/>
  <c r="J1014" i="16"/>
  <c r="J1018" i="16"/>
  <c r="J1022" i="16"/>
  <c r="J1026" i="16"/>
  <c r="J1030" i="16"/>
  <c r="J1034" i="16"/>
  <c r="J1038" i="16"/>
  <c r="J1042" i="16"/>
  <c r="J1046" i="16"/>
  <c r="J1050" i="16"/>
  <c r="J1054" i="16"/>
  <c r="J1058" i="16"/>
  <c r="J1062" i="16"/>
  <c r="J1066" i="16"/>
  <c r="J1070" i="16"/>
  <c r="J1074" i="16"/>
  <c r="J1078" i="16"/>
  <c r="J1082" i="16"/>
  <c r="J1086" i="16"/>
  <c r="J1090" i="16"/>
  <c r="J1094" i="16"/>
  <c r="J1098" i="16"/>
  <c r="J1102" i="16"/>
  <c r="J1106" i="16"/>
  <c r="J1110" i="16"/>
  <c r="J1114" i="16"/>
  <c r="J1118" i="16"/>
  <c r="J1122" i="16"/>
  <c r="J1126" i="16"/>
  <c r="J1130" i="16"/>
  <c r="J1134" i="16"/>
  <c r="J1138" i="16"/>
  <c r="J1142" i="16"/>
  <c r="J1146" i="16"/>
  <c r="J1150" i="16"/>
  <c r="J1154" i="16"/>
  <c r="J1158" i="16"/>
  <c r="J1162" i="16"/>
  <c r="J1166" i="16"/>
  <c r="J1170" i="16"/>
  <c r="J1174" i="16"/>
  <c r="J1178" i="16"/>
  <c r="J1182" i="16"/>
  <c r="J1186" i="16"/>
  <c r="J1190" i="16"/>
  <c r="J1194" i="16"/>
  <c r="J1198" i="16"/>
  <c r="J1202" i="16"/>
  <c r="J1206" i="16"/>
  <c r="J1210" i="16"/>
  <c r="J1214" i="16"/>
  <c r="J1218" i="16"/>
  <c r="J1222" i="16"/>
  <c r="J1226" i="16"/>
  <c r="J1230" i="16"/>
  <c r="J1234" i="16"/>
  <c r="J1238" i="16"/>
  <c r="J1242" i="16"/>
  <c r="J1246" i="16"/>
  <c r="J1250" i="16"/>
  <c r="J1254" i="16"/>
  <c r="J1258" i="16"/>
  <c r="J1262" i="16"/>
  <c r="J1266" i="16"/>
  <c r="J1270" i="16"/>
  <c r="J1274" i="16"/>
  <c r="J1278" i="16"/>
  <c r="J1282" i="16"/>
  <c r="J1286" i="16"/>
  <c r="J1290" i="16"/>
  <c r="J1294" i="16"/>
  <c r="J1298" i="16"/>
  <c r="J1302" i="16"/>
  <c r="J1306" i="16"/>
  <c r="J1310" i="16"/>
  <c r="J1314" i="16"/>
  <c r="J1318" i="16"/>
  <c r="J1322" i="16"/>
  <c r="J1326" i="16"/>
  <c r="J1330" i="16"/>
  <c r="J565" i="16"/>
  <c r="J573" i="16"/>
  <c r="J581" i="16"/>
  <c r="J589" i="16"/>
  <c r="J597" i="16"/>
  <c r="J605" i="16"/>
  <c r="J613" i="16"/>
  <c r="J621" i="16"/>
  <c r="J629" i="16"/>
  <c r="J637" i="16"/>
  <c r="J645" i="16"/>
  <c r="J653" i="16"/>
  <c r="J661" i="16"/>
  <c r="J669" i="16"/>
  <c r="J677" i="16"/>
  <c r="J685" i="16"/>
  <c r="J693" i="16"/>
  <c r="J701" i="16"/>
  <c r="J709" i="16"/>
  <c r="J717" i="16"/>
  <c r="J725" i="16"/>
  <c r="J733" i="16"/>
  <c r="J741" i="16"/>
  <c r="J749" i="16"/>
  <c r="J757" i="16"/>
  <c r="J765" i="16"/>
  <c r="J773" i="16"/>
  <c r="J781" i="16"/>
  <c r="J789" i="16"/>
  <c r="J797" i="16"/>
  <c r="J805" i="16"/>
  <c r="J813" i="16"/>
  <c r="J819" i="16"/>
  <c r="J823" i="16"/>
  <c r="J827" i="16"/>
  <c r="J831" i="16"/>
  <c r="J835" i="16"/>
  <c r="J839" i="16"/>
  <c r="J843" i="16"/>
  <c r="J847" i="16"/>
  <c r="J851" i="16"/>
  <c r="J855" i="16"/>
  <c r="J859" i="16"/>
  <c r="J863" i="16"/>
  <c r="J867" i="16"/>
  <c r="J871" i="16"/>
  <c r="J875" i="16"/>
  <c r="J879" i="16"/>
  <c r="J883" i="16"/>
  <c r="J887" i="16"/>
  <c r="J891" i="16"/>
  <c r="J895" i="16"/>
  <c r="J899" i="16"/>
  <c r="J903" i="16"/>
  <c r="J907" i="16"/>
  <c r="J911" i="16"/>
  <c r="J915" i="16"/>
  <c r="J919" i="16"/>
  <c r="J923" i="16"/>
  <c r="J927" i="16"/>
  <c r="J931" i="16"/>
  <c r="J935" i="16"/>
  <c r="J939" i="16"/>
  <c r="J943" i="16"/>
  <c r="J947" i="16"/>
  <c r="J951" i="16"/>
  <c r="J955" i="16"/>
  <c r="J959" i="16"/>
  <c r="J963" i="16"/>
  <c r="J967" i="16"/>
  <c r="J971" i="16"/>
  <c r="J975" i="16"/>
  <c r="J979" i="16"/>
  <c r="J983" i="16"/>
  <c r="J987" i="16"/>
  <c r="J991" i="16"/>
  <c r="J995" i="16"/>
  <c r="J999" i="16"/>
  <c r="J1003" i="16"/>
  <c r="J1007" i="16"/>
  <c r="J1011" i="16"/>
  <c r="J1015" i="16"/>
  <c r="J1019" i="16"/>
  <c r="J1023" i="16"/>
  <c r="J1027" i="16"/>
  <c r="J1031" i="16"/>
  <c r="J1035" i="16"/>
  <c r="J1039" i="16"/>
  <c r="J1043" i="16"/>
  <c r="J1047" i="16"/>
  <c r="J1051" i="16"/>
  <c r="J1055" i="16"/>
  <c r="J1059" i="16"/>
  <c r="J1063" i="16"/>
  <c r="J1067" i="16"/>
  <c r="J1071" i="16"/>
  <c r="J1075" i="16"/>
  <c r="J1079" i="16"/>
  <c r="J1083" i="16"/>
  <c r="J1087" i="16"/>
  <c r="J1091" i="16"/>
  <c r="J1095" i="16"/>
  <c r="J1099" i="16"/>
  <c r="J1103" i="16"/>
  <c r="J1107" i="16"/>
  <c r="J1111" i="16"/>
  <c r="J1115" i="16"/>
  <c r="J1119" i="16"/>
  <c r="J1123" i="16"/>
  <c r="J1127" i="16"/>
  <c r="J1131" i="16"/>
  <c r="J1135" i="16"/>
  <c r="J1139" i="16"/>
  <c r="J1143" i="16"/>
  <c r="J1147" i="16"/>
  <c r="J1151" i="16"/>
  <c r="J1155" i="16"/>
  <c r="J1159" i="16"/>
  <c r="J1163" i="16"/>
  <c r="J1167" i="16"/>
  <c r="J1171" i="16"/>
  <c r="J1175" i="16"/>
  <c r="J1179" i="16"/>
  <c r="J1183" i="16"/>
  <c r="J1187" i="16"/>
  <c r="J1191" i="16"/>
  <c r="J1195" i="16"/>
  <c r="J1199" i="16"/>
  <c r="J1203" i="16"/>
  <c r="J1207" i="16"/>
  <c r="J1211" i="16"/>
  <c r="J1215" i="16"/>
  <c r="J1219" i="16"/>
  <c r="J1223" i="16"/>
  <c r="J1227" i="16"/>
  <c r="J1231" i="16"/>
  <c r="J1235" i="16"/>
  <c r="J1239" i="16"/>
  <c r="J1243" i="16"/>
  <c r="J1247" i="16"/>
  <c r="J1251" i="16"/>
  <c r="J1255" i="16"/>
  <c r="J1259" i="16"/>
  <c r="J1263" i="16"/>
  <c r="J1267" i="16"/>
  <c r="J1271" i="16"/>
  <c r="J1275" i="16"/>
  <c r="J1279" i="16"/>
  <c r="J1283" i="16"/>
  <c r="J1287" i="16"/>
  <c r="J1291" i="16"/>
  <c r="J1295" i="16"/>
  <c r="J1299" i="16"/>
  <c r="J1303" i="16"/>
  <c r="J1307" i="16"/>
  <c r="J1311" i="16"/>
  <c r="J1315" i="16"/>
  <c r="J1319" i="16"/>
  <c r="J1323" i="16"/>
  <c r="J1327" i="16"/>
  <c r="J1331" i="16"/>
  <c r="J567" i="16"/>
  <c r="J575" i="16"/>
  <c r="J583" i="16"/>
  <c r="J591" i="16"/>
  <c r="J599" i="16"/>
  <c r="J607" i="16"/>
  <c r="J615" i="16"/>
  <c r="J623" i="16"/>
  <c r="J631" i="16"/>
  <c r="J639" i="16"/>
  <c r="J647" i="16"/>
  <c r="J655" i="16"/>
  <c r="J663" i="16"/>
  <c r="J671" i="16"/>
  <c r="J679" i="16"/>
  <c r="J687" i="16"/>
  <c r="J695" i="16"/>
  <c r="J703" i="16"/>
  <c r="J711" i="16"/>
  <c r="J719" i="16"/>
  <c r="J727" i="16"/>
  <c r="J735" i="16"/>
  <c r="J743" i="16"/>
  <c r="J751" i="16"/>
  <c r="J759" i="16"/>
  <c r="J767" i="16"/>
  <c r="J775" i="16"/>
  <c r="J783" i="16"/>
  <c r="J791" i="16"/>
  <c r="J799" i="16"/>
  <c r="J807" i="16"/>
  <c r="J815" i="16"/>
  <c r="J820" i="16"/>
  <c r="J824" i="16"/>
  <c r="L824" i="16" s="1"/>
  <c r="J828" i="16"/>
  <c r="J832" i="16"/>
  <c r="J836" i="16"/>
  <c r="J840" i="16"/>
  <c r="L840" i="16" s="1"/>
  <c r="J844" i="16"/>
  <c r="J848" i="16"/>
  <c r="J852" i="16"/>
  <c r="J856" i="16"/>
  <c r="J860" i="16"/>
  <c r="L860" i="16" s="1"/>
  <c r="J864" i="16"/>
  <c r="J868" i="16"/>
  <c r="L868" i="16" s="1"/>
  <c r="J872" i="16"/>
  <c r="L872" i="16" s="1"/>
  <c r="J876" i="16"/>
  <c r="J880" i="16"/>
  <c r="L880" i="16" s="1"/>
  <c r="J884" i="16"/>
  <c r="J888" i="16"/>
  <c r="L888" i="16" s="1"/>
  <c r="J892" i="16"/>
  <c r="L892" i="16" s="1"/>
  <c r="J896" i="16"/>
  <c r="J900" i="16"/>
  <c r="J904" i="16"/>
  <c r="L904" i="16" s="1"/>
  <c r="J908" i="16"/>
  <c r="L908" i="16" s="1"/>
  <c r="J912" i="16"/>
  <c r="J916" i="16"/>
  <c r="L916" i="16" s="1"/>
  <c r="J920" i="16"/>
  <c r="L920" i="16" s="1"/>
  <c r="J924" i="16"/>
  <c r="J928" i="16"/>
  <c r="J932" i="16"/>
  <c r="J936" i="16"/>
  <c r="L936" i="16" s="1"/>
  <c r="J940" i="16"/>
  <c r="L940" i="16" s="1"/>
  <c r="J944" i="16"/>
  <c r="J948" i="16"/>
  <c r="J952" i="16"/>
  <c r="J956" i="16"/>
  <c r="L956" i="16" s="1"/>
  <c r="J960" i="16"/>
  <c r="J964" i="16"/>
  <c r="J968" i="16"/>
  <c r="J972" i="16"/>
  <c r="L972" i="16" s="1"/>
  <c r="J976" i="16"/>
  <c r="J980" i="16"/>
  <c r="J984" i="16"/>
  <c r="J988" i="16"/>
  <c r="L988" i="16" s="1"/>
  <c r="J992" i="16"/>
  <c r="J996" i="16"/>
  <c r="J1000" i="16"/>
  <c r="L1000" i="16" s="1"/>
  <c r="J1004" i="16"/>
  <c r="L1004" i="16" s="1"/>
  <c r="J1008" i="16"/>
  <c r="J1012" i="16"/>
  <c r="L1012" i="16" s="1"/>
  <c r="J1016" i="16"/>
  <c r="L1016" i="16" s="1"/>
  <c r="J1020" i="16"/>
  <c r="J1024" i="16"/>
  <c r="L1024" i="16" s="1"/>
  <c r="J1028" i="16"/>
  <c r="L1028" i="16" s="1"/>
  <c r="J1032" i="16"/>
  <c r="J1036" i="16"/>
  <c r="J1040" i="16"/>
  <c r="L1040" i="16" s="1"/>
  <c r="J1044" i="16"/>
  <c r="L1044" i="16" s="1"/>
  <c r="J1048" i="16"/>
  <c r="J1052" i="16"/>
  <c r="L1052" i="16" s="1"/>
  <c r="J1056" i="16"/>
  <c r="L1056" i="16" s="1"/>
  <c r="J1060" i="16"/>
  <c r="J1064" i="16"/>
  <c r="L1064" i="16" s="1"/>
  <c r="J1068" i="16"/>
  <c r="L1068" i="16" s="1"/>
  <c r="J1072" i="16"/>
  <c r="J1076" i="16"/>
  <c r="J1080" i="16"/>
  <c r="J1084" i="16"/>
  <c r="L1084" i="16" s="1"/>
  <c r="J1088" i="16"/>
  <c r="L1088" i="16" s="1"/>
  <c r="J1092" i="16"/>
  <c r="J1096" i="16"/>
  <c r="L1096" i="16" s="1"/>
  <c r="J1100" i="16"/>
  <c r="L1100" i="16" s="1"/>
  <c r="J1104" i="16"/>
  <c r="J1108" i="16"/>
  <c r="J1112" i="16"/>
  <c r="L1112" i="16" s="1"/>
  <c r="J1116" i="16"/>
  <c r="L1116" i="16" s="1"/>
  <c r="J1120" i="16"/>
  <c r="L1120" i="16" s="1"/>
  <c r="J1124" i="16"/>
  <c r="L1124" i="16" s="1"/>
  <c r="J1128" i="16"/>
  <c r="J1132" i="16"/>
  <c r="J1136" i="16"/>
  <c r="L1136" i="16" s="1"/>
  <c r="J1140" i="16"/>
  <c r="J1144" i="16"/>
  <c r="J1148" i="16"/>
  <c r="J1152" i="16"/>
  <c r="J1156" i="16"/>
  <c r="J1160" i="16"/>
  <c r="J1164" i="16"/>
  <c r="J1168" i="16"/>
  <c r="J1172" i="16"/>
  <c r="J1176" i="16"/>
  <c r="J1180" i="16"/>
  <c r="J1184" i="16"/>
  <c r="J1188" i="16"/>
  <c r="J1192" i="16"/>
  <c r="J1196" i="16"/>
  <c r="J1200" i="16"/>
  <c r="J1204" i="16"/>
  <c r="J1208" i="16"/>
  <c r="J1212" i="16"/>
  <c r="J1216" i="16"/>
  <c r="J1220" i="16"/>
  <c r="J1224" i="16"/>
  <c r="J1228" i="16"/>
  <c r="J1232" i="16"/>
  <c r="J1236" i="16"/>
  <c r="J1240" i="16"/>
  <c r="J1244" i="16"/>
  <c r="J1248" i="16"/>
  <c r="J1252" i="16"/>
  <c r="J1256" i="16"/>
  <c r="J1260" i="16"/>
  <c r="J1264" i="16"/>
  <c r="J1268" i="16"/>
  <c r="J1272" i="16"/>
  <c r="J1276" i="16"/>
  <c r="J1280" i="16"/>
  <c r="J1284" i="16"/>
  <c r="J1288" i="16"/>
  <c r="J1292" i="16"/>
  <c r="J1296" i="16"/>
  <c r="J1300" i="16"/>
  <c r="J1304" i="16"/>
  <c r="J1308" i="16"/>
  <c r="J1312" i="16"/>
  <c r="J1316" i="16"/>
  <c r="J1320" i="16"/>
  <c r="J1324" i="16"/>
  <c r="J1328" i="16"/>
  <c r="J569" i="16"/>
  <c r="J577" i="16"/>
  <c r="J585" i="16"/>
  <c r="J593" i="16"/>
  <c r="J601" i="16"/>
  <c r="J609" i="16"/>
  <c r="J617" i="16"/>
  <c r="J625" i="16"/>
  <c r="J633" i="16"/>
  <c r="J641" i="16"/>
  <c r="J649" i="16"/>
  <c r="J657" i="16"/>
  <c r="J665" i="16"/>
  <c r="J673" i="16"/>
  <c r="J681" i="16"/>
  <c r="J689" i="16"/>
  <c r="J697" i="16"/>
  <c r="J705" i="16"/>
  <c r="J713" i="16"/>
  <c r="J721" i="16"/>
  <c r="J729" i="16"/>
  <c r="J737" i="16"/>
  <c r="J745" i="16"/>
  <c r="J753" i="16"/>
  <c r="J761" i="16"/>
  <c r="J769" i="16"/>
  <c r="J777" i="16"/>
  <c r="J785" i="16"/>
  <c r="J793" i="16"/>
  <c r="J801" i="16"/>
  <c r="J809" i="16"/>
  <c r="J817" i="16"/>
  <c r="J821" i="16"/>
  <c r="J825" i="16"/>
  <c r="J829" i="16"/>
  <c r="J833" i="16"/>
  <c r="J837" i="16"/>
  <c r="J841" i="16"/>
  <c r="J845" i="16"/>
  <c r="J849" i="16"/>
  <c r="J853" i="16"/>
  <c r="J857" i="16"/>
  <c r="J861" i="16"/>
  <c r="J865" i="16"/>
  <c r="J869" i="16"/>
  <c r="J873" i="16"/>
  <c r="J877" i="16"/>
  <c r="J881" i="16"/>
  <c r="J885" i="16"/>
  <c r="J889" i="16"/>
  <c r="J893" i="16"/>
  <c r="J897" i="16"/>
  <c r="J901" i="16"/>
  <c r="J905" i="16"/>
  <c r="J909" i="16"/>
  <c r="J913" i="16"/>
  <c r="J917" i="16"/>
  <c r="J921" i="16"/>
  <c r="J925" i="16"/>
  <c r="J929" i="16"/>
  <c r="J933" i="16"/>
  <c r="J937" i="16"/>
  <c r="J941" i="16"/>
  <c r="J945" i="16"/>
  <c r="J949" i="16"/>
  <c r="J953" i="16"/>
  <c r="J957" i="16"/>
  <c r="J961" i="16"/>
  <c r="J965" i="16"/>
  <c r="J969" i="16"/>
  <c r="J973" i="16"/>
  <c r="J977" i="16"/>
  <c r="J981" i="16"/>
  <c r="J985" i="16"/>
  <c r="J989" i="16"/>
  <c r="J993" i="16"/>
  <c r="J997" i="16"/>
  <c r="J1001" i="16"/>
  <c r="J1005" i="16"/>
  <c r="J1009" i="16"/>
  <c r="J1013" i="16"/>
  <c r="J1017" i="16"/>
  <c r="J1021" i="16"/>
  <c r="J1025" i="16"/>
  <c r="J1029" i="16"/>
  <c r="J1033" i="16"/>
  <c r="J1037" i="16"/>
  <c r="J1041" i="16"/>
  <c r="J1045" i="16"/>
  <c r="J1049" i="16"/>
  <c r="J1053" i="16"/>
  <c r="J1057" i="16"/>
  <c r="J1061" i="16"/>
  <c r="J1065" i="16"/>
  <c r="J1069" i="16"/>
  <c r="J1073" i="16"/>
  <c r="J1077" i="16"/>
  <c r="J1081" i="16"/>
  <c r="J1085" i="16"/>
  <c r="J1089" i="16"/>
  <c r="J1093" i="16"/>
  <c r="J1097" i="16"/>
  <c r="J1101" i="16"/>
  <c r="J1105" i="16"/>
  <c r="J1109" i="16"/>
  <c r="J1113" i="16"/>
  <c r="J1117" i="16"/>
  <c r="J1121" i="16"/>
  <c r="J1125" i="16"/>
  <c r="J1129" i="16"/>
  <c r="J1133" i="16"/>
  <c r="J1137" i="16"/>
  <c r="J1141" i="16"/>
  <c r="J1145" i="16"/>
  <c r="J1149" i="16"/>
  <c r="J1153" i="16"/>
  <c r="J1157" i="16"/>
  <c r="J1161" i="16"/>
  <c r="J1165" i="16"/>
  <c r="J1169" i="16"/>
  <c r="J1173" i="16"/>
  <c r="J1177" i="16"/>
  <c r="J1181" i="16"/>
  <c r="J1185" i="16"/>
  <c r="J1189" i="16"/>
  <c r="J1193" i="16"/>
  <c r="J1197" i="16"/>
  <c r="J1201" i="16"/>
  <c r="J1205" i="16"/>
  <c r="J1209" i="16"/>
  <c r="J1213" i="16"/>
  <c r="J1217" i="16"/>
  <c r="J1221" i="16"/>
  <c r="J1225" i="16"/>
  <c r="J1229" i="16"/>
  <c r="J1233" i="16"/>
  <c r="J1237" i="16"/>
  <c r="J1241" i="16"/>
  <c r="J1245" i="16"/>
  <c r="J1249" i="16"/>
  <c r="J1253" i="16"/>
  <c r="J1257" i="16"/>
  <c r="J1261" i="16"/>
  <c r="J1265" i="16"/>
  <c r="J1269" i="16"/>
  <c r="J1273" i="16"/>
  <c r="J1277" i="16"/>
  <c r="J1281" i="16"/>
  <c r="J1285" i="16"/>
  <c r="J1289" i="16"/>
  <c r="J1293" i="16"/>
  <c r="J1297" i="16"/>
  <c r="J1301" i="16"/>
  <c r="J1305" i="16"/>
  <c r="J1309" i="16"/>
  <c r="J1313" i="16"/>
  <c r="J1317" i="16"/>
  <c r="J1321" i="16"/>
  <c r="J1325" i="16"/>
  <c r="J1329" i="16"/>
  <c r="K32" i="9"/>
  <c r="K31" i="9"/>
  <c r="K28" i="9"/>
  <c r="K29" i="9" s="1"/>
  <c r="L29" i="9"/>
  <c r="L28" i="9"/>
  <c r="X1403" i="16" l="1"/>
  <c r="T1411" i="16"/>
  <c r="L1398" i="16"/>
  <c r="P1399" i="16"/>
  <c r="T1412" i="16"/>
  <c r="X1409" i="16"/>
  <c r="T1414" i="16"/>
  <c r="T1398" i="16"/>
  <c r="X1415" i="16"/>
  <c r="X1399" i="16"/>
  <c r="T1407" i="16"/>
  <c r="L1415" i="16"/>
  <c r="L1399" i="16"/>
  <c r="L1410" i="16"/>
  <c r="P1408" i="16"/>
  <c r="P1405" i="16"/>
  <c r="X1414" i="16"/>
  <c r="X1398" i="16"/>
  <c r="P1406" i="16"/>
  <c r="L1420" i="16"/>
  <c r="L1413" i="16"/>
  <c r="P1419" i="16"/>
  <c r="P1411" i="16"/>
  <c r="X1397" i="16"/>
  <c r="X1382" i="16"/>
  <c r="T1384" i="16"/>
  <c r="P1391" i="16"/>
  <c r="L1396" i="16"/>
  <c r="X1412" i="16"/>
  <c r="T1410" i="16"/>
  <c r="X1411" i="16"/>
  <c r="T1419" i="16"/>
  <c r="T1403" i="16"/>
  <c r="L1406" i="16"/>
  <c r="X1410" i="16"/>
  <c r="L1416" i="16"/>
  <c r="L1408" i="16"/>
  <c r="L1412" i="16"/>
  <c r="L1409" i="16"/>
  <c r="P1403" i="16"/>
  <c r="X1408" i="16"/>
  <c r="T1406" i="16"/>
  <c r="X1407" i="16"/>
  <c r="T1415" i="16"/>
  <c r="T1399" i="16"/>
  <c r="L1407" i="16"/>
  <c r="L1418" i="16"/>
  <c r="L1402" i="16"/>
  <c r="X1406" i="16"/>
  <c r="P1418" i="16"/>
  <c r="P1410" i="16"/>
  <c r="P1402" i="16"/>
  <c r="L1400" i="16"/>
  <c r="L1404" i="16"/>
  <c r="L1405" i="16"/>
  <c r="P1415" i="16"/>
  <c r="L1072" i="16"/>
  <c r="L992" i="16"/>
  <c r="L976" i="16"/>
  <c r="L960" i="16"/>
  <c r="L928" i="16"/>
  <c r="L864" i="16"/>
  <c r="L552" i="16"/>
  <c r="L456" i="16"/>
  <c r="L276" i="16"/>
  <c r="L212" i="16"/>
  <c r="L148" i="16"/>
  <c r="L84" i="16"/>
  <c r="L20" i="16"/>
  <c r="X1081" i="16"/>
  <c r="X841" i="16"/>
  <c r="X1273" i="16"/>
  <c r="X969" i="16"/>
  <c r="X1001" i="16"/>
  <c r="X809" i="16"/>
  <c r="X1017" i="16"/>
  <c r="X585" i="16"/>
  <c r="X777" i="16"/>
  <c r="X1113" i="16"/>
  <c r="X633" i="16"/>
  <c r="X348" i="16"/>
  <c r="X793" i="16"/>
  <c r="X554" i="16"/>
  <c r="X1099" i="16"/>
  <c r="X1035" i="16"/>
  <c r="X971" i="16"/>
  <c r="X907" i="16"/>
  <c r="X843" i="16"/>
  <c r="X779" i="16"/>
  <c r="X715" i="16"/>
  <c r="X651" i="16"/>
  <c r="X587" i="16"/>
  <c r="X459" i="16"/>
  <c r="X395" i="16"/>
  <c r="L1393" i="16"/>
  <c r="L1377" i="16"/>
  <c r="X1379" i="16"/>
  <c r="X1381" i="16"/>
  <c r="X1390" i="16"/>
  <c r="T1376" i="16"/>
  <c r="P1383" i="16"/>
  <c r="T1383" i="16"/>
  <c r="X922" i="16"/>
  <c r="X1235" i="16"/>
  <c r="X1171" i="16"/>
  <c r="X970" i="16"/>
  <c r="X1019" i="16"/>
  <c r="X955" i="16"/>
  <c r="X891" i="16"/>
  <c r="X827" i="16"/>
  <c r="X763" i="16"/>
  <c r="X699" i="16"/>
  <c r="X635" i="16"/>
  <c r="X571" i="16"/>
  <c r="X507" i="16"/>
  <c r="X443" i="16"/>
  <c r="X379" i="16"/>
  <c r="X1291" i="16"/>
  <c r="L1395" i="16"/>
  <c r="L1387" i="16"/>
  <c r="P1394" i="16"/>
  <c r="P1378" i="16"/>
  <c r="P1385" i="16"/>
  <c r="L1394" i="16"/>
  <c r="L1389" i="16"/>
  <c r="T1394" i="16"/>
  <c r="T1378" i="16"/>
  <c r="T1385" i="16"/>
  <c r="X1396" i="16"/>
  <c r="X1391" i="16"/>
  <c r="X1375" i="16"/>
  <c r="P1384" i="16"/>
  <c r="X1385" i="16"/>
  <c r="X1386" i="16"/>
  <c r="T1388" i="16"/>
  <c r="P1395" i="16"/>
  <c r="P1379" i="16"/>
  <c r="L1384" i="16"/>
  <c r="T1395" i="16"/>
  <c r="T1379" i="16"/>
  <c r="L1379" i="16"/>
  <c r="P1390" i="16"/>
  <c r="P1397" i="16"/>
  <c r="P1381" i="16"/>
  <c r="L1378" i="16"/>
  <c r="L1385" i="16"/>
  <c r="T1390" i="16"/>
  <c r="T1397" i="16"/>
  <c r="X1376" i="16"/>
  <c r="P1380" i="16"/>
  <c r="P1396" i="16"/>
  <c r="X1377" i="16"/>
  <c r="P1375" i="16"/>
  <c r="L1392" i="16"/>
  <c r="T1391" i="16"/>
  <c r="T1375" i="16"/>
  <c r="L1108" i="16"/>
  <c r="L1060" i="16"/>
  <c r="L964" i="16"/>
  <c r="L948" i="16"/>
  <c r="L852" i="16"/>
  <c r="L232" i="16"/>
  <c r="L168" i="16"/>
  <c r="L104" i="16"/>
  <c r="L40" i="16"/>
  <c r="X762" i="16"/>
  <c r="X1114" i="16"/>
  <c r="X1161" i="16"/>
  <c r="X1130" i="16"/>
  <c r="X617" i="16"/>
  <c r="X1226" i="16"/>
  <c r="X938" i="16"/>
  <c r="X1080" i="16"/>
  <c r="X1274" i="16"/>
  <c r="X697" i="16"/>
  <c r="X634" i="16"/>
  <c r="X425" i="16"/>
  <c r="X1129" i="16"/>
  <c r="X1210" i="16"/>
  <c r="X1257" i="16"/>
  <c r="X1258" i="16"/>
  <c r="X954" i="16"/>
  <c r="X1097" i="16"/>
  <c r="X602" i="16"/>
  <c r="X761" i="16"/>
  <c r="X457" i="16"/>
  <c r="X666" i="16"/>
  <c r="X1225" i="16"/>
  <c r="X489" i="16"/>
  <c r="X920" i="16"/>
  <c r="X664" i="16"/>
  <c r="X1223" i="16"/>
  <c r="X1159" i="16"/>
  <c r="X935" i="16"/>
  <c r="X679" i="16"/>
  <c r="X551" i="16"/>
  <c r="X24" i="16"/>
  <c r="X985" i="16"/>
  <c r="X1034" i="16"/>
  <c r="X1064" i="16"/>
  <c r="X808" i="16"/>
  <c r="X1107" i="16"/>
  <c r="X20" i="16"/>
  <c r="X216" i="16"/>
  <c r="X905" i="16"/>
  <c r="X794" i="16"/>
  <c r="X714" i="16"/>
  <c r="X665" i="16"/>
  <c r="X409" i="16"/>
  <c r="X212" i="16"/>
  <c r="X392" i="16"/>
  <c r="X550" i="16"/>
  <c r="X475" i="16"/>
  <c r="X209" i="16"/>
  <c r="X1299" i="16"/>
  <c r="P395" i="16"/>
  <c r="P10" i="16"/>
  <c r="P1311" i="16"/>
  <c r="L1391" i="16"/>
  <c r="P1386" i="16"/>
  <c r="L1386" i="16"/>
  <c r="L1397" i="16"/>
  <c r="L1381" i="16"/>
  <c r="T1393" i="16"/>
  <c r="T1377" i="16"/>
  <c r="X1388" i="16"/>
  <c r="X1383" i="16"/>
  <c r="P1376" i="16"/>
  <c r="P1388" i="16"/>
  <c r="X1389" i="16"/>
  <c r="X1394" i="16"/>
  <c r="X1378" i="16"/>
  <c r="T1396" i="16"/>
  <c r="T1380" i="16"/>
  <c r="P1387" i="16"/>
  <c r="L1376" i="16"/>
  <c r="L1380" i="16"/>
  <c r="T1387" i="16"/>
  <c r="X1271" i="16"/>
  <c r="X1207" i="16"/>
  <c r="X1142" i="16"/>
  <c r="X886" i="16"/>
  <c r="X630" i="16"/>
  <c r="X1047" i="16"/>
  <c r="X983" i="16"/>
  <c r="X919" i="16"/>
  <c r="X791" i="16"/>
  <c r="X727" i="16"/>
  <c r="X663" i="16"/>
  <c r="X535" i="16"/>
  <c r="X471" i="16"/>
  <c r="X407" i="16"/>
  <c r="X204" i="16"/>
  <c r="X1158" i="16"/>
  <c r="X821" i="16"/>
  <c r="X613" i="16"/>
  <c r="X1270" i="16"/>
  <c r="X72" i="16"/>
  <c r="X934" i="16"/>
  <c r="X678" i="16"/>
  <c r="X422" i="16"/>
  <c r="X1083" i="16"/>
  <c r="X1318" i="16"/>
  <c r="X1316" i="16"/>
  <c r="X501" i="16"/>
  <c r="X1014" i="16"/>
  <c r="X758" i="16"/>
  <c r="X205" i="16"/>
  <c r="X951" i="16"/>
  <c r="X887" i="16"/>
  <c r="X695" i="16"/>
  <c r="X631" i="16"/>
  <c r="X567" i="16"/>
  <c r="X503" i="16"/>
  <c r="X439" i="16"/>
  <c r="X375" i="16"/>
  <c r="X68" i="16"/>
  <c r="X948" i="16"/>
  <c r="X1028" i="16"/>
  <c r="X1222" i="16"/>
  <c r="X676" i="16"/>
  <c r="X420" i="16"/>
  <c r="X102" i="16"/>
  <c r="X1030" i="16"/>
  <c r="X774" i="16"/>
  <c r="X134" i="16"/>
  <c r="X19" i="16"/>
  <c r="X1091" i="16"/>
  <c r="X323" i="16"/>
  <c r="X259" i="16"/>
  <c r="X227" i="16"/>
  <c r="X163" i="16"/>
  <c r="X141" i="16"/>
  <c r="X77" i="16"/>
  <c r="X13" i="16"/>
  <c r="X333" i="16"/>
  <c r="X1231" i="16"/>
  <c r="X1167" i="16"/>
  <c r="X918" i="16"/>
  <c r="X662" i="16"/>
  <c r="X406" i="16"/>
  <c r="X150" i="16"/>
  <c r="X1157" i="16"/>
  <c r="X820" i="16"/>
  <c r="X262" i="16"/>
  <c r="X709" i="16"/>
  <c r="X964" i="16"/>
  <c r="X1174" i="16"/>
  <c r="X1013" i="16"/>
  <c r="X644" i="16"/>
  <c r="X388" i="16"/>
  <c r="X1204" i="16"/>
  <c r="X1126" i="16"/>
  <c r="X870" i="16"/>
  <c r="X614" i="16"/>
  <c r="X99" i="16"/>
  <c r="X1295" i="16"/>
  <c r="X1302" i="16"/>
  <c r="X1286" i="16"/>
  <c r="X1322" i="16"/>
  <c r="P1191" i="16"/>
  <c r="P169" i="16"/>
  <c r="P1205" i="16"/>
  <c r="P1211" i="16"/>
  <c r="P1156" i="16"/>
  <c r="P1028" i="16"/>
  <c r="P900" i="16"/>
  <c r="P772" i="16"/>
  <c r="P644" i="16"/>
  <c r="P516" i="16"/>
  <c r="P388" i="16"/>
  <c r="P35" i="16"/>
  <c r="P1186" i="16"/>
  <c r="P1058" i="16"/>
  <c r="P930" i="16"/>
  <c r="P802" i="16"/>
  <c r="P674" i="16"/>
  <c r="P1237" i="16"/>
  <c r="P1243" i="16"/>
  <c r="P273" i="16"/>
  <c r="P1231" i="16"/>
  <c r="P1125" i="16"/>
  <c r="P997" i="16"/>
  <c r="P869" i="16"/>
  <c r="P613" i="16"/>
  <c r="P485" i="16"/>
  <c r="P357" i="16"/>
  <c r="P229" i="16"/>
  <c r="P101" i="16"/>
  <c r="P156" i="16"/>
  <c r="P28" i="16"/>
  <c r="P1266" i="16"/>
  <c r="P1202" i="16"/>
  <c r="P1255" i="16"/>
  <c r="P1269" i="16"/>
  <c r="P253" i="16"/>
  <c r="P125" i="16"/>
  <c r="P1076" i="16"/>
  <c r="P948" i="16"/>
  <c r="P820" i="16"/>
  <c r="P692" i="16"/>
  <c r="P564" i="16"/>
  <c r="P436" i="16"/>
  <c r="P308" i="16"/>
  <c r="P1147" i="16"/>
  <c r="P699" i="16"/>
  <c r="P507" i="16"/>
  <c r="P1250" i="16"/>
  <c r="P1067" i="16"/>
  <c r="P683" i="16"/>
  <c r="P491" i="16"/>
  <c r="P363" i="16"/>
  <c r="P43" i="16"/>
  <c r="P1074" i="16"/>
  <c r="P946" i="16"/>
  <c r="P818" i="16"/>
  <c r="P690" i="16"/>
  <c r="P41" i="16"/>
  <c r="P1141" i="16"/>
  <c r="P885" i="16"/>
  <c r="P501" i="16"/>
  <c r="P373" i="16"/>
  <c r="P172" i="16"/>
  <c r="P44" i="16"/>
  <c r="P578" i="16"/>
  <c r="P514" i="16"/>
  <c r="P450" i="16"/>
  <c r="P386" i="16"/>
  <c r="P322" i="16"/>
  <c r="P2" i="16"/>
  <c r="P1300" i="16"/>
  <c r="P1284" i="16"/>
  <c r="P1317" i="16"/>
  <c r="P1316" i="16"/>
  <c r="P1301" i="16"/>
  <c r="P1285" i="16"/>
  <c r="P1319" i="16"/>
  <c r="T1140" i="16"/>
  <c r="X317" i="16"/>
  <c r="X1283" i="16"/>
  <c r="X1219" i="16"/>
  <c r="X902" i="16"/>
  <c r="X646" i="16"/>
  <c r="X260" i="16"/>
  <c r="X1046" i="16"/>
  <c r="X790" i="16"/>
  <c r="X389" i="16"/>
  <c r="X1049" i="16"/>
  <c r="X708" i="16"/>
  <c r="X1238" i="16"/>
  <c r="X485" i="16"/>
  <c r="X601" i="16"/>
  <c r="X253" i="16"/>
  <c r="X64" i="16"/>
  <c r="X1172" i="16"/>
  <c r="X998" i="16"/>
  <c r="X742" i="16"/>
  <c r="X196" i="16"/>
  <c r="X189" i="16"/>
  <c r="X1305" i="16"/>
  <c r="X1321" i="16"/>
  <c r="P1092" i="16"/>
  <c r="P964" i="16"/>
  <c r="P836" i="16"/>
  <c r="P708" i="16"/>
  <c r="P580" i="16"/>
  <c r="P452" i="16"/>
  <c r="P324" i="16"/>
  <c r="P3" i="16"/>
  <c r="P1122" i="16"/>
  <c r="P994" i="16"/>
  <c r="P866" i="16"/>
  <c r="P187" i="16"/>
  <c r="P1106" i="16"/>
  <c r="P978" i="16"/>
  <c r="P850" i="16"/>
  <c r="P722" i="16"/>
  <c r="P594" i="16"/>
  <c r="P1173" i="16"/>
  <c r="P1045" i="16"/>
  <c r="P917" i="16"/>
  <c r="P789" i="16"/>
  <c r="P661" i="16"/>
  <c r="P533" i="16"/>
  <c r="P405" i="16"/>
  <c r="P204" i="16"/>
  <c r="P76" i="16"/>
  <c r="P198" i="16"/>
  <c r="P6" i="16"/>
  <c r="P530" i="16"/>
  <c r="P466" i="16"/>
  <c r="P402" i="16"/>
  <c r="P338" i="16"/>
  <c r="P274" i="16"/>
  <c r="P210" i="16"/>
  <c r="P146" i="16"/>
  <c r="P82" i="16"/>
  <c r="P254" i="16"/>
  <c r="P190" i="16"/>
  <c r="P126" i="16"/>
  <c r="P62" i="16"/>
  <c r="P250" i="16"/>
  <c r="P186" i="16"/>
  <c r="P122" i="16"/>
  <c r="P58" i="16"/>
  <c r="T1198" i="16"/>
  <c r="T1166" i="16"/>
  <c r="T1262" i="16"/>
  <c r="T1246" i="16"/>
  <c r="T1268" i="16"/>
  <c r="T1249" i="16"/>
  <c r="T1185" i="16"/>
  <c r="T1121" i="16"/>
  <c r="T1057" i="16"/>
  <c r="T993" i="16"/>
  <c r="T929" i="16"/>
  <c r="T865" i="16"/>
  <c r="T801" i="16"/>
  <c r="T737" i="16"/>
  <c r="T673" i="16"/>
  <c r="T609" i="16"/>
  <c r="T545" i="16"/>
  <c r="T481" i="16"/>
  <c r="T417" i="16"/>
  <c r="T237" i="16"/>
  <c r="T377" i="16"/>
  <c r="T313" i="16"/>
  <c r="T249" i="16"/>
  <c r="T185" i="16"/>
  <c r="T119" i="16"/>
  <c r="T1296" i="16"/>
  <c r="T1299" i="16"/>
  <c r="T1329" i="16"/>
  <c r="T1313" i="16"/>
  <c r="T1297" i="16"/>
  <c r="T1331" i="16"/>
  <c r="T1315" i="16"/>
  <c r="T581" i="16"/>
  <c r="T453" i="16"/>
  <c r="T989" i="16"/>
  <c r="T861" i="16"/>
  <c r="T733" i="16"/>
  <c r="T477" i="16"/>
  <c r="T285" i="16"/>
  <c r="T1326" i="16"/>
  <c r="T1310" i="16"/>
  <c r="T1294" i="16"/>
  <c r="T1308" i="16"/>
  <c r="P738" i="16"/>
  <c r="P610" i="16"/>
  <c r="P1188" i="16"/>
  <c r="P1061" i="16"/>
  <c r="P933" i="16"/>
  <c r="P677" i="16"/>
  <c r="P549" i="16"/>
  <c r="P421" i="16"/>
  <c r="P165" i="16"/>
  <c r="P220" i="16"/>
  <c r="P92" i="16"/>
  <c r="P1103" i="16"/>
  <c r="P1039" i="16"/>
  <c r="P975" i="16"/>
  <c r="P911" i="16"/>
  <c r="P847" i="16"/>
  <c r="P783" i="16"/>
  <c r="P719" i="16"/>
  <c r="P655" i="16"/>
  <c r="P591" i="16"/>
  <c r="P527" i="16"/>
  <c r="P463" i="16"/>
  <c r="P399" i="16"/>
  <c r="P335" i="16"/>
  <c r="P271" i="16"/>
  <c r="P207" i="16"/>
  <c r="P1234" i="16"/>
  <c r="P1189" i="16"/>
  <c r="P1204" i="16"/>
  <c r="P189" i="16"/>
  <c r="P61" i="16"/>
  <c r="P1140" i="16"/>
  <c r="P1012" i="16"/>
  <c r="P884" i="16"/>
  <c r="P756" i="16"/>
  <c r="P628" i="16"/>
  <c r="P500" i="16"/>
  <c r="P372" i="16"/>
  <c r="P1170" i="16"/>
  <c r="P1042" i="16"/>
  <c r="P914" i="16"/>
  <c r="P786" i="16"/>
  <c r="P658" i="16"/>
  <c r="P1221" i="16"/>
  <c r="P1220" i="16"/>
  <c r="P853" i="16"/>
  <c r="P597" i="16"/>
  <c r="P469" i="16"/>
  <c r="P268" i="16"/>
  <c r="P140" i="16"/>
  <c r="P12" i="16"/>
  <c r="P167" i="16"/>
  <c r="P103" i="16"/>
  <c r="T1180" i="16"/>
  <c r="T1192" i="16"/>
  <c r="T1182" i="16"/>
  <c r="T1256" i="16"/>
  <c r="T1171" i="16"/>
  <c r="T972" i="16"/>
  <c r="T1214" i="16"/>
  <c r="T1099" i="16"/>
  <c r="T971" i="16"/>
  <c r="T843" i="16"/>
  <c r="T715" i="16"/>
  <c r="T587" i="16"/>
  <c r="T629" i="16"/>
  <c r="T501" i="16"/>
  <c r="T1281" i="16"/>
  <c r="T1217" i="16"/>
  <c r="T1153" i="16"/>
  <c r="T1089" i="16"/>
  <c r="T1025" i="16"/>
  <c r="T961" i="16"/>
  <c r="T897" i="16"/>
  <c r="T833" i="16"/>
  <c r="T769" i="16"/>
  <c r="T705" i="16"/>
  <c r="T1037" i="16"/>
  <c r="T909" i="16"/>
  <c r="T781" i="16"/>
  <c r="T653" i="16"/>
  <c r="T525" i="16"/>
  <c r="T333" i="16"/>
  <c r="T108" i="16"/>
  <c r="T1320" i="16"/>
  <c r="X1343" i="16"/>
  <c r="X1346" i="16"/>
  <c r="X1353" i="16"/>
  <c r="X1337" i="16"/>
  <c r="X1344" i="16"/>
  <c r="X1363" i="16"/>
  <c r="L1366" i="16"/>
  <c r="L1361" i="16"/>
  <c r="L1364" i="16"/>
  <c r="P1371" i="16"/>
  <c r="X1138" i="16"/>
  <c r="T1372" i="16"/>
  <c r="T1357" i="16"/>
  <c r="T1362" i="16"/>
  <c r="P1335" i="16"/>
  <c r="X1374" i="16"/>
  <c r="P1361" i="16"/>
  <c r="P1366" i="16"/>
  <c r="P1370" i="16"/>
  <c r="T1369" i="16"/>
  <c r="T1364" i="16"/>
  <c r="T1370" i="16"/>
  <c r="T1358" i="16"/>
  <c r="X1370" i="16"/>
  <c r="X1365" i="16"/>
  <c r="X1372" i="16"/>
  <c r="X1356" i="16"/>
  <c r="P1373" i="16"/>
  <c r="P1359" i="16"/>
  <c r="P1372" i="16"/>
  <c r="P1362" i="16"/>
  <c r="P1360" i="16"/>
  <c r="X1371" i="16"/>
  <c r="T1371" i="16"/>
  <c r="L1362" i="16"/>
  <c r="L1373" i="16"/>
  <c r="L1360" i="16"/>
  <c r="T1365" i="16"/>
  <c r="T1359" i="16"/>
  <c r="T1356" i="16"/>
  <c r="X1366" i="16"/>
  <c r="X1361" i="16"/>
  <c r="X1368" i="16"/>
  <c r="L1367" i="16"/>
  <c r="L1371" i="16"/>
  <c r="P1369" i="16"/>
  <c r="P1357" i="16"/>
  <c r="P1368" i="16"/>
  <c r="P1358" i="16"/>
  <c r="X1367" i="16"/>
  <c r="T1367" i="16"/>
  <c r="L1374" i="16"/>
  <c r="L1359" i="16"/>
  <c r="L1369" i="16"/>
  <c r="L1372" i="16"/>
  <c r="L1358" i="16"/>
  <c r="P1363" i="16"/>
  <c r="X1362" i="16"/>
  <c r="X1373" i="16"/>
  <c r="X1359" i="16"/>
  <c r="X1364" i="16"/>
  <c r="X1360" i="16"/>
  <c r="L1363" i="16"/>
  <c r="P1365" i="16"/>
  <c r="P1374" i="16"/>
  <c r="P1364" i="16"/>
  <c r="P1356" i="16"/>
  <c r="T1363" i="16"/>
  <c r="L1370" i="16"/>
  <c r="L1357" i="16"/>
  <c r="L1365" i="16"/>
  <c r="L1368" i="16"/>
  <c r="L1356" i="16"/>
  <c r="T1346" i="16"/>
  <c r="T1353" i="16"/>
  <c r="T1337" i="16"/>
  <c r="T1344" i="16"/>
  <c r="X1351" i="16"/>
  <c r="L1347" i="16"/>
  <c r="L1351" i="16"/>
  <c r="L1346" i="16"/>
  <c r="L1353" i="16"/>
  <c r="L1337" i="16"/>
  <c r="L1344" i="16"/>
  <c r="T1343" i="16"/>
  <c r="T1335" i="16"/>
  <c r="T1342" i="16"/>
  <c r="T1349" i="16"/>
  <c r="T1333" i="16"/>
  <c r="T1340" i="16"/>
  <c r="X1355" i="16"/>
  <c r="X1335" i="16"/>
  <c r="X1342" i="16"/>
  <c r="X1349" i="16"/>
  <c r="X1333" i="16"/>
  <c r="X1340" i="16"/>
  <c r="L1343" i="16"/>
  <c r="L1335" i="16"/>
  <c r="L1342" i="16"/>
  <c r="L1349" i="16"/>
  <c r="L1333" i="16"/>
  <c r="L1340" i="16"/>
  <c r="T1355" i="16"/>
  <c r="T1354" i="16"/>
  <c r="T1338" i="16"/>
  <c r="T1345" i="16"/>
  <c r="T1352" i="16"/>
  <c r="T1336" i="16"/>
  <c r="X1339" i="16"/>
  <c r="X1354" i="16"/>
  <c r="X1338" i="16"/>
  <c r="X1345" i="16"/>
  <c r="X1352" i="16"/>
  <c r="X1336" i="16"/>
  <c r="L1355" i="16"/>
  <c r="L1354" i="16"/>
  <c r="L1338" i="16"/>
  <c r="L1345" i="16"/>
  <c r="L1352" i="16"/>
  <c r="L1336" i="16"/>
  <c r="P1339" i="16"/>
  <c r="T1339" i="16"/>
  <c r="T1350" i="16"/>
  <c r="T1334" i="16"/>
  <c r="T1341" i="16"/>
  <c r="T1348" i="16"/>
  <c r="T1332" i="16"/>
  <c r="X1347" i="16"/>
  <c r="X1350" i="16"/>
  <c r="X1334" i="16"/>
  <c r="X1341" i="16"/>
  <c r="X1348" i="16"/>
  <c r="X1332" i="16"/>
  <c r="L1339" i="16"/>
  <c r="L1350" i="16"/>
  <c r="L1334" i="16"/>
  <c r="L1341" i="16"/>
  <c r="L1348" i="16"/>
  <c r="L1332" i="16"/>
  <c r="L1324" i="16"/>
  <c r="L1308" i="16"/>
  <c r="L1244" i="16"/>
  <c r="L1212" i="16"/>
  <c r="L1164" i="16"/>
  <c r="X325" i="16"/>
  <c r="X1269" i="16"/>
  <c r="X901" i="16"/>
  <c r="X1109" i="16"/>
  <c r="X38" i="16"/>
  <c r="X581" i="16"/>
  <c r="X1168" i="16"/>
  <c r="X1061" i="16"/>
  <c r="X798" i="16"/>
  <c r="X1038" i="16"/>
  <c r="X917" i="16"/>
  <c r="X1125" i="16"/>
  <c r="X1150" i="16"/>
  <c r="X1216" i="16"/>
  <c r="X674" i="16"/>
  <c r="X962" i="16"/>
  <c r="X450" i="16"/>
  <c r="X115" i="16"/>
  <c r="X1121" i="16"/>
  <c r="X865" i="16"/>
  <c r="X1095" i="16"/>
  <c r="L1292" i="16"/>
  <c r="L1260" i="16"/>
  <c r="L1228" i="16"/>
  <c r="L1196" i="16"/>
  <c r="L1148" i="16"/>
  <c r="X830" i="16"/>
  <c r="X766" i="16"/>
  <c r="X741" i="16"/>
  <c r="X768" i="16"/>
  <c r="X416" i="16"/>
  <c r="X50" i="16"/>
  <c r="X1022" i="16"/>
  <c r="X362" i="16"/>
  <c r="X458" i="16"/>
  <c r="X784" i="16"/>
  <c r="X490" i="16"/>
  <c r="X201" i="16"/>
  <c r="X706" i="16"/>
  <c r="X1255" i="16"/>
  <c r="X1191" i="16"/>
  <c r="X1036" i="16"/>
  <c r="X780" i="16"/>
  <c r="X609" i="16"/>
  <c r="X353" i="16"/>
  <c r="X265" i="16"/>
  <c r="X86" i="16"/>
  <c r="X226" i="16"/>
  <c r="X140" i="16"/>
  <c r="X839" i="16"/>
  <c r="X583" i="16"/>
  <c r="X82" i="16"/>
  <c r="X1234" i="16"/>
  <c r="X474" i="16"/>
  <c r="X1217" i="16"/>
  <c r="X1070" i="16"/>
  <c r="X426" i="16"/>
  <c r="X1120" i="16"/>
  <c r="X1180" i="16"/>
  <c r="X850" i="16"/>
  <c r="X594" i="16"/>
  <c r="X44" i="16"/>
  <c r="X924" i="16"/>
  <c r="X753" i="16"/>
  <c r="X497" i="16"/>
  <c r="X412" i="16"/>
  <c r="X1011" i="16"/>
  <c r="X883" i="16"/>
  <c r="X627" i="16"/>
  <c r="X499" i="16"/>
  <c r="X307" i="16"/>
  <c r="X63" i="16"/>
  <c r="X482" i="16"/>
  <c r="X1151" i="16"/>
  <c r="X812" i="16"/>
  <c r="X300" i="16"/>
  <c r="X173" i="16"/>
  <c r="X214" i="16"/>
  <c r="X191" i="16"/>
  <c r="X965" i="16"/>
  <c r="X452" i="16"/>
  <c r="X120" i="16"/>
  <c r="X946" i="16"/>
  <c r="X690" i="16"/>
  <c r="X434" i="16"/>
  <c r="X1105" i="16"/>
  <c r="X849" i="16"/>
  <c r="X593" i="16"/>
  <c r="X210" i="16"/>
  <c r="X166" i="16"/>
  <c r="X5" i="16"/>
  <c r="X1296" i="16"/>
  <c r="X1301" i="16"/>
  <c r="X1311" i="16"/>
  <c r="P617" i="16"/>
  <c r="P1152" i="16"/>
  <c r="P384" i="16"/>
  <c r="P1185" i="16"/>
  <c r="P417" i="16"/>
  <c r="P153" i="16"/>
  <c r="P688" i="16"/>
  <c r="P184" i="16"/>
  <c r="P721" i="16"/>
  <c r="P197" i="16"/>
  <c r="P1183" i="16"/>
  <c r="P159" i="16"/>
  <c r="P31" i="16"/>
  <c r="P1178" i="16"/>
  <c r="P969" i="16"/>
  <c r="P457" i="16"/>
  <c r="P201" i="16"/>
  <c r="P1227" i="16"/>
  <c r="P992" i="16"/>
  <c r="P736" i="16"/>
  <c r="P480" i="16"/>
  <c r="P224" i="16"/>
  <c r="P1232" i="16"/>
  <c r="P232" i="16"/>
  <c r="P1249" i="16"/>
  <c r="P1025" i="16"/>
  <c r="P769" i="16"/>
  <c r="P513" i="16"/>
  <c r="P48" i="16"/>
  <c r="P861" i="16"/>
  <c r="P477" i="16"/>
  <c r="P93" i="16"/>
  <c r="P1003" i="16"/>
  <c r="P875" i="16"/>
  <c r="P811" i="16"/>
  <c r="P107" i="16"/>
  <c r="P249" i="16"/>
  <c r="P1259" i="16"/>
  <c r="P1040" i="16"/>
  <c r="P784" i="16"/>
  <c r="P528" i="16"/>
  <c r="P272" i="16"/>
  <c r="P1264" i="16"/>
  <c r="P280" i="16"/>
  <c r="P1281" i="16"/>
  <c r="P1073" i="16"/>
  <c r="P817" i="16"/>
  <c r="P561" i="16"/>
  <c r="P305" i="16"/>
  <c r="P1013" i="16"/>
  <c r="P757" i="16"/>
  <c r="P629" i="16"/>
  <c r="P245" i="16"/>
  <c r="P117" i="16"/>
  <c r="P1143" i="16"/>
  <c r="P1079" i="16"/>
  <c r="P247" i="16"/>
  <c r="P183" i="16"/>
  <c r="P119" i="16"/>
  <c r="P55" i="16"/>
  <c r="P1274" i="16"/>
  <c r="P1210" i="16"/>
  <c r="P1098" i="16"/>
  <c r="P1014" i="16"/>
  <c r="P950" i="16"/>
  <c r="P886" i="16"/>
  <c r="P822" i="16"/>
  <c r="P758" i="16"/>
  <c r="P694" i="16"/>
  <c r="P630" i="16"/>
  <c r="P566" i="16"/>
  <c r="P502" i="16"/>
  <c r="P438" i="16"/>
  <c r="P374" i="16"/>
  <c r="P310" i="16"/>
  <c r="P246" i="16"/>
  <c r="P182" i="16"/>
  <c r="P118" i="16"/>
  <c r="P54" i="16"/>
  <c r="P1134" i="16"/>
  <c r="P1070" i="16"/>
  <c r="P1006" i="16"/>
  <c r="P942" i="16"/>
  <c r="P878" i="16"/>
  <c r="P814" i="16"/>
  <c r="P750" i="16"/>
  <c r="P686" i="16"/>
  <c r="P622" i="16"/>
  <c r="P558" i="16"/>
  <c r="P494" i="16"/>
  <c r="P430" i="16"/>
  <c r="P366" i="16"/>
  <c r="P302" i="16"/>
  <c r="P1303" i="16"/>
  <c r="T867" i="16"/>
  <c r="T355" i="16"/>
  <c r="T1096" i="16"/>
  <c r="T584" i="16"/>
  <c r="T1279" i="16"/>
  <c r="T295" i="16"/>
  <c r="T878" i="16"/>
  <c r="T1188" i="16"/>
  <c r="T1091" i="16"/>
  <c r="T579" i="16"/>
  <c r="T1280" i="16"/>
  <c r="T808" i="16"/>
  <c r="T296" i="16"/>
  <c r="T63" i="16"/>
  <c r="T990" i="16"/>
  <c r="T714" i="16"/>
  <c r="T803" i="16"/>
  <c r="T291" i="16"/>
  <c r="T1032" i="16"/>
  <c r="T520" i="16"/>
  <c r="T231" i="16"/>
  <c r="T1102" i="16"/>
  <c r="T846" i="16"/>
  <c r="T643" i="16"/>
  <c r="T131" i="16"/>
  <c r="T872" i="16"/>
  <c r="T360" i="16"/>
  <c r="T583" i="16"/>
  <c r="T1022" i="16"/>
  <c r="T1164" i="16"/>
  <c r="T1232" i="16"/>
  <c r="X92" i="16"/>
  <c r="X338" i="16"/>
  <c r="X668" i="16"/>
  <c r="X217" i="16"/>
  <c r="X1075" i="16"/>
  <c r="X755" i="16"/>
  <c r="X563" i="16"/>
  <c r="X156" i="16"/>
  <c r="X147" i="16"/>
  <c r="X312" i="16"/>
  <c r="X1215" i="16"/>
  <c r="X1119" i="16"/>
  <c r="X351" i="16"/>
  <c r="X105" i="16"/>
  <c r="X1266" i="16"/>
  <c r="X1233" i="16"/>
  <c r="X750" i="16"/>
  <c r="X1141" i="16"/>
  <c r="X570" i="16"/>
  <c r="X281" i="16"/>
  <c r="X349" i="16"/>
  <c r="X1020" i="16"/>
  <c r="X764" i="16"/>
  <c r="X6" i="16"/>
  <c r="X133" i="16"/>
  <c r="P361" i="16"/>
  <c r="P896" i="16"/>
  <c r="P128" i="16"/>
  <c r="P673" i="16"/>
  <c r="P1279" i="16"/>
  <c r="P944" i="16"/>
  <c r="P1200" i="16"/>
  <c r="P977" i="16"/>
  <c r="P24" i="16"/>
  <c r="P1262" i="16"/>
  <c r="L1128" i="16"/>
  <c r="L1080" i="16"/>
  <c r="L984" i="16"/>
  <c r="L968" i="16"/>
  <c r="L856" i="16"/>
  <c r="L336" i="16"/>
  <c r="L304" i="16"/>
  <c r="L252" i="16"/>
  <c r="L188" i="16"/>
  <c r="L124" i="16"/>
  <c r="L60" i="16"/>
  <c r="X182" i="16"/>
  <c r="X949" i="16"/>
  <c r="X528" i="16"/>
  <c r="X1106" i="16"/>
  <c r="X240" i="16"/>
  <c r="X1009" i="16"/>
  <c r="X326" i="16"/>
  <c r="X1139" i="16"/>
  <c r="X947" i="16"/>
  <c r="X819" i="16"/>
  <c r="X691" i="16"/>
  <c r="X435" i="16"/>
  <c r="X211" i="16"/>
  <c r="X1279" i="16"/>
  <c r="X1068" i="16"/>
  <c r="X897" i="16"/>
  <c r="X641" i="16"/>
  <c r="X385" i="16"/>
  <c r="X70" i="16"/>
  <c r="X287" i="16"/>
  <c r="X124" i="16"/>
  <c r="X41" i="16"/>
  <c r="X734" i="16"/>
  <c r="X560" i="16"/>
  <c r="X800" i="16"/>
  <c r="X622" i="16"/>
  <c r="X366" i="16"/>
  <c r="X258" i="16"/>
  <c r="X60" i="16"/>
  <c r="X69" i="16"/>
  <c r="X1298" i="16"/>
  <c r="X1327" i="16"/>
  <c r="P873" i="16"/>
  <c r="P640" i="16"/>
  <c r="P136" i="16"/>
  <c r="P929" i="16"/>
  <c r="P161" i="16"/>
  <c r="P1229" i="16"/>
  <c r="P432" i="16"/>
  <c r="P176" i="16"/>
  <c r="P1217" i="16"/>
  <c r="P465" i="16"/>
  <c r="P709" i="16"/>
  <c r="P69" i="16"/>
  <c r="P1119" i="16"/>
  <c r="P223" i="16"/>
  <c r="P95" i="16"/>
  <c r="P1050" i="16"/>
  <c r="P713" i="16"/>
  <c r="P1198" i="16"/>
  <c r="L540" i="16"/>
  <c r="L444" i="16"/>
  <c r="L380" i="16"/>
  <c r="L348" i="16"/>
  <c r="T1120" i="16"/>
  <c r="T992" i="16"/>
  <c r="T864" i="16"/>
  <c r="T736" i="16"/>
  <c r="T65" i="16"/>
  <c r="T1210" i="16"/>
  <c r="T1087" i="16"/>
  <c r="T959" i="16"/>
  <c r="T831" i="16"/>
  <c r="T703" i="16"/>
  <c r="T575" i="16"/>
  <c r="T447" i="16"/>
  <c r="T15" i="16"/>
  <c r="T1146" i="16"/>
  <c r="T1082" i="16"/>
  <c r="T1018" i="16"/>
  <c r="T954" i="16"/>
  <c r="T890" i="16"/>
  <c r="T826" i="16"/>
  <c r="T750" i="16"/>
  <c r="T666" i="16"/>
  <c r="T113" i="16"/>
  <c r="T1124" i="16"/>
  <c r="T307" i="16"/>
  <c r="T179" i="16"/>
  <c r="T1176" i="16"/>
  <c r="T1048" i="16"/>
  <c r="T920" i="16"/>
  <c r="T792" i="16"/>
  <c r="T664" i="16"/>
  <c r="T536" i="16"/>
  <c r="T408" i="16"/>
  <c r="T280" i="16"/>
  <c r="T152" i="16"/>
  <c r="T1247" i="16"/>
  <c r="T247" i="16"/>
  <c r="T702" i="16"/>
  <c r="T534" i="16"/>
  <c r="T619" i="16"/>
  <c r="T491" i="16"/>
  <c r="T363" i="16"/>
  <c r="T1104" i="16"/>
  <c r="T976" i="16"/>
  <c r="T848" i="16"/>
  <c r="T720" i="16"/>
  <c r="T1199" i="16"/>
  <c r="T1071" i="16"/>
  <c r="T943" i="16"/>
  <c r="T815" i="16"/>
  <c r="T687" i="16"/>
  <c r="T90" i="16"/>
  <c r="T654" i="16"/>
  <c r="T570" i="16"/>
  <c r="T470" i="16"/>
  <c r="T546" i="16"/>
  <c r="T482" i="16"/>
  <c r="T418" i="16"/>
  <c r="T354" i="16"/>
  <c r="T290" i="16"/>
  <c r="T226" i="16"/>
  <c r="T162" i="16"/>
  <c r="T1221" i="16"/>
  <c r="T1157" i="16"/>
  <c r="T1093" i="16"/>
  <c r="T1029" i="16"/>
  <c r="T965" i="16"/>
  <c r="T901" i="16"/>
  <c r="T837" i="16"/>
  <c r="T773" i="16"/>
  <c r="T709" i="16"/>
  <c r="T36" i="16"/>
  <c r="T494" i="16"/>
  <c r="T430" i="16"/>
  <c r="T366" i="16"/>
  <c r="T302" i="16"/>
  <c r="T238" i="16"/>
  <c r="T174" i="16"/>
  <c r="T105" i="16"/>
  <c r="T529" i="16"/>
  <c r="T465" i="16"/>
  <c r="T401" i="16"/>
  <c r="T337" i="16"/>
  <c r="T273" i="16"/>
  <c r="T209" i="16"/>
  <c r="T145" i="16"/>
  <c r="X848" i="16"/>
  <c r="X1250" i="16"/>
  <c r="X704" i="16"/>
  <c r="X997" i="16"/>
  <c r="X624" i="16"/>
  <c r="X1173" i="16"/>
  <c r="X1024" i="16"/>
  <c r="X677" i="16"/>
  <c r="X308" i="16"/>
  <c r="X1272" i="16"/>
  <c r="X1140" i="16"/>
  <c r="X832" i="16"/>
  <c r="X468" i="16"/>
  <c r="X297" i="16"/>
  <c r="X1264" i="16"/>
  <c r="X802" i="16"/>
  <c r="X672" i="16"/>
  <c r="X1040" i="16"/>
  <c r="X1221" i="16"/>
  <c r="X816" i="16"/>
  <c r="X725" i="16"/>
  <c r="X500" i="16"/>
  <c r="X329" i="16"/>
  <c r="X22" i="16"/>
  <c r="X866" i="16"/>
  <c r="X933" i="16"/>
  <c r="X773" i="16"/>
  <c r="X532" i="16"/>
  <c r="X361" i="16"/>
  <c r="X1184" i="16"/>
  <c r="X930" i="16"/>
  <c r="X1026" i="16"/>
  <c r="X770" i="16"/>
  <c r="X514" i="16"/>
  <c r="X417" i="16"/>
  <c r="X332" i="16"/>
  <c r="X28" i="16"/>
  <c r="X112" i="16"/>
  <c r="X1079" i="16"/>
  <c r="X823" i="16"/>
  <c r="X246" i="16"/>
  <c r="X161" i="16"/>
  <c r="X54" i="16"/>
  <c r="X1253" i="16"/>
  <c r="X522" i="16"/>
  <c r="X1170" i="16"/>
  <c r="X837" i="16"/>
  <c r="X304" i="16"/>
  <c r="X1077" i="16"/>
  <c r="X736" i="16"/>
  <c r="X442" i="16"/>
  <c r="X233" i="16"/>
  <c r="X35" i="16"/>
  <c r="X1242" i="16"/>
  <c r="X912" i="16"/>
  <c r="X1218" i="16"/>
  <c r="X432" i="16"/>
  <c r="X506" i="16"/>
  <c r="X436" i="16"/>
  <c r="X1240" i="16"/>
  <c r="X738" i="16"/>
  <c r="X244" i="16"/>
  <c r="X1232" i="16"/>
  <c r="X1058" i="16"/>
  <c r="X805" i="16"/>
  <c r="X1237" i="16"/>
  <c r="X1186" i="16"/>
  <c r="X538" i="16"/>
  <c r="X1282" i="16"/>
  <c r="X981" i="16"/>
  <c r="X592" i="16"/>
  <c r="X1256" i="16"/>
  <c r="X1122" i="16"/>
  <c r="X544" i="16"/>
  <c r="X960" i="16"/>
  <c r="X1280" i="16"/>
  <c r="X1152" i="16"/>
  <c r="X1090" i="16"/>
  <c r="X834" i="16"/>
  <c r="X578" i="16"/>
  <c r="X322" i="16"/>
  <c r="X2" i="16"/>
  <c r="X993" i="16"/>
  <c r="X737" i="16"/>
  <c r="X481" i="16"/>
  <c r="X310" i="16"/>
  <c r="X185" i="16"/>
  <c r="X184" i="16"/>
  <c r="X83" i="16"/>
  <c r="X1127" i="16"/>
  <c r="X999" i="16"/>
  <c r="X743" i="16"/>
  <c r="X225" i="16"/>
  <c r="X47" i="16"/>
  <c r="X1189" i="16"/>
  <c r="X1093" i="16"/>
  <c r="X752" i="16"/>
  <c r="X1281" i="16"/>
  <c r="X1153" i="16"/>
  <c r="X597" i="16"/>
  <c r="X864" i="16"/>
  <c r="X693" i="16"/>
  <c r="X569" i="16"/>
  <c r="X484" i="16"/>
  <c r="X313" i="16"/>
  <c r="X978" i="16"/>
  <c r="T1245" i="16"/>
  <c r="T1181" i="16"/>
  <c r="T1117" i="16"/>
  <c r="T605" i="16"/>
  <c r="T221" i="16"/>
  <c r="T361" i="16"/>
  <c r="T297" i="16"/>
  <c r="T233" i="16"/>
  <c r="T169" i="16"/>
  <c r="T98" i="16"/>
  <c r="T72" i="16"/>
  <c r="T8" i="16"/>
  <c r="T1292" i="16"/>
  <c r="T1295" i="16"/>
  <c r="T1325" i="16"/>
  <c r="T1309" i="16"/>
  <c r="T1293" i="16"/>
  <c r="T1327" i="16"/>
  <c r="T1311" i="16"/>
  <c r="X914" i="16"/>
  <c r="X658" i="16"/>
  <c r="X390" i="16"/>
  <c r="X76" i="16"/>
  <c r="X1059" i="16"/>
  <c r="X995" i="16"/>
  <c r="X931" i="16"/>
  <c r="X867" i="16"/>
  <c r="X803" i="16"/>
  <c r="X739" i="16"/>
  <c r="X675" i="16"/>
  <c r="X611" i="16"/>
  <c r="X483" i="16"/>
  <c r="X419" i="16"/>
  <c r="X355" i="16"/>
  <c r="X291" i="16"/>
  <c r="X220" i="16"/>
  <c r="X131" i="16"/>
  <c r="X195" i="16"/>
  <c r="X109" i="16"/>
  <c r="X45" i="16"/>
  <c r="X546" i="16"/>
  <c r="X449" i="16"/>
  <c r="X364" i="16"/>
  <c r="X278" i="16"/>
  <c r="X237" i="16"/>
  <c r="X1103" i="16"/>
  <c r="X608" i="16"/>
  <c r="X1202" i="16"/>
  <c r="X880" i="16"/>
  <c r="X384" i="16"/>
  <c r="X928" i="16"/>
  <c r="X757" i="16"/>
  <c r="X516" i="16"/>
  <c r="X1010" i="16"/>
  <c r="X754" i="16"/>
  <c r="X498" i="16"/>
  <c r="X1163" i="16"/>
  <c r="X401" i="16"/>
  <c r="X316" i="16"/>
  <c r="X268" i="16"/>
  <c r="X1131" i="16"/>
  <c r="X1067" i="16"/>
  <c r="X1003" i="16"/>
  <c r="X939" i="16"/>
  <c r="X875" i="16"/>
  <c r="X811" i="16"/>
  <c r="X747" i="16"/>
  <c r="X683" i="16"/>
  <c r="X619" i="16"/>
  <c r="X555" i="16"/>
  <c r="X230" i="16"/>
  <c r="X52" i="16"/>
  <c r="X1285" i="16"/>
  <c r="X1314" i="16"/>
  <c r="X1328" i="16"/>
  <c r="X1312" i="16"/>
  <c r="P809" i="16"/>
  <c r="P553" i="16"/>
  <c r="P297" i="16"/>
  <c r="P1088" i="16"/>
  <c r="P832" i="16"/>
  <c r="P576" i="16"/>
  <c r="P320" i="16"/>
  <c r="P64" i="16"/>
  <c r="P72" i="16"/>
  <c r="P1121" i="16"/>
  <c r="P865" i="16"/>
  <c r="P609" i="16"/>
  <c r="P353" i="16"/>
  <c r="P97" i="16"/>
  <c r="P1257" i="16"/>
  <c r="P269" i="16"/>
  <c r="P141" i="16"/>
  <c r="P13" i="16"/>
  <c r="P1155" i="16"/>
  <c r="P1091" i="16"/>
  <c r="P1027" i="16"/>
  <c r="P963" i="16"/>
  <c r="P899" i="16"/>
  <c r="P835" i="16"/>
  <c r="P771" i="16"/>
  <c r="P707" i="16"/>
  <c r="P643" i="16"/>
  <c r="P579" i="16"/>
  <c r="P515" i="16"/>
  <c r="P451" i="16"/>
  <c r="P387" i="16"/>
  <c r="P323" i="16"/>
  <c r="P1136" i="16"/>
  <c r="P880" i="16"/>
  <c r="P624" i="16"/>
  <c r="P368" i="16"/>
  <c r="P112" i="16"/>
  <c r="P120" i="16"/>
  <c r="P1169" i="16"/>
  <c r="P913" i="16"/>
  <c r="P657" i="16"/>
  <c r="P401" i="16"/>
  <c r="P805" i="16"/>
  <c r="P293" i="16"/>
  <c r="P1167" i="16"/>
  <c r="P143" i="16"/>
  <c r="P79" i="16"/>
  <c r="P15" i="16"/>
  <c r="P905" i="16"/>
  <c r="P649" i="16"/>
  <c r="P393" i="16"/>
  <c r="P1184" i="16"/>
  <c r="P928" i="16"/>
  <c r="P672" i="16"/>
  <c r="P416" i="16"/>
  <c r="P160" i="16"/>
  <c r="P168" i="16"/>
  <c r="P961" i="16"/>
  <c r="P705" i="16"/>
  <c r="P449" i="16"/>
  <c r="P193" i="16"/>
  <c r="P16" i="16"/>
  <c r="P923" i="16"/>
  <c r="P731" i="16"/>
  <c r="P667" i="16"/>
  <c r="P539" i="16"/>
  <c r="P475" i="16"/>
  <c r="P1246" i="16"/>
  <c r="P1201" i="16"/>
  <c r="P185" i="16"/>
  <c r="P1216" i="16"/>
  <c r="P976" i="16"/>
  <c r="P720" i="16"/>
  <c r="P464" i="16"/>
  <c r="P208" i="16"/>
  <c r="P216" i="16"/>
  <c r="P1239" i="16"/>
  <c r="P1009" i="16"/>
  <c r="P753" i="16"/>
  <c r="P497" i="16"/>
  <c r="P40" i="16"/>
  <c r="P725" i="16"/>
  <c r="P341" i="16"/>
  <c r="P231" i="16"/>
  <c r="P998" i="16"/>
  <c r="P934" i="16"/>
  <c r="P870" i="16"/>
  <c r="P806" i="16"/>
  <c r="P742" i="16"/>
  <c r="P678" i="16"/>
  <c r="P614" i="16"/>
  <c r="P550" i="16"/>
  <c r="P486" i="16"/>
  <c r="P422" i="16"/>
  <c r="P358" i="16"/>
  <c r="P294" i="16"/>
  <c r="P166" i="16"/>
  <c r="P38" i="16"/>
  <c r="P1182" i="16"/>
  <c r="P1118" i="16"/>
  <c r="P1054" i="16"/>
  <c r="P990" i="16"/>
  <c r="P926" i="16"/>
  <c r="P862" i="16"/>
  <c r="P798" i="16"/>
  <c r="P734" i="16"/>
  <c r="P670" i="16"/>
  <c r="P606" i="16"/>
  <c r="P542" i="16"/>
  <c r="P478" i="16"/>
  <c r="P414" i="16"/>
  <c r="P350" i="16"/>
  <c r="P286" i="16"/>
  <c r="X722" i="16"/>
  <c r="X466" i="16"/>
  <c r="X1267" i="16"/>
  <c r="X1203" i="16"/>
  <c r="X1137" i="16"/>
  <c r="X881" i="16"/>
  <c r="X625" i="16"/>
  <c r="X284" i="16"/>
  <c r="X242" i="16"/>
  <c r="X48" i="16"/>
  <c r="X1043" i="16"/>
  <c r="X979" i="16"/>
  <c r="X915" i="16"/>
  <c r="X851" i="16"/>
  <c r="X787" i="16"/>
  <c r="X723" i="16"/>
  <c r="X659" i="16"/>
  <c r="X595" i="16"/>
  <c r="X531" i="16"/>
  <c r="X467" i="16"/>
  <c r="X403" i="16"/>
  <c r="X339" i="16"/>
  <c r="X275" i="16"/>
  <c r="X198" i="16"/>
  <c r="X243" i="16"/>
  <c r="X179" i="16"/>
  <c r="X610" i="16"/>
  <c r="X354" i="16"/>
  <c r="X1247" i="16"/>
  <c r="X1183" i="16"/>
  <c r="X1025" i="16"/>
  <c r="X769" i="16"/>
  <c r="X513" i="16"/>
  <c r="X342" i="16"/>
  <c r="X249" i="16"/>
  <c r="X56" i="16"/>
  <c r="X12" i="16"/>
  <c r="X319" i="16"/>
  <c r="X255" i="16"/>
  <c r="X67" i="16"/>
  <c r="X223" i="16"/>
  <c r="X159" i="16"/>
  <c r="X79" i="16"/>
  <c r="X137" i="16"/>
  <c r="X73" i="16"/>
  <c r="X9" i="16"/>
  <c r="X1136" i="16"/>
  <c r="X640" i="16"/>
  <c r="X1056" i="16"/>
  <c r="X885" i="16"/>
  <c r="X400" i="16"/>
  <c r="X1220" i="16"/>
  <c r="X1074" i="16"/>
  <c r="X818" i="16"/>
  <c r="X562" i="16"/>
  <c r="X306" i="16"/>
  <c r="X176" i="16"/>
  <c r="X465" i="16"/>
  <c r="X294" i="16"/>
  <c r="X153" i="16"/>
  <c r="X252" i="16"/>
  <c r="X539" i="16"/>
  <c r="X118" i="16"/>
  <c r="X3" i="16"/>
  <c r="X116" i="16"/>
  <c r="X31" i="16"/>
  <c r="X1304" i="16"/>
  <c r="X1288" i="16"/>
  <c r="X1306" i="16"/>
  <c r="X1317" i="16"/>
  <c r="X1319" i="16"/>
  <c r="P1233" i="16"/>
  <c r="P1001" i="16"/>
  <c r="P745" i="16"/>
  <c r="P489" i="16"/>
  <c r="P233" i="16"/>
  <c r="P1248" i="16"/>
  <c r="P1024" i="16"/>
  <c r="P768" i="16"/>
  <c r="P512" i="16"/>
  <c r="P256" i="16"/>
  <c r="P264" i="16"/>
  <c r="P1057" i="16"/>
  <c r="P801" i="16"/>
  <c r="P545" i="16"/>
  <c r="P289" i="16"/>
  <c r="P1187" i="16"/>
  <c r="P1265" i="16"/>
  <c r="P1280" i="16"/>
  <c r="P1072" i="16"/>
  <c r="P816" i="16"/>
  <c r="P560" i="16"/>
  <c r="P304" i="16"/>
  <c r="P33" i="16"/>
  <c r="P1105" i="16"/>
  <c r="P849" i="16"/>
  <c r="P593" i="16"/>
  <c r="P337" i="16"/>
  <c r="P81" i="16"/>
  <c r="P5" i="16"/>
  <c r="P1151" i="16"/>
  <c r="P1087" i="16"/>
  <c r="P1023" i="16"/>
  <c r="P959" i="16"/>
  <c r="P895" i="16"/>
  <c r="P831" i="16"/>
  <c r="P767" i="16"/>
  <c r="P703" i="16"/>
  <c r="P639" i="16"/>
  <c r="P575" i="16"/>
  <c r="P511" i="16"/>
  <c r="P447" i="16"/>
  <c r="P383" i="16"/>
  <c r="P319" i="16"/>
  <c r="P127" i="16"/>
  <c r="P63" i="16"/>
  <c r="P841" i="16"/>
  <c r="P585" i="16"/>
  <c r="P329" i="16"/>
  <c r="P1120" i="16"/>
  <c r="P864" i="16"/>
  <c r="P608" i="16"/>
  <c r="P352" i="16"/>
  <c r="P96" i="16"/>
  <c r="P104" i="16"/>
  <c r="P1153" i="16"/>
  <c r="P897" i="16"/>
  <c r="P641" i="16"/>
  <c r="P385" i="16"/>
  <c r="P29" i="16"/>
  <c r="P1219" i="16"/>
  <c r="P1163" i="16"/>
  <c r="P1099" i="16"/>
  <c r="P1035" i="16"/>
  <c r="P843" i="16"/>
  <c r="P651" i="16"/>
  <c r="P459" i="16"/>
  <c r="P331" i="16"/>
  <c r="P75" i="16"/>
  <c r="P1230" i="16"/>
  <c r="P121" i="16"/>
  <c r="P1168" i="16"/>
  <c r="P912" i="16"/>
  <c r="P656" i="16"/>
  <c r="P400" i="16"/>
  <c r="P144" i="16"/>
  <c r="P152" i="16"/>
  <c r="P945" i="16"/>
  <c r="P689" i="16"/>
  <c r="P433" i="16"/>
  <c r="P177" i="16"/>
  <c r="P8" i="16"/>
  <c r="P949" i="16"/>
  <c r="P821" i="16"/>
  <c r="P565" i="16"/>
  <c r="P309" i="16"/>
  <c r="P53" i="16"/>
  <c r="P1175" i="16"/>
  <c r="P1111" i="16"/>
  <c r="P1047" i="16"/>
  <c r="P983" i="16"/>
  <c r="P919" i="16"/>
  <c r="P855" i="16"/>
  <c r="P791" i="16"/>
  <c r="P30" i="16"/>
  <c r="P26" i="16"/>
  <c r="P1296" i="16"/>
  <c r="P1329" i="16"/>
  <c r="P1313" i="16"/>
  <c r="P1328" i="16"/>
  <c r="P1312" i="16"/>
  <c r="P1297" i="16"/>
  <c r="T54" i="16"/>
  <c r="T739" i="16"/>
  <c r="T227" i="16"/>
  <c r="T968" i="16"/>
  <c r="T456" i="16"/>
  <c r="T167" i="16"/>
  <c r="T1070" i="16"/>
  <c r="T814" i="16"/>
  <c r="T963" i="16"/>
  <c r="T451" i="16"/>
  <c r="T680" i="16"/>
  <c r="T168" i="16"/>
  <c r="T926" i="16"/>
  <c r="T675" i="16"/>
  <c r="T163" i="16"/>
  <c r="T904" i="16"/>
  <c r="T392" i="16"/>
  <c r="T81" i="16"/>
  <c r="T1038" i="16"/>
  <c r="T1027" i="16"/>
  <c r="T515" i="16"/>
  <c r="T744" i="16"/>
  <c r="T232" i="16"/>
  <c r="T958" i="16"/>
  <c r="T670" i="16"/>
  <c r="T1228" i="16"/>
  <c r="T49" i="16"/>
  <c r="T1088" i="16"/>
  <c r="T960" i="16"/>
  <c r="T832" i="16"/>
  <c r="T704" i="16"/>
  <c r="T1274" i="16"/>
  <c r="T1183" i="16"/>
  <c r="T1055" i="16"/>
  <c r="T927" i="16"/>
  <c r="T799" i="16"/>
  <c r="T671" i="16"/>
  <c r="T543" i="16"/>
  <c r="T415" i="16"/>
  <c r="T79" i="16"/>
  <c r="P727" i="16"/>
  <c r="P663" i="16"/>
  <c r="P599" i="16"/>
  <c r="P535" i="16"/>
  <c r="P471" i="16"/>
  <c r="P407" i="16"/>
  <c r="P343" i="16"/>
  <c r="P1046" i="16"/>
  <c r="P982" i="16"/>
  <c r="P918" i="16"/>
  <c r="P854" i="16"/>
  <c r="P790" i="16"/>
  <c r="P726" i="16"/>
  <c r="P662" i="16"/>
  <c r="P598" i="16"/>
  <c r="P534" i="16"/>
  <c r="P470" i="16"/>
  <c r="P406" i="16"/>
  <c r="P342" i="16"/>
  <c r="P278" i="16"/>
  <c r="P214" i="16"/>
  <c r="P150" i="16"/>
  <c r="P226" i="16"/>
  <c r="P162" i="16"/>
  <c r="P98" i="16"/>
  <c r="P1166" i="16"/>
  <c r="P1102" i="16"/>
  <c r="P1038" i="16"/>
  <c r="P974" i="16"/>
  <c r="P910" i="16"/>
  <c r="P846" i="16"/>
  <c r="P782" i="16"/>
  <c r="P718" i="16"/>
  <c r="P654" i="16"/>
  <c r="P590" i="16"/>
  <c r="P526" i="16"/>
  <c r="P462" i="16"/>
  <c r="P398" i="16"/>
  <c r="P334" i="16"/>
  <c r="P270" i="16"/>
  <c r="P206" i="16"/>
  <c r="P142" i="16"/>
  <c r="P78" i="16"/>
  <c r="P266" i="16"/>
  <c r="P202" i="16"/>
  <c r="P138" i="16"/>
  <c r="P74" i="16"/>
  <c r="P1326" i="16"/>
  <c r="P1310" i="16"/>
  <c r="P1294" i="16"/>
  <c r="T611" i="16"/>
  <c r="T840" i="16"/>
  <c r="T328" i="16"/>
  <c r="T1006" i="16"/>
  <c r="T734" i="16"/>
  <c r="T835" i="16"/>
  <c r="T323" i="16"/>
  <c r="T1064" i="16"/>
  <c r="T552" i="16"/>
  <c r="T1258" i="16"/>
  <c r="T263" i="16"/>
  <c r="T862" i="16"/>
  <c r="T542" i="16"/>
  <c r="T1059" i="16"/>
  <c r="T547" i="16"/>
  <c r="T776" i="16"/>
  <c r="T264" i="16"/>
  <c r="T974" i="16"/>
  <c r="T899" i="16"/>
  <c r="T387" i="16"/>
  <c r="T616" i="16"/>
  <c r="T327" i="16"/>
  <c r="T894" i="16"/>
  <c r="T1184" i="16"/>
  <c r="T1056" i="16"/>
  <c r="T928" i="16"/>
  <c r="T800" i="16"/>
  <c r="T672" i="16"/>
  <c r="T1252" i="16"/>
  <c r="T1151" i="16"/>
  <c r="T1023" i="16"/>
  <c r="T895" i="16"/>
  <c r="T767" i="16"/>
  <c r="T639" i="16"/>
  <c r="T511" i="16"/>
  <c r="T1194" i="16"/>
  <c r="T1130" i="16"/>
  <c r="T558" i="16"/>
  <c r="T1240" i="16"/>
  <c r="T403" i="16"/>
  <c r="T275" i="16"/>
  <c r="T147" i="16"/>
  <c r="T1248" i="16"/>
  <c r="T1016" i="16"/>
  <c r="T888" i="16"/>
  <c r="T760" i="16"/>
  <c r="T632" i="16"/>
  <c r="T504" i="16"/>
  <c r="T376" i="16"/>
  <c r="T248" i="16"/>
  <c r="T118" i="16"/>
  <c r="T1226" i="16"/>
  <c r="T343" i="16"/>
  <c r="T215" i="16"/>
  <c r="T31" i="16"/>
  <c r="T766" i="16"/>
  <c r="T598" i="16"/>
  <c r="T459" i="16"/>
  <c r="T1072" i="16"/>
  <c r="T944" i="16"/>
  <c r="T816" i="16"/>
  <c r="T688" i="16"/>
  <c r="T1263" i="16"/>
  <c r="T1167" i="16"/>
  <c r="T1039" i="16"/>
  <c r="T911" i="16"/>
  <c r="T783" i="16"/>
  <c r="T655" i="16"/>
  <c r="T718" i="16"/>
  <c r="T1269" i="16"/>
  <c r="T1205" i="16"/>
  <c r="T1141" i="16"/>
  <c r="T1013" i="16"/>
  <c r="T885" i="16"/>
  <c r="T757" i="16"/>
  <c r="T478" i="16"/>
  <c r="T414" i="16"/>
  <c r="T350" i="16"/>
  <c r="T286" i="16"/>
  <c r="T222" i="16"/>
  <c r="T158" i="16"/>
  <c r="T641" i="16"/>
  <c r="T577" i="16"/>
  <c r="T513" i="16"/>
  <c r="T449" i="16"/>
  <c r="T385" i="16"/>
  <c r="T321" i="16"/>
  <c r="T257" i="16"/>
  <c r="T193" i="16"/>
  <c r="T129" i="16"/>
  <c r="T96" i="16"/>
  <c r="T99" i="16"/>
  <c r="T14" i="16"/>
  <c r="T1229" i="16"/>
  <c r="T1165" i="16"/>
  <c r="T269" i="16"/>
  <c r="T438" i="16"/>
  <c r="T374" i="16"/>
  <c r="T310" i="16"/>
  <c r="T246" i="16"/>
  <c r="T182" i="16"/>
  <c r="T115" i="16"/>
  <c r="T30" i="16"/>
  <c r="T1113" i="16"/>
  <c r="T1049" i="16"/>
  <c r="T985" i="16"/>
  <c r="T921" i="16"/>
  <c r="T857" i="16"/>
  <c r="T793" i="16"/>
  <c r="T729" i="16"/>
  <c r="T665" i="16"/>
  <c r="T601" i="16"/>
  <c r="T537" i="16"/>
  <c r="T473" i="16"/>
  <c r="T120" i="16"/>
  <c r="T56" i="16"/>
  <c r="T1304" i="16"/>
  <c r="T1322" i="16"/>
  <c r="T1306" i="16"/>
  <c r="T1290" i="16"/>
  <c r="T58" i="16"/>
  <c r="T1178" i="16"/>
  <c r="T622" i="16"/>
  <c r="T97" i="16"/>
  <c r="T371" i="16"/>
  <c r="T243" i="16"/>
  <c r="T1112" i="16"/>
  <c r="T984" i="16"/>
  <c r="T856" i="16"/>
  <c r="T728" i="16"/>
  <c r="T600" i="16"/>
  <c r="T472" i="16"/>
  <c r="T344" i="16"/>
  <c r="T216" i="16"/>
  <c r="T311" i="16"/>
  <c r="T183" i="16"/>
  <c r="T95" i="16"/>
  <c r="T10" i="16"/>
  <c r="T574" i="16"/>
  <c r="T33" i="16"/>
  <c r="T555" i="16"/>
  <c r="T427" i="16"/>
  <c r="T1168" i="16"/>
  <c r="T1040" i="16"/>
  <c r="T912" i="16"/>
  <c r="T784" i="16"/>
  <c r="T1242" i="16"/>
  <c r="T1135" i="16"/>
  <c r="T1007" i="16"/>
  <c r="T879" i="16"/>
  <c r="T751" i="16"/>
  <c r="T47" i="16"/>
  <c r="T782" i="16"/>
  <c r="T526" i="16"/>
  <c r="T514" i="16"/>
  <c r="T450" i="16"/>
  <c r="T386" i="16"/>
  <c r="T46" i="16"/>
  <c r="T1253" i="16"/>
  <c r="T1189" i="16"/>
  <c r="T1125" i="16"/>
  <c r="T1061" i="16"/>
  <c r="T997" i="16"/>
  <c r="T933" i="16"/>
  <c r="T869" i="16"/>
  <c r="T805" i="16"/>
  <c r="T741" i="16"/>
  <c r="T677" i="16"/>
  <c r="T613" i="16"/>
  <c r="T549" i="16"/>
  <c r="T421" i="16"/>
  <c r="T7" i="16"/>
  <c r="T68" i="16"/>
  <c r="T4" i="16"/>
  <c r="T462" i="16"/>
  <c r="T398" i="16"/>
  <c r="T334" i="16"/>
  <c r="T270" i="16"/>
  <c r="T206" i="16"/>
  <c r="T142" i="16"/>
  <c r="T369" i="16"/>
  <c r="T305" i="16"/>
  <c r="T241" i="16"/>
  <c r="T177" i="16"/>
  <c r="T23" i="16"/>
  <c r="T78" i="16"/>
  <c r="T1277" i="16"/>
  <c r="T1213" i="16"/>
  <c r="T1149" i="16"/>
  <c r="T1085" i="16"/>
  <c r="T957" i="16"/>
  <c r="T829" i="16"/>
  <c r="T701" i="16"/>
  <c r="T573" i="16"/>
  <c r="T445" i="16"/>
  <c r="T317" i="16"/>
  <c r="T39" i="16"/>
  <c r="T94" i="16"/>
  <c r="T55" i="16"/>
  <c r="T104" i="16"/>
  <c r="T1317" i="16"/>
  <c r="T1316" i="16"/>
  <c r="T1301" i="16"/>
  <c r="T1285" i="16"/>
  <c r="L1140" i="16"/>
  <c r="L996" i="16"/>
  <c r="L900" i="16"/>
  <c r="L572" i="16"/>
  <c r="L476" i="16"/>
  <c r="L248" i="16"/>
  <c r="L184" i="16"/>
  <c r="L120" i="16"/>
  <c r="X1054" i="16"/>
  <c r="X1246" i="16"/>
  <c r="X606" i="16"/>
  <c r="X261" i="16"/>
  <c r="X782" i="16"/>
  <c r="X638" i="16"/>
  <c r="X702" i="16"/>
  <c r="X1102" i="16"/>
  <c r="X1278" i="16"/>
  <c r="X781" i="16"/>
  <c r="X318" i="16"/>
  <c r="X749" i="16"/>
  <c r="X652" i="16"/>
  <c r="X352" i="16"/>
  <c r="X814" i="16"/>
  <c r="X245" i="16"/>
  <c r="X654" i="16"/>
  <c r="X1276" i="16"/>
  <c r="X1148" i="16"/>
  <c r="X637" i="16"/>
  <c r="X381" i="16"/>
  <c r="X796" i="16"/>
  <c r="X940" i="16"/>
  <c r="X428" i="16"/>
  <c r="X1023" i="16"/>
  <c r="X895" i="16"/>
  <c r="X767" i="16"/>
  <c r="X575" i="16"/>
  <c r="X447" i="16"/>
  <c r="X172" i="16"/>
  <c r="X1006" i="16"/>
  <c r="X494" i="16"/>
  <c r="X989" i="16"/>
  <c r="X648" i="16"/>
  <c r="X477" i="16"/>
  <c r="X1275" i="16"/>
  <c r="X1211" i="16"/>
  <c r="X892" i="16"/>
  <c r="X721" i="16"/>
  <c r="X380" i="16"/>
  <c r="X168" i="16"/>
  <c r="X1115" i="16"/>
  <c r="X987" i="16"/>
  <c r="X859" i="16"/>
  <c r="X731" i="16"/>
  <c r="X603" i="16"/>
  <c r="X283" i="16"/>
  <c r="X187" i="16"/>
  <c r="X101" i="16"/>
  <c r="X1297" i="16"/>
  <c r="X1326" i="16"/>
  <c r="X1308" i="16"/>
  <c r="P1133" i="16"/>
  <c r="P877" i="16"/>
  <c r="P621" i="16"/>
  <c r="P365" i="16"/>
  <c r="P164" i="16"/>
  <c r="P1139" i="16"/>
  <c r="P1011" i="16"/>
  <c r="P883" i="16"/>
  <c r="P691" i="16"/>
  <c r="P627" i="16"/>
  <c r="P499" i="16"/>
  <c r="P371" i="16"/>
  <c r="P243" i="16"/>
  <c r="P115" i="16"/>
  <c r="P261" i="16"/>
  <c r="P1084" i="16"/>
  <c r="P828" i="16"/>
  <c r="P572" i="16"/>
  <c r="P316" i="16"/>
  <c r="P1114" i="16"/>
  <c r="P858" i="16"/>
  <c r="P73" i="16"/>
  <c r="P1181" i="16"/>
  <c r="P925" i="16"/>
  <c r="P669" i="16"/>
  <c r="P413" i="16"/>
  <c r="P157" i="16"/>
  <c r="P212" i="16"/>
  <c r="P139" i="16"/>
  <c r="P11" i="16"/>
  <c r="P1196" i="16"/>
  <c r="P1199" i="16"/>
  <c r="P181" i="16"/>
  <c r="P1132" i="16"/>
  <c r="P748" i="16"/>
  <c r="P492" i="16"/>
  <c r="P1162" i="16"/>
  <c r="P906" i="16"/>
  <c r="P650" i="16"/>
  <c r="P1110" i="16"/>
  <c r="P86" i="16"/>
  <c r="T1060" i="16"/>
  <c r="L1008" i="16"/>
  <c r="L912" i="16"/>
  <c r="L896" i="16"/>
  <c r="X958" i="16"/>
  <c r="X496" i="16"/>
  <c r="X448" i="16"/>
  <c r="X1229" i="16"/>
  <c r="X586" i="16"/>
  <c r="X1108" i="16"/>
  <c r="X1162" i="16"/>
  <c r="X826" i="16"/>
  <c r="X974" i="16"/>
  <c r="X1182" i="16"/>
  <c r="X288" i="16"/>
  <c r="X108" i="16"/>
  <c r="X464" i="16"/>
  <c r="X382" i="16"/>
  <c r="X158" i="16"/>
  <c r="X973" i="16"/>
  <c r="X1146" i="16"/>
  <c r="X1245" i="16"/>
  <c r="X1194" i="16"/>
  <c r="X926" i="16"/>
  <c r="X254" i="16"/>
  <c r="X1214" i="16"/>
  <c r="X414" i="16"/>
  <c r="X222" i="16"/>
  <c r="X1224" i="16"/>
  <c r="X1037" i="16"/>
  <c r="X696" i="16"/>
  <c r="X910" i="16"/>
  <c r="X446" i="16"/>
  <c r="X1101" i="16"/>
  <c r="X760" i="16"/>
  <c r="X1069" i="16"/>
  <c r="X984" i="16"/>
  <c r="X813" i="16"/>
  <c r="X728" i="16"/>
  <c r="X557" i="16"/>
  <c r="X386" i="16"/>
  <c r="X165" i="16"/>
  <c r="X1057" i="16"/>
  <c r="X972" i="16"/>
  <c r="X801" i="16"/>
  <c r="X716" i="16"/>
  <c r="X460" i="16"/>
  <c r="X142" i="16"/>
  <c r="X248" i="16"/>
  <c r="X162" i="16"/>
  <c r="X1111" i="16"/>
  <c r="X855" i="16"/>
  <c r="X599" i="16"/>
  <c r="X110" i="16"/>
  <c r="X111" i="16"/>
  <c r="X1118" i="16"/>
  <c r="X1249" i="16"/>
  <c r="X942" i="16"/>
  <c r="X512" i="16"/>
  <c r="X270" i="16"/>
  <c r="X462" i="16"/>
  <c r="X377" i="16"/>
  <c r="X292" i="16"/>
  <c r="X1260" i="16"/>
  <c r="X1196" i="16"/>
  <c r="X1128" i="16"/>
  <c r="X957" i="16"/>
  <c r="X872" i="16"/>
  <c r="X701" i="16"/>
  <c r="X616" i="16"/>
  <c r="X445" i="16"/>
  <c r="X360" i="16"/>
  <c r="X274" i="16"/>
  <c r="X1251" i="16"/>
  <c r="X1187" i="16"/>
  <c r="X1116" i="16"/>
  <c r="X945" i="16"/>
  <c r="X860" i="16"/>
  <c r="X689" i="16"/>
  <c r="X604" i="16"/>
  <c r="X518" i="16"/>
  <c r="X221" i="16"/>
  <c r="X75" i="16"/>
  <c r="X589" i="16"/>
  <c r="X418" i="16"/>
  <c r="X229" i="16"/>
  <c r="X30" i="16"/>
  <c r="X1089" i="16"/>
  <c r="X1004" i="16"/>
  <c r="X833" i="16"/>
  <c r="X748" i="16"/>
  <c r="X577" i="16"/>
  <c r="X492" i="16"/>
  <c r="X206" i="16"/>
  <c r="X194" i="16"/>
  <c r="X98" i="16"/>
  <c r="X1135" i="16"/>
  <c r="X1071" i="16"/>
  <c r="X1007" i="16"/>
  <c r="X943" i="16"/>
  <c r="X879" i="16"/>
  <c r="X815" i="16"/>
  <c r="X751" i="16"/>
  <c r="X687" i="16"/>
  <c r="X623" i="16"/>
  <c r="X559" i="16"/>
  <c r="X495" i="16"/>
  <c r="X431" i="16"/>
  <c r="X303" i="16"/>
  <c r="X236" i="16"/>
  <c r="X207" i="16"/>
  <c r="X143" i="16"/>
  <c r="X1050" i="16"/>
  <c r="X1265" i="16"/>
  <c r="X1134" i="16"/>
  <c r="X160" i="16"/>
  <c r="X842" i="16"/>
  <c r="X558" i="16"/>
  <c r="X302" i="16"/>
  <c r="X1268" i="16"/>
  <c r="X1053" i="16"/>
  <c r="X968" i="16"/>
  <c r="X797" i="16"/>
  <c r="X712" i="16"/>
  <c r="X541" i="16"/>
  <c r="X370" i="16"/>
  <c r="X285" i="16"/>
  <c r="X130" i="16"/>
  <c r="X1259" i="16"/>
  <c r="X1041" i="16"/>
  <c r="X956" i="16"/>
  <c r="X785" i="16"/>
  <c r="X700" i="16"/>
  <c r="X444" i="16"/>
  <c r="X358" i="16"/>
  <c r="X273" i="16"/>
  <c r="X232" i="16"/>
  <c r="X146" i="16"/>
  <c r="X34" i="16"/>
  <c r="X523" i="16"/>
  <c r="X331" i="16"/>
  <c r="X267" i="16"/>
  <c r="X88" i="16"/>
  <c r="X235" i="16"/>
  <c r="X171" i="16"/>
  <c r="X95" i="16"/>
  <c r="X85" i="16"/>
  <c r="X21" i="16"/>
  <c r="X1293" i="16"/>
  <c r="X1300" i="16"/>
  <c r="X1284" i="16"/>
  <c r="X1329" i="16"/>
  <c r="X1313" i="16"/>
  <c r="X1315" i="16"/>
  <c r="P1228" i="16"/>
  <c r="P225" i="16"/>
  <c r="P1101" i="16"/>
  <c r="P973" i="16"/>
  <c r="P845" i="16"/>
  <c r="P717" i="16"/>
  <c r="P589" i="16"/>
  <c r="P461" i="16"/>
  <c r="P333" i="16"/>
  <c r="P260" i="16"/>
  <c r="P132" i="16"/>
  <c r="P4" i="16"/>
  <c r="P1254" i="16"/>
  <c r="P1223" i="16"/>
  <c r="P1260" i="16"/>
  <c r="P741" i="16"/>
  <c r="P1267" i="16"/>
  <c r="P1180" i="16"/>
  <c r="P1052" i="16"/>
  <c r="P924" i="16"/>
  <c r="P796" i="16"/>
  <c r="P668" i="16"/>
  <c r="P540" i="16"/>
  <c r="P412" i="16"/>
  <c r="P284" i="16"/>
  <c r="P1135" i="16"/>
  <c r="P1071" i="16"/>
  <c r="P1007" i="16"/>
  <c r="P943" i="16"/>
  <c r="P879" i="16"/>
  <c r="P815" i="16"/>
  <c r="P751" i="16"/>
  <c r="P687" i="16"/>
  <c r="P623" i="16"/>
  <c r="P559" i="16"/>
  <c r="P495" i="16"/>
  <c r="P431" i="16"/>
  <c r="P367" i="16"/>
  <c r="P303" i="16"/>
  <c r="P239" i="16"/>
  <c r="P175" i="16"/>
  <c r="P111" i="16"/>
  <c r="P47" i="16"/>
  <c r="P1082" i="16"/>
  <c r="P954" i="16"/>
  <c r="P826" i="16"/>
  <c r="P698" i="16"/>
  <c r="P265" i="16"/>
  <c r="P1275" i="16"/>
  <c r="P1149" i="16"/>
  <c r="P1021" i="16"/>
  <c r="P893" i="16"/>
  <c r="P765" i="16"/>
  <c r="P637" i="16"/>
  <c r="P509" i="16"/>
  <c r="P381" i="16"/>
  <c r="P1197" i="16"/>
  <c r="P180" i="16"/>
  <c r="P52" i="16"/>
  <c r="P1019" i="16"/>
  <c r="P955" i="16"/>
  <c r="P827" i="16"/>
  <c r="P59" i="16"/>
  <c r="P1263" i="16"/>
  <c r="P1213" i="16"/>
  <c r="P1100" i="16"/>
  <c r="P972" i="16"/>
  <c r="P844" i="16"/>
  <c r="P716" i="16"/>
  <c r="P588" i="16"/>
  <c r="P460" i="16"/>
  <c r="P332" i="16"/>
  <c r="P1159" i="16"/>
  <c r="P1095" i="16"/>
  <c r="P1031" i="16"/>
  <c r="P967" i="16"/>
  <c r="P903" i="16"/>
  <c r="P839" i="16"/>
  <c r="P775" i="16"/>
  <c r="P711" i="16"/>
  <c r="P647" i="16"/>
  <c r="P583" i="16"/>
  <c r="P519" i="16"/>
  <c r="P455" i="16"/>
  <c r="P391" i="16"/>
  <c r="P327" i="16"/>
  <c r="P263" i="16"/>
  <c r="P199" i="16"/>
  <c r="P135" i="16"/>
  <c r="P71" i="16"/>
  <c r="P1226" i="16"/>
  <c r="P1130" i="16"/>
  <c r="P1002" i="16"/>
  <c r="P874" i="16"/>
  <c r="P746" i="16"/>
  <c r="P618" i="16"/>
  <c r="P1158" i="16"/>
  <c r="P1094" i="16"/>
  <c r="P18" i="16"/>
  <c r="P570" i="16"/>
  <c r="P506" i="16"/>
  <c r="P442" i="16"/>
  <c r="P378" i="16"/>
  <c r="P314" i="16"/>
  <c r="P1322" i="16"/>
  <c r="P1306" i="16"/>
  <c r="P1290" i="16"/>
  <c r="P1323" i="16"/>
  <c r="T308" i="16"/>
  <c r="T804" i="16"/>
  <c r="T650" i="16"/>
  <c r="T1212" i="16"/>
  <c r="T548" i="16"/>
  <c r="T1160" i="16"/>
  <c r="T490" i="16"/>
  <c r="T1044" i="16"/>
  <c r="T532" i="16"/>
  <c r="T1028" i="16"/>
  <c r="T516" i="16"/>
  <c r="T1179" i="16"/>
  <c r="T1051" i="16"/>
  <c r="T923" i="16"/>
  <c r="T795" i="16"/>
  <c r="T667" i="16"/>
  <c r="T539" i="16"/>
  <c r="T1254" i="16"/>
  <c r="T351" i="16"/>
  <c r="T223" i="16"/>
  <c r="T59" i="16"/>
  <c r="T1098" i="16"/>
  <c r="T1034" i="16"/>
  <c r="T970" i="16"/>
  <c r="T906" i="16"/>
  <c r="T842" i="16"/>
  <c r="T602" i="16"/>
  <c r="T756" i="16"/>
  <c r="T244" i="16"/>
  <c r="T740" i="16"/>
  <c r="T228" i="16"/>
  <c r="T27" i="16"/>
  <c r="T1206" i="16"/>
  <c r="T1047" i="16"/>
  <c r="T919" i="16"/>
  <c r="T791" i="16"/>
  <c r="T663" i="16"/>
  <c r="T535" i="16"/>
  <c r="T1190" i="16"/>
  <c r="T1126" i="16"/>
  <c r="T554" i="16"/>
  <c r="T980" i="16"/>
  <c r="T468" i="16"/>
  <c r="T964" i="16"/>
  <c r="T452" i="16"/>
  <c r="T1163" i="16"/>
  <c r="T1243" i="16"/>
  <c r="T1136" i="16"/>
  <c r="T335" i="16"/>
  <c r="T207" i="16"/>
  <c r="T762" i="16"/>
  <c r="T116" i="16"/>
  <c r="T64" i="16"/>
  <c r="T458" i="16"/>
  <c r="T394" i="16"/>
  <c r="T330" i="16"/>
  <c r="T266" i="16"/>
  <c r="T202" i="16"/>
  <c r="T138" i="16"/>
  <c r="T365" i="16"/>
  <c r="T18" i="16"/>
  <c r="T1273" i="16"/>
  <c r="T1209" i="16"/>
  <c r="T1145" i="16"/>
  <c r="T1328" i="16"/>
  <c r="L1048" i="16"/>
  <c r="L1032" i="16"/>
  <c r="L952" i="16"/>
  <c r="L656" i="16"/>
  <c r="L640" i="16"/>
  <c r="L624" i="16"/>
  <c r="L592" i="16"/>
  <c r="L576" i="16"/>
  <c r="L560" i="16"/>
  <c r="L528" i="16"/>
  <c r="L496" i="16"/>
  <c r="L464" i="16"/>
  <c r="L432" i="16"/>
  <c r="L400" i="16"/>
  <c r="L368" i="16"/>
  <c r="L236" i="16"/>
  <c r="L172" i="16"/>
  <c r="L108" i="16"/>
  <c r="L44" i="16"/>
  <c r="X8" i="16"/>
  <c r="X66" i="16"/>
  <c r="X1262" i="16"/>
  <c r="X1277" i="16"/>
  <c r="X309" i="16"/>
  <c r="X730" i="16"/>
  <c r="X478" i="16"/>
  <c r="X824" i="16"/>
  <c r="X136" i="16"/>
  <c r="X1133" i="16"/>
  <c r="X894" i="16"/>
  <c r="X890" i="16"/>
  <c r="X213" i="16"/>
  <c r="X565" i="16"/>
  <c r="X1230" i="16"/>
  <c r="X746" i="16"/>
  <c r="X1086" i="16"/>
  <c r="X698" i="16"/>
  <c r="X480" i="16"/>
  <c r="X846" i="16"/>
  <c r="X1066" i="16"/>
  <c r="X670" i="16"/>
  <c r="X1160" i="16"/>
  <c r="X1198" i="16"/>
  <c r="X107" i="16"/>
  <c r="X941" i="16"/>
  <c r="X856" i="16"/>
  <c r="X685" i="16"/>
  <c r="X600" i="16"/>
  <c r="X429" i="16"/>
  <c r="X344" i="16"/>
  <c r="X59" i="16"/>
  <c r="X1239" i="16"/>
  <c r="X1175" i="16"/>
  <c r="X1100" i="16"/>
  <c r="X929" i="16"/>
  <c r="X844" i="16"/>
  <c r="X673" i="16"/>
  <c r="X588" i="16"/>
  <c r="X502" i="16"/>
  <c r="X228" i="16"/>
  <c r="X1143" i="16"/>
  <c r="X1015" i="16"/>
  <c r="X759" i="16"/>
  <c r="X1185" i="16"/>
  <c r="X682" i="16"/>
  <c r="X341" i="16"/>
  <c r="X906" i="16"/>
  <c r="X590" i="16"/>
  <c r="X334" i="16"/>
  <c r="X1228" i="16"/>
  <c r="X1164" i="16"/>
  <c r="X1085" i="16"/>
  <c r="X1000" i="16"/>
  <c r="X829" i="16"/>
  <c r="X744" i="16"/>
  <c r="X573" i="16"/>
  <c r="X402" i="16"/>
  <c r="X197" i="16"/>
  <c r="X1155" i="16"/>
  <c r="X1073" i="16"/>
  <c r="X988" i="16"/>
  <c r="X817" i="16"/>
  <c r="X732" i="16"/>
  <c r="X561" i="16"/>
  <c r="X476" i="16"/>
  <c r="X174" i="16"/>
  <c r="X178" i="16"/>
  <c r="X1123" i="16"/>
  <c r="X547" i="16"/>
  <c r="X18" i="16"/>
  <c r="X127" i="16"/>
  <c r="X632" i="16"/>
  <c r="X461" i="16"/>
  <c r="X376" i="16"/>
  <c r="X290" i="16"/>
  <c r="X1263" i="16"/>
  <c r="X1199" i="16"/>
  <c r="X1132" i="16"/>
  <c r="X961" i="16"/>
  <c r="X876" i="16"/>
  <c r="X705" i="16"/>
  <c r="X620" i="16"/>
  <c r="X534" i="16"/>
  <c r="X114" i="16"/>
  <c r="X152" i="16"/>
  <c r="X40" i="16"/>
  <c r="X1039" i="16"/>
  <c r="X975" i="16"/>
  <c r="X911" i="16"/>
  <c r="X847" i="16"/>
  <c r="X783" i="16"/>
  <c r="X719" i="16"/>
  <c r="X655" i="16"/>
  <c r="X591" i="16"/>
  <c r="X527" i="16"/>
  <c r="X463" i="16"/>
  <c r="X399" i="16"/>
  <c r="X335" i="16"/>
  <c r="X271" i="16"/>
  <c r="X96" i="16"/>
  <c r="X239" i="16"/>
  <c r="X175" i="16"/>
  <c r="X100" i="16"/>
  <c r="X15" i="16"/>
  <c r="X89" i="16"/>
  <c r="X25" i="16"/>
  <c r="X990" i="16"/>
  <c r="X1201" i="16"/>
  <c r="X878" i="16"/>
  <c r="X1098" i="16"/>
  <c r="X686" i="16"/>
  <c r="X430" i="16"/>
  <c r="X345" i="16"/>
  <c r="X1236" i="16"/>
  <c r="X1096" i="16"/>
  <c r="X925" i="16"/>
  <c r="X840" i="16"/>
  <c r="X669" i="16"/>
  <c r="X584" i="16"/>
  <c r="X413" i="16"/>
  <c r="X328" i="16"/>
  <c r="X1084" i="16"/>
  <c r="X913" i="16"/>
  <c r="X828" i="16"/>
  <c r="X657" i="16"/>
  <c r="X572" i="16"/>
  <c r="X486" i="16"/>
  <c r="X91" i="16"/>
  <c r="X363" i="16"/>
  <c r="X299" i="16"/>
  <c r="X145" i="16"/>
  <c r="X32" i="16"/>
  <c r="X203" i="16"/>
  <c r="X117" i="16"/>
  <c r="X53" i="16"/>
  <c r="X1292" i="16"/>
  <c r="X1307" i="16"/>
  <c r="X1294" i="16"/>
  <c r="X1330" i="16"/>
  <c r="X1323" i="16"/>
  <c r="P1276" i="16"/>
  <c r="P25" i="16"/>
  <c r="P1165" i="16"/>
  <c r="P1037" i="16"/>
  <c r="P909" i="16"/>
  <c r="P781" i="16"/>
  <c r="P653" i="16"/>
  <c r="P525" i="16"/>
  <c r="P397" i="16"/>
  <c r="P196" i="16"/>
  <c r="P68" i="16"/>
  <c r="P1222" i="16"/>
  <c r="P145" i="16"/>
  <c r="P1116" i="16"/>
  <c r="P988" i="16"/>
  <c r="P860" i="16"/>
  <c r="P732" i="16"/>
  <c r="P604" i="16"/>
  <c r="P476" i="16"/>
  <c r="P348" i="16"/>
  <c r="P1146" i="16"/>
  <c r="P1018" i="16"/>
  <c r="P890" i="16"/>
  <c r="P762" i="16"/>
  <c r="P634" i="16"/>
  <c r="P137" i="16"/>
  <c r="P1085" i="16"/>
  <c r="P957" i="16"/>
  <c r="P829" i="16"/>
  <c r="P701" i="16"/>
  <c r="P573" i="16"/>
  <c r="P445" i="16"/>
  <c r="P317" i="16"/>
  <c r="P244" i="16"/>
  <c r="P116" i="16"/>
  <c r="P1179" i="16"/>
  <c r="P1115" i="16"/>
  <c r="P1051" i="16"/>
  <c r="P987" i="16"/>
  <c r="P859" i="16"/>
  <c r="P795" i="16"/>
  <c r="P603" i="16"/>
  <c r="P411" i="16"/>
  <c r="P347" i="16"/>
  <c r="P283" i="16"/>
  <c r="P219" i="16"/>
  <c r="P155" i="16"/>
  <c r="P91" i="16"/>
  <c r="P27" i="16"/>
  <c r="P1109" i="16"/>
  <c r="P981" i="16"/>
  <c r="P1164" i="16"/>
  <c r="P1036" i="16"/>
  <c r="P908" i="16"/>
  <c r="P780" i="16"/>
  <c r="P652" i="16"/>
  <c r="P524" i="16"/>
  <c r="P396" i="16"/>
  <c r="P1127" i="16"/>
  <c r="P1063" i="16"/>
  <c r="P999" i="16"/>
  <c r="P935" i="16"/>
  <c r="P871" i="16"/>
  <c r="P807" i="16"/>
  <c r="P743" i="16"/>
  <c r="P679" i="16"/>
  <c r="P615" i="16"/>
  <c r="P551" i="16"/>
  <c r="P487" i="16"/>
  <c r="P423" i="16"/>
  <c r="P359" i="16"/>
  <c r="P295" i="16"/>
  <c r="P1258" i="16"/>
  <c r="P1194" i="16"/>
  <c r="P1066" i="16"/>
  <c r="P938" i="16"/>
  <c r="P810" i="16"/>
  <c r="P682" i="16"/>
  <c r="P1190" i="16"/>
  <c r="P1126" i="16"/>
  <c r="P1062" i="16"/>
  <c r="P230" i="16"/>
  <c r="P102" i="16"/>
  <c r="P562" i="16"/>
  <c r="P498" i="16"/>
  <c r="P434" i="16"/>
  <c r="P370" i="16"/>
  <c r="P306" i="16"/>
  <c r="P242" i="16"/>
  <c r="P178" i="16"/>
  <c r="P114" i="16"/>
  <c r="P50" i="16"/>
  <c r="P222" i="16"/>
  <c r="P158" i="16"/>
  <c r="P94" i="16"/>
  <c r="P538" i="16"/>
  <c r="P474" i="16"/>
  <c r="P410" i="16"/>
  <c r="P346" i="16"/>
  <c r="P282" i="16"/>
  <c r="P218" i="16"/>
  <c r="P154" i="16"/>
  <c r="P90" i="16"/>
  <c r="P1330" i="16"/>
  <c r="P1314" i="16"/>
  <c r="P1299" i="16"/>
  <c r="P1298" i="16"/>
  <c r="P1331" i="16"/>
  <c r="T180" i="16"/>
  <c r="T676" i="16"/>
  <c r="T1076" i="16"/>
  <c r="T778" i="16"/>
  <c r="T436" i="16"/>
  <c r="T932" i="16"/>
  <c r="T1238" i="16"/>
  <c r="T788" i="16"/>
  <c r="T276" i="16"/>
  <c r="T772" i="16"/>
  <c r="T260" i="16"/>
  <c r="T1115" i="16"/>
  <c r="T987" i="16"/>
  <c r="T859" i="16"/>
  <c r="T731" i="16"/>
  <c r="T603" i="16"/>
  <c r="T475" i="16"/>
  <c r="T1211" i="16"/>
  <c r="T287" i="16"/>
  <c r="T159" i="16"/>
  <c r="T1066" i="16"/>
  <c r="T1002" i="16"/>
  <c r="T938" i="16"/>
  <c r="T874" i="16"/>
  <c r="T810" i="16"/>
  <c r="T730" i="16"/>
  <c r="T1012" i="16"/>
  <c r="T500" i="16"/>
  <c r="T996" i="16"/>
  <c r="T484" i="16"/>
  <c r="T1111" i="16"/>
  <c r="T983" i="16"/>
  <c r="T855" i="16"/>
  <c r="T727" i="16"/>
  <c r="T599" i="16"/>
  <c r="T471" i="16"/>
  <c r="T38" i="16"/>
  <c r="T1158" i="16"/>
  <c r="T682" i="16"/>
  <c r="T506" i="16"/>
  <c r="T1224" i="16"/>
  <c r="T724" i="16"/>
  <c r="T212" i="16"/>
  <c r="T708" i="16"/>
  <c r="T196" i="16"/>
  <c r="T6" i="16"/>
  <c r="T1200" i="16"/>
  <c r="T399" i="16"/>
  <c r="T271" i="16"/>
  <c r="T143" i="16"/>
  <c r="T634" i="16"/>
  <c r="T1077" i="16"/>
  <c r="T949" i="16"/>
  <c r="T821" i="16"/>
  <c r="T693" i="16"/>
  <c r="T565" i="16"/>
  <c r="T437" i="16"/>
  <c r="T29" i="16"/>
  <c r="T45" i="16"/>
  <c r="T426" i="16"/>
  <c r="T362" i="16"/>
  <c r="T298" i="16"/>
  <c r="T234" i="16"/>
  <c r="T170" i="16"/>
  <c r="T1101" i="16"/>
  <c r="T973" i="16"/>
  <c r="T845" i="16"/>
  <c r="T717" i="16"/>
  <c r="T589" i="16"/>
  <c r="T461" i="16"/>
  <c r="T205" i="16"/>
  <c r="T61" i="16"/>
  <c r="T1241" i="16"/>
  <c r="T1177" i="16"/>
  <c r="T409" i="16"/>
  <c r="T345" i="16"/>
  <c r="T281" i="16"/>
  <c r="T217" i="16"/>
  <c r="T153" i="16"/>
  <c r="T77" i="16"/>
  <c r="T1288" i="16"/>
  <c r="T1307" i="16"/>
  <c r="T1291" i="16"/>
  <c r="T1321" i="16"/>
  <c r="T1305" i="16"/>
  <c r="T1289" i="16"/>
  <c r="T1323" i="16"/>
  <c r="L884" i="16"/>
  <c r="L316" i="16"/>
  <c r="L56" i="16"/>
  <c r="X1261" i="16"/>
  <c r="X373" i="16"/>
  <c r="X718" i="16"/>
  <c r="X181" i="16"/>
  <c r="X717" i="16"/>
  <c r="X1166" i="16"/>
  <c r="X1149" i="16"/>
  <c r="X286" i="16"/>
  <c r="X149" i="16"/>
  <c r="X845" i="16"/>
  <c r="X1005" i="16"/>
  <c r="X493" i="16"/>
  <c r="X908" i="16"/>
  <c r="X396" i="16"/>
  <c r="X139" i="16"/>
  <c r="X862" i="16"/>
  <c r="X357" i="16"/>
  <c r="X398" i="16"/>
  <c r="X190" i="16"/>
  <c r="X1212" i="16"/>
  <c r="X893" i="16"/>
  <c r="X296" i="16"/>
  <c r="X1052" i="16"/>
  <c r="X540" i="16"/>
  <c r="X525" i="16"/>
  <c r="X684" i="16"/>
  <c r="X126" i="16"/>
  <c r="X1087" i="16"/>
  <c r="X959" i="16"/>
  <c r="X831" i="16"/>
  <c r="X703" i="16"/>
  <c r="X639" i="16"/>
  <c r="X511" i="16"/>
  <c r="X383" i="16"/>
  <c r="X1169" i="16"/>
  <c r="X904" i="16"/>
  <c r="X733" i="16"/>
  <c r="X977" i="16"/>
  <c r="X636" i="16"/>
  <c r="X62" i="16"/>
  <c r="X1051" i="16"/>
  <c r="X923" i="16"/>
  <c r="X795" i="16"/>
  <c r="X667" i="16"/>
  <c r="X411" i="16"/>
  <c r="X347" i="16"/>
  <c r="X37" i="16"/>
  <c r="X1290" i="16"/>
  <c r="X1310" i="16"/>
  <c r="X1324" i="16"/>
  <c r="P1005" i="16"/>
  <c r="P749" i="16"/>
  <c r="P493" i="16"/>
  <c r="P36" i="16"/>
  <c r="P1075" i="16"/>
  <c r="P947" i="16"/>
  <c r="P819" i="16"/>
  <c r="P755" i="16"/>
  <c r="P563" i="16"/>
  <c r="P435" i="16"/>
  <c r="P307" i="16"/>
  <c r="P179" i="16"/>
  <c r="P51" i="16"/>
  <c r="P49" i="16"/>
  <c r="P133" i="16"/>
  <c r="P1203" i="16"/>
  <c r="P956" i="16"/>
  <c r="P700" i="16"/>
  <c r="P444" i="16"/>
  <c r="P986" i="16"/>
  <c r="P730" i="16"/>
  <c r="P602" i="16"/>
  <c r="P1053" i="16"/>
  <c r="P797" i="16"/>
  <c r="P541" i="16"/>
  <c r="P285" i="16"/>
  <c r="P84" i="16"/>
  <c r="P779" i="16"/>
  <c r="P587" i="16"/>
  <c r="P1004" i="16"/>
  <c r="P876" i="16"/>
  <c r="P620" i="16"/>
  <c r="P364" i="16"/>
  <c r="P1242" i="16"/>
  <c r="P1034" i="16"/>
  <c r="P778" i="16"/>
  <c r="P1174" i="16"/>
  <c r="P22" i="16"/>
  <c r="P522" i="16"/>
  <c r="P458" i="16"/>
  <c r="P394" i="16"/>
  <c r="P330" i="16"/>
  <c r="P1292" i="16"/>
  <c r="P1325" i="16"/>
  <c r="P1309" i="16"/>
  <c r="P1324" i="16"/>
  <c r="P1308" i="16"/>
  <c r="P1293" i="16"/>
  <c r="P1327" i="16"/>
  <c r="T820" i="16"/>
  <c r="T70" i="16"/>
  <c r="T164" i="16"/>
  <c r="T564" i="16"/>
  <c r="T1259" i="16"/>
  <c r="T420" i="16"/>
  <c r="T586" i="16"/>
  <c r="T1172" i="16"/>
  <c r="T660" i="16"/>
  <c r="T148" i="16"/>
  <c r="T644" i="16"/>
  <c r="T132" i="16"/>
  <c r="T1083" i="16"/>
  <c r="T955" i="16"/>
  <c r="T827" i="16"/>
  <c r="T699" i="16"/>
  <c r="T571" i="16"/>
  <c r="T443" i="16"/>
  <c r="T1275" i="16"/>
  <c r="T383" i="16"/>
  <c r="T255" i="16"/>
  <c r="T127" i="16"/>
  <c r="T1114" i="16"/>
  <c r="T1050" i="16"/>
  <c r="T986" i="16"/>
  <c r="T922" i="16"/>
  <c r="T858" i="16"/>
  <c r="T794" i="16"/>
  <c r="T538" i="16"/>
  <c r="T1148" i="16"/>
  <c r="T884" i="16"/>
  <c r="T372" i="16"/>
  <c r="T868" i="16"/>
  <c r="T356" i="16"/>
  <c r="T111" i="16"/>
  <c r="T1227" i="16"/>
  <c r="T43" i="16"/>
  <c r="T1079" i="16"/>
  <c r="T951" i="16"/>
  <c r="T823" i="16"/>
  <c r="T695" i="16"/>
  <c r="T567" i="16"/>
  <c r="T439" i="16"/>
  <c r="T1142" i="16"/>
  <c r="T746" i="16"/>
  <c r="T474" i="16"/>
  <c r="T1108" i="16"/>
  <c r="T596" i="16"/>
  <c r="T1092" i="16"/>
  <c r="T580" i="16"/>
  <c r="T1195" i="16"/>
  <c r="T1264" i="16"/>
  <c r="T367" i="16"/>
  <c r="T239" i="16"/>
  <c r="T698" i="16"/>
  <c r="T93" i="16"/>
  <c r="T1073" i="16"/>
  <c r="T1009" i="16"/>
  <c r="T945" i="16"/>
  <c r="T881" i="16"/>
  <c r="T817" i="16"/>
  <c r="T753" i="16"/>
  <c r="T689" i="16"/>
  <c r="T625" i="16"/>
  <c r="T561" i="16"/>
  <c r="T497" i="16"/>
  <c r="T433" i="16"/>
  <c r="T109" i="16"/>
  <c r="T80" i="16"/>
  <c r="T410" i="16"/>
  <c r="T346" i="16"/>
  <c r="T282" i="16"/>
  <c r="T218" i="16"/>
  <c r="T154" i="16"/>
  <c r="T253" i="16"/>
  <c r="T92" i="16"/>
  <c r="T28" i="16"/>
  <c r="T1225" i="16"/>
  <c r="T1161" i="16"/>
  <c r="T40" i="16"/>
  <c r="T1300" i="16"/>
  <c r="T1318" i="16"/>
  <c r="T1302" i="16"/>
  <c r="T1286" i="16"/>
  <c r="L1316" i="16"/>
  <c r="L1268" i="16"/>
  <c r="L1220" i="16"/>
  <c r="L1172" i="16"/>
  <c r="L836" i="16"/>
  <c r="L524" i="16"/>
  <c r="L396" i="16"/>
  <c r="L1284" i="16"/>
  <c r="L1236" i="16"/>
  <c r="L1188" i="16"/>
  <c r="L1092" i="16"/>
  <c r="L492" i="16"/>
  <c r="L412" i="16"/>
  <c r="L364" i="16"/>
  <c r="L300" i="16"/>
  <c r="L200" i="16"/>
  <c r="L136" i="16"/>
  <c r="L8" i="16"/>
  <c r="L1328" i="16"/>
  <c r="L1312" i="16"/>
  <c r="L1296" i="16"/>
  <c r="L1280" i="16"/>
  <c r="L1264" i="16"/>
  <c r="L1248" i="16"/>
  <c r="L1232" i="16"/>
  <c r="L1216" i="16"/>
  <c r="L1200" i="16"/>
  <c r="L1184" i="16"/>
  <c r="L1168" i="16"/>
  <c r="L1152" i="16"/>
  <c r="L1104" i="16"/>
  <c r="L944" i="16"/>
  <c r="L808" i="16"/>
  <c r="L792" i="16"/>
  <c r="L776" i="16"/>
  <c r="L760" i="16"/>
  <c r="L744" i="16"/>
  <c r="L728" i="16"/>
  <c r="L712" i="16"/>
  <c r="L696" i="16"/>
  <c r="L680" i="16"/>
  <c r="L664" i="16"/>
  <c r="L648" i="16"/>
  <c r="L632" i="16"/>
  <c r="L616" i="16"/>
  <c r="L600" i="16"/>
  <c r="L584" i="16"/>
  <c r="L568" i="16"/>
  <c r="L536" i="16"/>
  <c r="L504" i="16"/>
  <c r="L488" i="16"/>
  <c r="L472" i="16"/>
  <c r="L440" i="16"/>
  <c r="L424" i="16"/>
  <c r="L408" i="16"/>
  <c r="L376" i="16"/>
  <c r="L360" i="16"/>
  <c r="L312" i="16"/>
  <c r="L296" i="16"/>
  <c r="L244" i="16"/>
  <c r="L180" i="16"/>
  <c r="L116" i="16"/>
  <c r="L52" i="16"/>
  <c r="L1300" i="16"/>
  <c r="L1252" i="16"/>
  <c r="L1204" i="16"/>
  <c r="L1156" i="16"/>
  <c r="L1076" i="16"/>
  <c r="L980" i="16"/>
  <c r="L932" i="16"/>
  <c r="L820" i="16"/>
  <c r="L556" i="16"/>
  <c r="L508" i="16"/>
  <c r="L460" i="16"/>
  <c r="L428" i="16"/>
  <c r="L264" i="16"/>
  <c r="L72" i="16"/>
  <c r="L1276" i="16"/>
  <c r="L1180" i="16"/>
  <c r="L1132" i="16"/>
  <c r="L1036" i="16"/>
  <c r="L1020" i="16"/>
  <c r="L924" i="16"/>
  <c r="L876" i="16"/>
  <c r="L804" i="16"/>
  <c r="L788" i="16"/>
  <c r="L772" i="16"/>
  <c r="L756" i="16"/>
  <c r="L740" i="16"/>
  <c r="L724" i="16"/>
  <c r="L708" i="16"/>
  <c r="L692" i="16"/>
  <c r="L660" i="16"/>
  <c r="L644" i="16"/>
  <c r="L628" i="16"/>
  <c r="L596" i="16"/>
  <c r="L580" i="16"/>
  <c r="L564" i="16"/>
  <c r="L516" i="16"/>
  <c r="L468" i="16"/>
  <c r="L452" i="16"/>
  <c r="L388" i="16"/>
  <c r="L340" i="16"/>
  <c r="L324" i="16"/>
  <c r="L308" i="16"/>
  <c r="L272" i="16"/>
  <c r="L208" i="16"/>
  <c r="L144" i="16"/>
  <c r="L80" i="16"/>
  <c r="L16" i="16"/>
  <c r="L1320" i="16"/>
  <c r="L1304" i="16"/>
  <c r="L1288" i="16"/>
  <c r="L1272" i="16"/>
  <c r="L1256" i="16"/>
  <c r="L1240" i="16"/>
  <c r="L1224" i="16"/>
  <c r="L1208" i="16"/>
  <c r="L1192" i="16"/>
  <c r="L1176" i="16"/>
  <c r="L1160" i="16"/>
  <c r="L1144" i="16"/>
  <c r="L512" i="16"/>
  <c r="L448" i="16"/>
  <c r="L384" i="16"/>
  <c r="L320" i="16"/>
  <c r="L981" i="16"/>
  <c r="L1013" i="16"/>
  <c r="L1045" i="16"/>
  <c r="L1077" i="16"/>
  <c r="L906" i="16"/>
  <c r="L1114" i="16"/>
  <c r="L1029" i="16"/>
  <c r="L858" i="16"/>
  <c r="L773" i="16"/>
  <c r="L688" i="16"/>
  <c r="L602" i="16"/>
  <c r="L517" i="16"/>
  <c r="L346" i="16"/>
  <c r="L250" i="16"/>
  <c r="L107" i="16"/>
  <c r="L1250" i="16"/>
  <c r="L1165" i="16"/>
  <c r="L994" i="16"/>
  <c r="L546" i="16"/>
  <c r="L370" i="16"/>
  <c r="L1217" i="16"/>
  <c r="L1046" i="16"/>
  <c r="L961" i="16"/>
  <c r="L790" i="16"/>
  <c r="L705" i="16"/>
  <c r="L534" i="16"/>
  <c r="L449" i="16"/>
  <c r="L273" i="16"/>
  <c r="L143" i="16"/>
  <c r="L1273" i="16"/>
  <c r="L1102" i="16"/>
  <c r="L1017" i="16"/>
  <c r="L846" i="16"/>
  <c r="L761" i="16"/>
  <c r="L676" i="16"/>
  <c r="L590" i="16"/>
  <c r="L505" i="16"/>
  <c r="L420" i="16"/>
  <c r="L334" i="16"/>
  <c r="L234" i="16"/>
  <c r="L85" i="16"/>
  <c r="L877" i="16"/>
  <c r="L498" i="16"/>
  <c r="L338" i="16"/>
  <c r="L233" i="16"/>
  <c r="L81" i="16"/>
  <c r="L147" i="16"/>
  <c r="L62" i="16"/>
  <c r="L1267" i="16"/>
  <c r="L1203" i="16"/>
  <c r="L1139" i="16"/>
  <c r="L1075" i="16"/>
  <c r="L1011" i="16"/>
  <c r="L947" i="16"/>
  <c r="L883" i="16"/>
  <c r="L819" i="16"/>
  <c r="L755" i="16"/>
  <c r="L691" i="16"/>
  <c r="L627" i="16"/>
  <c r="L563" i="16"/>
  <c r="L499" i="16"/>
  <c r="L435" i="16"/>
  <c r="L371" i="16"/>
  <c r="L307" i="16"/>
  <c r="L226" i="16"/>
  <c r="L141" i="16"/>
  <c r="L55" i="16"/>
  <c r="L832" i="16"/>
  <c r="L746" i="16"/>
  <c r="L661" i="16"/>
  <c r="L490" i="16"/>
  <c r="L405" i="16"/>
  <c r="L214" i="16"/>
  <c r="L54" i="16"/>
  <c r="L1138" i="16"/>
  <c r="L1053" i="16"/>
  <c r="L802" i="16"/>
  <c r="L653" i="16"/>
  <c r="L1190" i="16"/>
  <c r="L1105" i="16"/>
  <c r="L934" i="16"/>
  <c r="L849" i="16"/>
  <c r="L764" i="16"/>
  <c r="L678" i="16"/>
  <c r="L593" i="16"/>
  <c r="L422" i="16"/>
  <c r="L337" i="16"/>
  <c r="L238" i="16"/>
  <c r="L90" i="16"/>
  <c r="L1246" i="16"/>
  <c r="L1161" i="16"/>
  <c r="L990" i="16"/>
  <c r="L905" i="16"/>
  <c r="L734" i="16"/>
  <c r="L478" i="16"/>
  <c r="L198" i="16"/>
  <c r="L31" i="16"/>
  <c r="L818" i="16"/>
  <c r="L621" i="16"/>
  <c r="L445" i="16"/>
  <c r="L197" i="16"/>
  <c r="L27" i="16"/>
  <c r="L121" i="16"/>
  <c r="L35" i="16"/>
  <c r="L1247" i="16"/>
  <c r="L1183" i="16"/>
  <c r="L1119" i="16"/>
  <c r="L1055" i="16"/>
  <c r="L991" i="16"/>
  <c r="L927" i="16"/>
  <c r="L863" i="16"/>
  <c r="L799" i="16"/>
  <c r="L735" i="16"/>
  <c r="L671" i="16"/>
  <c r="L607" i="16"/>
  <c r="L543" i="16"/>
  <c r="L479" i="16"/>
  <c r="L415" i="16"/>
  <c r="L351" i="16"/>
  <c r="L285" i="16"/>
  <c r="L199" i="16"/>
  <c r="L114" i="16"/>
  <c r="L29" i="16"/>
  <c r="L1189" i="16"/>
  <c r="L1018" i="16"/>
  <c r="L933" i="16"/>
  <c r="L848" i="16"/>
  <c r="L762" i="16"/>
  <c r="L677" i="16"/>
  <c r="L506" i="16"/>
  <c r="L421" i="16"/>
  <c r="L235" i="16"/>
  <c r="L86" i="16"/>
  <c r="L1154" i="16"/>
  <c r="L1069" i="16"/>
  <c r="L834" i="16"/>
  <c r="L685" i="16"/>
  <c r="L525" i="16"/>
  <c r="L1206" i="16"/>
  <c r="L1121" i="16"/>
  <c r="L950" i="16"/>
  <c r="L865" i="16"/>
  <c r="L780" i="16"/>
  <c r="L694" i="16"/>
  <c r="L609" i="16"/>
  <c r="L438" i="16"/>
  <c r="L353" i="16"/>
  <c r="L259" i="16"/>
  <c r="L122" i="16"/>
  <c r="L1262" i="16"/>
  <c r="L1177" i="16"/>
  <c r="L1006" i="16"/>
  <c r="L921" i="16"/>
  <c r="L750" i="16"/>
  <c r="L665" i="16"/>
  <c r="L494" i="16"/>
  <c r="L409" i="16"/>
  <c r="L219" i="16"/>
  <c r="L63" i="16"/>
  <c r="L850" i="16"/>
  <c r="L658" i="16"/>
  <c r="L482" i="16"/>
  <c r="L218" i="16"/>
  <c r="L59" i="16"/>
  <c r="L51" i="16"/>
  <c r="L1259" i="16"/>
  <c r="L1195" i="16"/>
  <c r="L1131" i="16"/>
  <c r="L1067" i="16"/>
  <c r="L1003" i="16"/>
  <c r="L939" i="16"/>
  <c r="L875" i="16"/>
  <c r="L811" i="16"/>
  <c r="L747" i="16"/>
  <c r="L683" i="16"/>
  <c r="L619" i="16"/>
  <c r="L555" i="16"/>
  <c r="L491" i="16"/>
  <c r="L427" i="16"/>
  <c r="L363" i="16"/>
  <c r="L299" i="16"/>
  <c r="L215" i="16"/>
  <c r="L130" i="16"/>
  <c r="L45" i="16"/>
  <c r="L821" i="16"/>
  <c r="L736" i="16"/>
  <c r="L650" i="16"/>
  <c r="L565" i="16"/>
  <c r="L480" i="16"/>
  <c r="L394" i="16"/>
  <c r="L309" i="16"/>
  <c r="L33" i="16"/>
  <c r="L1213" i="16"/>
  <c r="L1042" i="16"/>
  <c r="L946" i="16"/>
  <c r="L786" i="16"/>
  <c r="L637" i="16"/>
  <c r="L466" i="16"/>
  <c r="L1265" i="16"/>
  <c r="L1094" i="16"/>
  <c r="L1009" i="16"/>
  <c r="L838" i="16"/>
  <c r="L753" i="16"/>
  <c r="L582" i="16"/>
  <c r="L497" i="16"/>
  <c r="L326" i="16"/>
  <c r="L223" i="16"/>
  <c r="L69" i="16"/>
  <c r="L1150" i="16"/>
  <c r="L1065" i="16"/>
  <c r="L894" i="16"/>
  <c r="L809" i="16"/>
  <c r="L638" i="16"/>
  <c r="L553" i="16"/>
  <c r="L382" i="16"/>
  <c r="L297" i="16"/>
  <c r="L181" i="16"/>
  <c r="L10" i="16"/>
  <c r="L301" i="16"/>
  <c r="L177" i="16"/>
  <c r="L6" i="16"/>
  <c r="L110" i="16"/>
  <c r="L25" i="16"/>
  <c r="L1239" i="16"/>
  <c r="L1175" i="16"/>
  <c r="L1111" i="16"/>
  <c r="L1047" i="16"/>
  <c r="L983" i="16"/>
  <c r="L919" i="16"/>
  <c r="L855" i="16"/>
  <c r="L791" i="16"/>
  <c r="L727" i="16"/>
  <c r="L663" i="16"/>
  <c r="L599" i="16"/>
  <c r="L535" i="16"/>
  <c r="L471" i="16"/>
  <c r="L407" i="16"/>
  <c r="L343" i="16"/>
  <c r="L274" i="16"/>
  <c r="L189" i="16"/>
  <c r="L103" i="16"/>
  <c r="L18" i="16"/>
  <c r="L1322" i="16"/>
  <c r="L1307" i="16"/>
  <c r="L1291" i="16"/>
  <c r="L1321" i="16"/>
  <c r="L1306" i="16"/>
  <c r="L1290" i="16"/>
  <c r="L1305" i="16"/>
  <c r="L1289" i="16"/>
  <c r="L1323" i="16"/>
  <c r="L652" i="16"/>
  <c r="L620" i="16"/>
  <c r="L588" i="16"/>
  <c r="L332" i="16"/>
  <c r="L1109" i="16"/>
  <c r="L938" i="16"/>
  <c r="L1141" i="16"/>
  <c r="L970" i="16"/>
  <c r="L1173" i="16"/>
  <c r="L1002" i="16"/>
  <c r="L1205" i="16"/>
  <c r="L1034" i="16"/>
  <c r="L1178" i="16"/>
  <c r="L1093" i="16"/>
  <c r="L922" i="16"/>
  <c r="L837" i="16"/>
  <c r="L752" i="16"/>
  <c r="L666" i="16"/>
  <c r="L581" i="16"/>
  <c r="L410" i="16"/>
  <c r="L325" i="16"/>
  <c r="L222" i="16"/>
  <c r="L65" i="16"/>
  <c r="L1229" i="16"/>
  <c r="L1058" i="16"/>
  <c r="L973" i="16"/>
  <c r="L813" i="16"/>
  <c r="L1281" i="16"/>
  <c r="L1110" i="16"/>
  <c r="L1025" i="16"/>
  <c r="L854" i="16"/>
  <c r="L769" i="16"/>
  <c r="L684" i="16"/>
  <c r="L598" i="16"/>
  <c r="L513" i="16"/>
  <c r="L342" i="16"/>
  <c r="L245" i="16"/>
  <c r="L101" i="16"/>
  <c r="L1166" i="16"/>
  <c r="L1081" i="16"/>
  <c r="L910" i="16"/>
  <c r="L825" i="16"/>
  <c r="L654" i="16"/>
  <c r="L569" i="16"/>
  <c r="L484" i="16"/>
  <c r="L398" i="16"/>
  <c r="L313" i="16"/>
  <c r="L206" i="16"/>
  <c r="L42" i="16"/>
  <c r="L829" i="16"/>
  <c r="L461" i="16"/>
  <c r="L317" i="16"/>
  <c r="L203" i="16"/>
  <c r="L38" i="16"/>
  <c r="L126" i="16"/>
  <c r="L41" i="16"/>
  <c r="L1251" i="16"/>
  <c r="L1187" i="16"/>
  <c r="L1123" i="16"/>
  <c r="L1059" i="16"/>
  <c r="L995" i="16"/>
  <c r="L931" i="16"/>
  <c r="L867" i="16"/>
  <c r="L803" i="16"/>
  <c r="L739" i="16"/>
  <c r="L675" i="16"/>
  <c r="L611" i="16"/>
  <c r="L547" i="16"/>
  <c r="L483" i="16"/>
  <c r="L419" i="16"/>
  <c r="L355" i="16"/>
  <c r="L290" i="16"/>
  <c r="L205" i="16"/>
  <c r="L119" i="16"/>
  <c r="L34" i="16"/>
  <c r="L810" i="16"/>
  <c r="L725" i="16"/>
  <c r="L554" i="16"/>
  <c r="L469" i="16"/>
  <c r="L298" i="16"/>
  <c r="L182" i="16"/>
  <c r="L11" i="16"/>
  <c r="L1202" i="16"/>
  <c r="L1117" i="16"/>
  <c r="L925" i="16"/>
  <c r="L770" i="16"/>
  <c r="L450" i="16"/>
  <c r="L1254" i="16"/>
  <c r="L1169" i="16"/>
  <c r="L998" i="16"/>
  <c r="L913" i="16"/>
  <c r="L828" i="16"/>
  <c r="L742" i="16"/>
  <c r="L657" i="16"/>
  <c r="L486" i="16"/>
  <c r="L401" i="16"/>
  <c r="L209" i="16"/>
  <c r="L47" i="16"/>
  <c r="L1225" i="16"/>
  <c r="L1054" i="16"/>
  <c r="L969" i="16"/>
  <c r="L798" i="16"/>
  <c r="L713" i="16"/>
  <c r="L542" i="16"/>
  <c r="L283" i="16"/>
  <c r="L159" i="16"/>
  <c r="L765" i="16"/>
  <c r="L578" i="16"/>
  <c r="L289" i="16"/>
  <c r="L155" i="16"/>
  <c r="L185" i="16"/>
  <c r="L99" i="16"/>
  <c r="L14" i="16"/>
  <c r="L1231" i="16"/>
  <c r="L1167" i="16"/>
  <c r="L1103" i="16"/>
  <c r="L1039" i="16"/>
  <c r="L975" i="16"/>
  <c r="L911" i="16"/>
  <c r="L847" i="16"/>
  <c r="L783" i="16"/>
  <c r="L719" i="16"/>
  <c r="L655" i="16"/>
  <c r="L591" i="16"/>
  <c r="L527" i="16"/>
  <c r="L463" i="16"/>
  <c r="L399" i="16"/>
  <c r="L335" i="16"/>
  <c r="L263" i="16"/>
  <c r="L178" i="16"/>
  <c r="L93" i="16"/>
  <c r="L7" i="16"/>
  <c r="L1253" i="16"/>
  <c r="L1082" i="16"/>
  <c r="L997" i="16"/>
  <c r="L826" i="16"/>
  <c r="L741" i="16"/>
  <c r="L570" i="16"/>
  <c r="L485" i="16"/>
  <c r="L314" i="16"/>
  <c r="L207" i="16"/>
  <c r="L43" i="16"/>
  <c r="L1218" i="16"/>
  <c r="L1133" i="16"/>
  <c r="L957" i="16"/>
  <c r="L797" i="16"/>
  <c r="L642" i="16"/>
  <c r="L477" i="16"/>
  <c r="L1270" i="16"/>
  <c r="L1185" i="16"/>
  <c r="L1014" i="16"/>
  <c r="L929" i="16"/>
  <c r="L844" i="16"/>
  <c r="L758" i="16"/>
  <c r="L673" i="16"/>
  <c r="L502" i="16"/>
  <c r="L417" i="16"/>
  <c r="L230" i="16"/>
  <c r="L79" i="16"/>
  <c r="L1241" i="16"/>
  <c r="L1070" i="16"/>
  <c r="L985" i="16"/>
  <c r="L814" i="16"/>
  <c r="L729" i="16"/>
  <c r="L558" i="16"/>
  <c r="L473" i="16"/>
  <c r="L302" i="16"/>
  <c r="L191" i="16"/>
  <c r="L21" i="16"/>
  <c r="L610" i="16"/>
  <c r="L434" i="16"/>
  <c r="L306" i="16"/>
  <c r="L187" i="16"/>
  <c r="L17" i="16"/>
  <c r="L115" i="16"/>
  <c r="L30" i="16"/>
  <c r="L1243" i="16"/>
  <c r="L1179" i="16"/>
  <c r="L1115" i="16"/>
  <c r="L1051" i="16"/>
  <c r="L987" i="16"/>
  <c r="L923" i="16"/>
  <c r="L859" i="16"/>
  <c r="L795" i="16"/>
  <c r="L731" i="16"/>
  <c r="L667" i="16"/>
  <c r="L603" i="16"/>
  <c r="L539" i="16"/>
  <c r="L475" i="16"/>
  <c r="L411" i="16"/>
  <c r="L347" i="16"/>
  <c r="L279" i="16"/>
  <c r="L194" i="16"/>
  <c r="L109" i="16"/>
  <c r="L23" i="16"/>
  <c r="L885" i="16"/>
  <c r="L800" i="16"/>
  <c r="L714" i="16"/>
  <c r="L629" i="16"/>
  <c r="L544" i="16"/>
  <c r="L458" i="16"/>
  <c r="L373" i="16"/>
  <c r="L286" i="16"/>
  <c r="L161" i="16"/>
  <c r="L1277" i="16"/>
  <c r="L1106" i="16"/>
  <c r="L1021" i="16"/>
  <c r="L909" i="16"/>
  <c r="L749" i="16"/>
  <c r="L594" i="16"/>
  <c r="L429" i="16"/>
  <c r="L1158" i="16"/>
  <c r="L1073" i="16"/>
  <c r="L902" i="16"/>
  <c r="L817" i="16"/>
  <c r="L732" i="16"/>
  <c r="L646" i="16"/>
  <c r="L561" i="16"/>
  <c r="L390" i="16"/>
  <c r="L305" i="16"/>
  <c r="L195" i="16"/>
  <c r="L26" i="16"/>
  <c r="L1214" i="16"/>
  <c r="L1129" i="16"/>
  <c r="L958" i="16"/>
  <c r="L873" i="16"/>
  <c r="L702" i="16"/>
  <c r="L617" i="16"/>
  <c r="L446" i="16"/>
  <c r="L361" i="16"/>
  <c r="L270" i="16"/>
  <c r="L138" i="16"/>
  <c r="L930" i="16"/>
  <c r="L557" i="16"/>
  <c r="L386" i="16"/>
  <c r="L275" i="16"/>
  <c r="L134" i="16"/>
  <c r="L174" i="16"/>
  <c r="L89" i="16"/>
  <c r="L3" i="16"/>
  <c r="L1223" i="16"/>
  <c r="L1159" i="16"/>
  <c r="L1095" i="16"/>
  <c r="L1031" i="16"/>
  <c r="L967" i="16"/>
  <c r="L903" i="16"/>
  <c r="L839" i="16"/>
  <c r="L775" i="16"/>
  <c r="L711" i="16"/>
  <c r="L647" i="16"/>
  <c r="L583" i="16"/>
  <c r="L519" i="16"/>
  <c r="L455" i="16"/>
  <c r="L391" i="16"/>
  <c r="L327" i="16"/>
  <c r="L253" i="16"/>
  <c r="L167" i="16"/>
  <c r="L82" i="16"/>
  <c r="L292" i="16"/>
  <c r="L228" i="16"/>
  <c r="L164" i="16"/>
  <c r="L100" i="16"/>
  <c r="L36" i="16"/>
  <c r="L1318" i="16"/>
  <c r="L1303" i="16"/>
  <c r="L1287" i="16"/>
  <c r="L1317" i="16"/>
  <c r="L1302" i="16"/>
  <c r="L1286" i="16"/>
  <c r="L1301" i="16"/>
  <c r="L1285" i="16"/>
  <c r="L1319" i="16"/>
  <c r="L649" i="16"/>
  <c r="L668" i="16"/>
  <c r="L636" i="16"/>
  <c r="L604" i="16"/>
  <c r="L344" i="16"/>
  <c r="L328" i="16"/>
  <c r="L521" i="16"/>
  <c r="L457" i="16"/>
  <c r="L393" i="16"/>
  <c r="L201" i="16"/>
  <c r="L137" i="16"/>
  <c r="L73" i="16"/>
  <c r="L9" i="16"/>
  <c r="L329" i="16"/>
  <c r="L1237" i="16"/>
  <c r="L1066" i="16"/>
  <c r="L1269" i="16"/>
  <c r="L1098" i="16"/>
  <c r="L1130" i="16"/>
  <c r="L1162" i="16"/>
  <c r="L1242" i="16"/>
  <c r="L1157" i="16"/>
  <c r="L986" i="16"/>
  <c r="L901" i="16"/>
  <c r="L816" i="16"/>
  <c r="L730" i="16"/>
  <c r="L645" i="16"/>
  <c r="L474" i="16"/>
  <c r="L389" i="16"/>
  <c r="L193" i="16"/>
  <c r="L22" i="16"/>
  <c r="L1122" i="16"/>
  <c r="L1037" i="16"/>
  <c r="L781" i="16"/>
  <c r="L626" i="16"/>
  <c r="L1174" i="16"/>
  <c r="L1089" i="16"/>
  <c r="L918" i="16"/>
  <c r="L833" i="16"/>
  <c r="L748" i="16"/>
  <c r="L662" i="16"/>
  <c r="L577" i="16"/>
  <c r="L406" i="16"/>
  <c r="L321" i="16"/>
  <c r="L217" i="16"/>
  <c r="L58" i="16"/>
  <c r="L1230" i="16"/>
  <c r="L1145" i="16"/>
  <c r="L974" i="16"/>
  <c r="L889" i="16"/>
  <c r="L718" i="16"/>
  <c r="L633" i="16"/>
  <c r="L548" i="16"/>
  <c r="L462" i="16"/>
  <c r="L377" i="16"/>
  <c r="L291" i="16"/>
  <c r="L170" i="16"/>
  <c r="L962" i="16"/>
  <c r="L589" i="16"/>
  <c r="L413" i="16"/>
  <c r="L166" i="16"/>
  <c r="L190" i="16"/>
  <c r="L105" i="16"/>
  <c r="L19" i="16"/>
  <c r="L1235" i="16"/>
  <c r="L1171" i="16"/>
  <c r="L1107" i="16"/>
  <c r="L1043" i="16"/>
  <c r="L979" i="16"/>
  <c r="L915" i="16"/>
  <c r="L851" i="16"/>
  <c r="L787" i="16"/>
  <c r="L723" i="16"/>
  <c r="L659" i="16"/>
  <c r="L595" i="16"/>
  <c r="L531" i="16"/>
  <c r="L467" i="16"/>
  <c r="L403" i="16"/>
  <c r="L339" i="16"/>
  <c r="L269" i="16"/>
  <c r="L183" i="16"/>
  <c r="L98" i="16"/>
  <c r="L13" i="16"/>
  <c r="L874" i="16"/>
  <c r="L789" i="16"/>
  <c r="L704" i="16"/>
  <c r="L618" i="16"/>
  <c r="L533" i="16"/>
  <c r="L362" i="16"/>
  <c r="L271" i="16"/>
  <c r="L139" i="16"/>
  <c r="L1266" i="16"/>
  <c r="L1181" i="16"/>
  <c r="L1010" i="16"/>
  <c r="L573" i="16"/>
  <c r="L402" i="16"/>
  <c r="L1233" i="16"/>
  <c r="L1062" i="16"/>
  <c r="L977" i="16"/>
  <c r="L806" i="16"/>
  <c r="L721" i="16"/>
  <c r="L550" i="16"/>
  <c r="L465" i="16"/>
  <c r="L294" i="16"/>
  <c r="L175" i="16"/>
  <c r="L5" i="16"/>
  <c r="L1118" i="16"/>
  <c r="L1033" i="16"/>
  <c r="L862" i="16"/>
  <c r="L777" i="16"/>
  <c r="L606" i="16"/>
  <c r="L350" i="16"/>
  <c r="L255" i="16"/>
  <c r="L117" i="16"/>
  <c r="L706" i="16"/>
  <c r="L530" i="16"/>
  <c r="L354" i="16"/>
  <c r="L261" i="16"/>
  <c r="L113" i="16"/>
  <c r="L163" i="16"/>
  <c r="L78" i="16"/>
  <c r="L1279" i="16"/>
  <c r="L1215" i="16"/>
  <c r="L1151" i="16"/>
  <c r="L1087" i="16"/>
  <c r="L1023" i="16"/>
  <c r="L959" i="16"/>
  <c r="L895" i="16"/>
  <c r="L831" i="16"/>
  <c r="L767" i="16"/>
  <c r="L703" i="16"/>
  <c r="L639" i="16"/>
  <c r="L575" i="16"/>
  <c r="L511" i="16"/>
  <c r="L447" i="16"/>
  <c r="L383" i="16"/>
  <c r="L319" i="16"/>
  <c r="L242" i="16"/>
  <c r="L157" i="16"/>
  <c r="L71" i="16"/>
  <c r="L1146" i="16"/>
  <c r="L1061" i="16"/>
  <c r="L890" i="16"/>
  <c r="L805" i="16"/>
  <c r="L720" i="16"/>
  <c r="L634" i="16"/>
  <c r="L549" i="16"/>
  <c r="L378" i="16"/>
  <c r="L293" i="16"/>
  <c r="L171" i="16"/>
  <c r="L1282" i="16"/>
  <c r="L1197" i="16"/>
  <c r="L1026" i="16"/>
  <c r="L914" i="16"/>
  <c r="L605" i="16"/>
  <c r="L1249" i="16"/>
  <c r="L1078" i="16"/>
  <c r="L993" i="16"/>
  <c r="L822" i="16"/>
  <c r="L737" i="16"/>
  <c r="L566" i="16"/>
  <c r="L481" i="16"/>
  <c r="L310" i="16"/>
  <c r="L202" i="16"/>
  <c r="L37" i="16"/>
  <c r="L1134" i="16"/>
  <c r="L1049" i="16"/>
  <c r="L878" i="16"/>
  <c r="L793" i="16"/>
  <c r="L622" i="16"/>
  <c r="L537" i="16"/>
  <c r="L366" i="16"/>
  <c r="L277" i="16"/>
  <c r="L149" i="16"/>
  <c r="L941" i="16"/>
  <c r="L754" i="16"/>
  <c r="L397" i="16"/>
  <c r="L282" i="16"/>
  <c r="L145" i="16"/>
  <c r="L179" i="16"/>
  <c r="L94" i="16"/>
  <c r="L1227" i="16"/>
  <c r="L1163" i="16"/>
  <c r="L1099" i="16"/>
  <c r="L1035" i="16"/>
  <c r="L971" i="16"/>
  <c r="L907" i="16"/>
  <c r="L843" i="16"/>
  <c r="L779" i="16"/>
  <c r="L715" i="16"/>
  <c r="L651" i="16"/>
  <c r="L587" i="16"/>
  <c r="L523" i="16"/>
  <c r="L459" i="16"/>
  <c r="L395" i="16"/>
  <c r="L331" i="16"/>
  <c r="L258" i="16"/>
  <c r="L173" i="16"/>
  <c r="L87" i="16"/>
  <c r="L2" i="16"/>
  <c r="L778" i="16"/>
  <c r="L693" i="16"/>
  <c r="L608" i="16"/>
  <c r="L522" i="16"/>
  <c r="L437" i="16"/>
  <c r="L352" i="16"/>
  <c r="L257" i="16"/>
  <c r="L118" i="16"/>
  <c r="L1170" i="16"/>
  <c r="L1085" i="16"/>
  <c r="L861" i="16"/>
  <c r="L717" i="16"/>
  <c r="L381" i="16"/>
  <c r="L1222" i="16"/>
  <c r="L1137" i="16"/>
  <c r="L966" i="16"/>
  <c r="L881" i="16"/>
  <c r="L796" i="16"/>
  <c r="L710" i="16"/>
  <c r="L625" i="16"/>
  <c r="L454" i="16"/>
  <c r="L369" i="16"/>
  <c r="L281" i="16"/>
  <c r="L154" i="16"/>
  <c r="L1278" i="16"/>
  <c r="L1193" i="16"/>
  <c r="L1022" i="16"/>
  <c r="L937" i="16"/>
  <c r="L766" i="16"/>
  <c r="L681" i="16"/>
  <c r="L510" i="16"/>
  <c r="L425" i="16"/>
  <c r="L241" i="16"/>
  <c r="L95" i="16"/>
  <c r="L882" i="16"/>
  <c r="L690" i="16"/>
  <c r="L509" i="16"/>
  <c r="L246" i="16"/>
  <c r="L91" i="16"/>
  <c r="L153" i="16"/>
  <c r="L67" i="16"/>
  <c r="L1271" i="16"/>
  <c r="L1207" i="16"/>
  <c r="L1143" i="16"/>
  <c r="L1079" i="16"/>
  <c r="L1015" i="16"/>
  <c r="L951" i="16"/>
  <c r="L887" i="16"/>
  <c r="L823" i="16"/>
  <c r="L759" i="16"/>
  <c r="L695" i="16"/>
  <c r="L631" i="16"/>
  <c r="L567" i="16"/>
  <c r="L503" i="16"/>
  <c r="L439" i="16"/>
  <c r="L375" i="16"/>
  <c r="L311" i="16"/>
  <c r="L231" i="16"/>
  <c r="L146" i="16"/>
  <c r="L61" i="16"/>
  <c r="L1330" i="16"/>
  <c r="L1314" i="16"/>
  <c r="L1299" i="16"/>
  <c r="L1329" i="16"/>
  <c r="L1313" i="16"/>
  <c r="L1298" i="16"/>
  <c r="L1297" i="16"/>
  <c r="L1331" i="16"/>
  <c r="L1315" i="16"/>
  <c r="L1194" i="16"/>
  <c r="L1226" i="16"/>
  <c r="L1258" i="16"/>
  <c r="L917" i="16"/>
  <c r="L949" i="16"/>
  <c r="L1221" i="16"/>
  <c r="L1050" i="16"/>
  <c r="L965" i="16"/>
  <c r="L794" i="16"/>
  <c r="L709" i="16"/>
  <c r="L538" i="16"/>
  <c r="L453" i="16"/>
  <c r="L278" i="16"/>
  <c r="L150" i="16"/>
  <c r="L1186" i="16"/>
  <c r="L1101" i="16"/>
  <c r="L898" i="16"/>
  <c r="L738" i="16"/>
  <c r="L418" i="16"/>
  <c r="L1238" i="16"/>
  <c r="L1153" i="16"/>
  <c r="L982" i="16"/>
  <c r="L897" i="16"/>
  <c r="L812" i="16"/>
  <c r="L726" i="16"/>
  <c r="L641" i="16"/>
  <c r="L470" i="16"/>
  <c r="L385" i="16"/>
  <c r="L186" i="16"/>
  <c r="L15" i="16"/>
  <c r="L1209" i="16"/>
  <c r="L1038" i="16"/>
  <c r="L953" i="16"/>
  <c r="L782" i="16"/>
  <c r="L697" i="16"/>
  <c r="L612" i="16"/>
  <c r="L526" i="16"/>
  <c r="L441" i="16"/>
  <c r="L356" i="16"/>
  <c r="L262" i="16"/>
  <c r="L127" i="16"/>
  <c r="L733" i="16"/>
  <c r="L541" i="16"/>
  <c r="L267" i="16"/>
  <c r="L123" i="16"/>
  <c r="L169" i="16"/>
  <c r="L83" i="16"/>
  <c r="L1283" i="16"/>
  <c r="L1219" i="16"/>
  <c r="L1155" i="16"/>
  <c r="L1091" i="16"/>
  <c r="L1027" i="16"/>
  <c r="L963" i="16"/>
  <c r="L899" i="16"/>
  <c r="L835" i="16"/>
  <c r="L771" i="16"/>
  <c r="L707" i="16"/>
  <c r="L643" i="16"/>
  <c r="L579" i="16"/>
  <c r="L515" i="16"/>
  <c r="L451" i="16"/>
  <c r="L387" i="16"/>
  <c r="L323" i="16"/>
  <c r="L247" i="16"/>
  <c r="L162" i="16"/>
  <c r="L77" i="16"/>
  <c r="L288" i="16"/>
  <c r="L224" i="16"/>
  <c r="L160" i="16"/>
  <c r="L96" i="16"/>
  <c r="L32" i="16"/>
  <c r="L853" i="16"/>
  <c r="L768" i="16"/>
  <c r="L682" i="16"/>
  <c r="L597" i="16"/>
  <c r="L426" i="16"/>
  <c r="L341" i="16"/>
  <c r="L243" i="16"/>
  <c r="L97" i="16"/>
  <c r="L1245" i="16"/>
  <c r="L1074" i="16"/>
  <c r="L989" i="16"/>
  <c r="L845" i="16"/>
  <c r="L701" i="16"/>
  <c r="L365" i="16"/>
  <c r="L1126" i="16"/>
  <c r="L1041" i="16"/>
  <c r="L870" i="16"/>
  <c r="L785" i="16"/>
  <c r="L700" i="16"/>
  <c r="L614" i="16"/>
  <c r="L529" i="16"/>
  <c r="L358" i="16"/>
  <c r="L266" i="16"/>
  <c r="L133" i="16"/>
  <c r="L1182" i="16"/>
  <c r="L1097" i="16"/>
  <c r="L926" i="16"/>
  <c r="L841" i="16"/>
  <c r="L670" i="16"/>
  <c r="L585" i="16"/>
  <c r="L414" i="16"/>
  <c r="L227" i="16"/>
  <c r="L74" i="16"/>
  <c r="L866" i="16"/>
  <c r="L669" i="16"/>
  <c r="L493" i="16"/>
  <c r="L333" i="16"/>
  <c r="L225" i="16"/>
  <c r="L70" i="16"/>
  <c r="L142" i="16"/>
  <c r="L57" i="16"/>
  <c r="L1263" i="16"/>
  <c r="L1199" i="16"/>
  <c r="L1135" i="16"/>
  <c r="L1071" i="16"/>
  <c r="L1007" i="16"/>
  <c r="L943" i="16"/>
  <c r="L879" i="16"/>
  <c r="L815" i="16"/>
  <c r="L751" i="16"/>
  <c r="L687" i="16"/>
  <c r="L623" i="16"/>
  <c r="L559" i="16"/>
  <c r="L495" i="16"/>
  <c r="L431" i="16"/>
  <c r="L367" i="16"/>
  <c r="L303" i="16"/>
  <c r="L221" i="16"/>
  <c r="L135" i="16"/>
  <c r="L50" i="16"/>
  <c r="L1210" i="16"/>
  <c r="L1125" i="16"/>
  <c r="L954" i="16"/>
  <c r="L869" i="16"/>
  <c r="L784" i="16"/>
  <c r="L698" i="16"/>
  <c r="L613" i="16"/>
  <c r="L442" i="16"/>
  <c r="L357" i="16"/>
  <c r="L265" i="16"/>
  <c r="L129" i="16"/>
  <c r="L1261" i="16"/>
  <c r="L1090" i="16"/>
  <c r="L1005" i="16"/>
  <c r="L722" i="16"/>
  <c r="L562" i="16"/>
  <c r="L1142" i="16"/>
  <c r="L1057" i="16"/>
  <c r="L886" i="16"/>
  <c r="L801" i="16"/>
  <c r="L716" i="16"/>
  <c r="L630" i="16"/>
  <c r="L545" i="16"/>
  <c r="L374" i="16"/>
  <c r="L287" i="16"/>
  <c r="L165" i="16"/>
  <c r="L1274" i="16"/>
  <c r="L1198" i="16"/>
  <c r="L1113" i="16"/>
  <c r="L942" i="16"/>
  <c r="L857" i="16"/>
  <c r="L686" i="16"/>
  <c r="L601" i="16"/>
  <c r="L430" i="16"/>
  <c r="L345" i="16"/>
  <c r="L249" i="16"/>
  <c r="L106" i="16"/>
  <c r="L893" i="16"/>
  <c r="L349" i="16"/>
  <c r="L254" i="16"/>
  <c r="L102" i="16"/>
  <c r="L158" i="16"/>
  <c r="L1275" i="16"/>
  <c r="L1211" i="16"/>
  <c r="L1147" i="16"/>
  <c r="L1083" i="16"/>
  <c r="L1019" i="16"/>
  <c r="L955" i="16"/>
  <c r="L891" i="16"/>
  <c r="L827" i="16"/>
  <c r="L763" i="16"/>
  <c r="L699" i="16"/>
  <c r="L635" i="16"/>
  <c r="L571" i="16"/>
  <c r="L507" i="16"/>
  <c r="L443" i="16"/>
  <c r="L379" i="16"/>
  <c r="L315" i="16"/>
  <c r="L237" i="16"/>
  <c r="L151" i="16"/>
  <c r="L66" i="16"/>
  <c r="L842" i="16"/>
  <c r="L757" i="16"/>
  <c r="L672" i="16"/>
  <c r="L586" i="16"/>
  <c r="L501" i="16"/>
  <c r="L416" i="16"/>
  <c r="L330" i="16"/>
  <c r="L229" i="16"/>
  <c r="L75" i="16"/>
  <c r="L1234" i="16"/>
  <c r="L1149" i="16"/>
  <c r="L978" i="16"/>
  <c r="L674" i="16"/>
  <c r="L514" i="16"/>
  <c r="L239" i="16"/>
  <c r="L1201" i="16"/>
  <c r="L1030" i="16"/>
  <c r="L945" i="16"/>
  <c r="L774" i="16"/>
  <c r="L689" i="16"/>
  <c r="L518" i="16"/>
  <c r="L433" i="16"/>
  <c r="L251" i="16"/>
  <c r="L111" i="16"/>
  <c r="L1257" i="16"/>
  <c r="L1086" i="16"/>
  <c r="L1001" i="16"/>
  <c r="L830" i="16"/>
  <c r="L745" i="16"/>
  <c r="L574" i="16"/>
  <c r="L489" i="16"/>
  <c r="L318" i="16"/>
  <c r="L213" i="16"/>
  <c r="L53" i="16"/>
  <c r="L322" i="16"/>
  <c r="L211" i="16"/>
  <c r="L49" i="16"/>
  <c r="L131" i="16"/>
  <c r="L46" i="16"/>
  <c r="L1255" i="16"/>
  <c r="L1191" i="16"/>
  <c r="L1127" i="16"/>
  <c r="L1063" i="16"/>
  <c r="L999" i="16"/>
  <c r="L935" i="16"/>
  <c r="L871" i="16"/>
  <c r="L807" i="16"/>
  <c r="L743" i="16"/>
  <c r="L679" i="16"/>
  <c r="L615" i="16"/>
  <c r="L551" i="16"/>
  <c r="L487" i="16"/>
  <c r="L423" i="16"/>
  <c r="L359" i="16"/>
  <c r="L295" i="16"/>
  <c r="L210" i="16"/>
  <c r="L125" i="16"/>
  <c r="L39" i="16"/>
  <c r="L1326" i="16"/>
  <c r="L1310" i="16"/>
  <c r="L1295" i="16"/>
  <c r="L1325" i="16"/>
  <c r="L1309" i="16"/>
  <c r="L1294" i="16"/>
  <c r="L1293" i="16"/>
  <c r="L1327" i="16"/>
  <c r="L1311" i="16"/>
  <c r="M26" i="9"/>
  <c r="M25" i="9"/>
  <c r="M24" i="9"/>
  <c r="M23" i="9"/>
  <c r="M22" i="9"/>
  <c r="M21" i="9"/>
  <c r="M20" i="9"/>
  <c r="M19" i="9"/>
  <c r="M18" i="9"/>
  <c r="L27" i="9"/>
  <c r="L26" i="9"/>
  <c r="L25" i="9"/>
  <c r="L24" i="9"/>
  <c r="K27" i="9"/>
  <c r="M28" i="9" s="1"/>
  <c r="K26" i="9"/>
  <c r="K25" i="9"/>
  <c r="K24" i="9"/>
  <c r="M27" i="9" l="1"/>
  <c r="M29" i="9"/>
  <c r="K14" i="9"/>
  <c r="K13" i="9"/>
  <c r="K12" i="9"/>
  <c r="K11" i="9"/>
  <c r="K10" i="9"/>
  <c r="K9" i="9"/>
  <c r="K8" i="9"/>
  <c r="K7" i="9"/>
  <c r="K23" i="9"/>
  <c r="K22" i="9"/>
  <c r="K21" i="9"/>
  <c r="K20" i="9"/>
  <c r="L30" i="9"/>
  <c r="L31" i="9" s="1"/>
  <c r="L32" i="9" s="1"/>
  <c r="L33" i="9" s="1"/>
  <c r="L34" i="9" s="1"/>
  <c r="L35" i="9" s="1"/>
  <c r="L23" i="9"/>
  <c r="L22" i="9"/>
  <c r="L21" i="9"/>
  <c r="L20" i="9"/>
  <c r="L19" i="9"/>
  <c r="L7" i="9"/>
  <c r="L6" i="9"/>
  <c r="K30" i="9" l="1"/>
  <c r="K33" i="9" l="1"/>
  <c r="K34" i="9" s="1"/>
  <c r="K35" i="9" s="1"/>
  <c r="K36" i="9" s="1"/>
  <c r="K37" i="9" s="1"/>
  <c r="K38" i="9" s="1"/>
  <c r="K39" i="9" s="1"/>
  <c r="K40" i="9" s="1"/>
  <c r="K41" i="9" s="1"/>
  <c r="K42" i="9" s="1"/>
  <c r="K43" i="9" s="1"/>
  <c r="K44" i="9" s="1"/>
  <c r="K45" i="9" s="1"/>
  <c r="K46" i="9" s="1"/>
  <c r="K47" i="9" s="1"/>
  <c r="K48" i="9" s="1"/>
  <c r="M30" i="9"/>
  <c r="K19" i="9"/>
  <c r="G4" i="30"/>
  <c r="K49" i="9" l="1"/>
  <c r="K50" i="9" s="1"/>
  <c r="K51" i="9" s="1"/>
  <c r="K52" i="9" s="1"/>
  <c r="K53" i="9" s="1"/>
  <c r="K54" i="9" s="1"/>
  <c r="K55" i="9" s="1"/>
  <c r="K56" i="9" s="1"/>
  <c r="K57" i="9" s="1"/>
  <c r="K58" i="9" s="1"/>
  <c r="K59" i="9" s="1"/>
  <c r="K60" i="9" s="1"/>
  <c r="K61" i="9" s="1"/>
  <c r="K62" i="9" s="1"/>
  <c r="K63" i="9" s="1"/>
  <c r="K64" i="9" s="1"/>
  <c r="K65" i="9" s="1"/>
  <c r="K66" i="9" s="1"/>
  <c r="K67" i="9" s="1"/>
  <c r="K68" i="9" s="1"/>
  <c r="K69" i="9" s="1"/>
  <c r="K70" i="9" s="1"/>
  <c r="K16" i="9"/>
  <c r="M16" i="9" s="1"/>
  <c r="L16" i="9"/>
  <c r="L17" i="9" s="1"/>
  <c r="L18" i="9" s="1"/>
  <c r="K71" i="9" l="1"/>
  <c r="K72" i="9" s="1"/>
  <c r="K73" i="9" s="1"/>
  <c r="K74" i="9" s="1"/>
  <c r="K75" i="9" s="1"/>
  <c r="K76" i="9" s="1"/>
  <c r="K77" i="9" s="1"/>
  <c r="K78" i="9" s="1"/>
  <c r="K79" i="9" s="1"/>
  <c r="K80" i="9" s="1"/>
  <c r="K81" i="9" s="1"/>
  <c r="K82" i="9" s="1"/>
  <c r="K83" i="9" s="1"/>
  <c r="K84" i="9" s="1"/>
  <c r="K85" i="9" s="1"/>
  <c r="K86" i="9" s="1"/>
  <c r="K87" i="9" s="1"/>
  <c r="K88" i="9" s="1"/>
  <c r="K89" i="9" s="1"/>
  <c r="K90" i="9" s="1"/>
  <c r="K91" i="9" s="1"/>
  <c r="K92" i="9" s="1"/>
  <c r="K17" i="9"/>
  <c r="K93" i="9" l="1"/>
  <c r="K94" i="9" s="1"/>
  <c r="K95" i="9" s="1"/>
  <c r="K96" i="9" s="1"/>
  <c r="K97" i="9" s="1"/>
  <c r="K98" i="9" s="1"/>
  <c r="K99" i="9" s="1"/>
  <c r="K100" i="9" s="1"/>
  <c r="K101" i="9" s="1"/>
  <c r="K102" i="9" s="1"/>
  <c r="K103" i="9" s="1"/>
  <c r="K104" i="9" s="1"/>
  <c r="K105" i="9" s="1"/>
  <c r="K106" i="9" s="1"/>
  <c r="K107" i="9" s="1"/>
  <c r="K108" i="9" s="1"/>
  <c r="K109" i="9" s="1"/>
  <c r="K110" i="9" s="1"/>
  <c r="K111" i="9" s="1"/>
  <c r="K112" i="9" s="1"/>
  <c r="K113" i="9" s="1"/>
  <c r="K114" i="9" s="1"/>
  <c r="M31" i="9"/>
  <c r="M17" i="9"/>
  <c r="K18" i="9"/>
  <c r="L15" i="9"/>
  <c r="K15" i="9"/>
  <c r="M15" i="9" s="1"/>
  <c r="K115" i="9" l="1"/>
  <c r="K116" i="9" s="1"/>
  <c r="K117" i="9" s="1"/>
  <c r="K118" i="9" s="1"/>
  <c r="K119" i="9" s="1"/>
  <c r="K120" i="9" s="1"/>
  <c r="K121" i="9" s="1"/>
  <c r="K122" i="9" s="1"/>
  <c r="K123" i="9" s="1"/>
  <c r="K124" i="9" s="1"/>
  <c r="K125" i="9" s="1"/>
  <c r="K126" i="9" s="1"/>
  <c r="K127" i="9" s="1"/>
  <c r="K128" i="9" s="1"/>
  <c r="K129" i="9" s="1"/>
  <c r="K130" i="9" s="1"/>
  <c r="K131" i="9" s="1"/>
  <c r="K132" i="9" s="1"/>
  <c r="K133" i="9" s="1"/>
  <c r="K134" i="9" s="1"/>
  <c r="K135" i="9" s="1"/>
  <c r="K136" i="9" s="1"/>
  <c r="M32" i="9"/>
  <c r="L14" i="9"/>
  <c r="M14" i="9"/>
  <c r="K137" i="9" l="1"/>
  <c r="K138" i="9" s="1"/>
  <c r="K139" i="9" s="1"/>
  <c r="K140" i="9" s="1"/>
  <c r="K141" i="9" s="1"/>
  <c r="K142" i="9" s="1"/>
  <c r="K143" i="9" s="1"/>
  <c r="K144" i="9" s="1"/>
  <c r="K145" i="9" s="1"/>
  <c r="K146" i="9" s="1"/>
  <c r="K147" i="9" s="1"/>
  <c r="K148" i="9" s="1"/>
  <c r="M33" i="9"/>
  <c r="M4" i="9"/>
  <c r="L5" i="9"/>
  <c r="L8" i="9" s="1"/>
  <c r="L9" i="9" s="1"/>
  <c r="L10" i="9" s="1"/>
  <c r="L11" i="9" s="1"/>
  <c r="L12" i="9" s="1"/>
  <c r="L13" i="9" s="1"/>
  <c r="K5" i="9"/>
  <c r="M5" i="9" s="1"/>
  <c r="M34" i="9" l="1"/>
  <c r="K6" i="9"/>
  <c r="H336" i="16"/>
  <c r="L36" i="9" l="1"/>
  <c r="M35" i="9"/>
  <c r="M6" i="9"/>
  <c r="F5" i="9"/>
  <c r="F6" i="9" s="1"/>
  <c r="F7" i="9" s="1"/>
  <c r="F8" i="9" s="1"/>
  <c r="F9" i="9" s="1"/>
  <c r="F10" i="9" s="1"/>
  <c r="E5" i="9"/>
  <c r="E6" i="9" s="1"/>
  <c r="G4" i="9"/>
  <c r="M36" i="9" l="1"/>
  <c r="L37" i="9"/>
  <c r="F11" i="9"/>
  <c r="F12" i="9" s="1"/>
  <c r="F13" i="9" s="1"/>
  <c r="F14" i="9" s="1"/>
  <c r="F15" i="9" s="1"/>
  <c r="F16" i="9" s="1"/>
  <c r="F17" i="9" s="1"/>
  <c r="F18" i="9" s="1"/>
  <c r="F19" i="9" s="1"/>
  <c r="F20" i="9" s="1"/>
  <c r="F21" i="9" s="1"/>
  <c r="F22" i="9" s="1"/>
  <c r="F23" i="9" s="1"/>
  <c r="F24" i="9" s="1"/>
  <c r="F25" i="9" s="1"/>
  <c r="M7" i="9"/>
  <c r="G5" i="9"/>
  <c r="E7" i="9"/>
  <c r="G6" i="9"/>
  <c r="L38" i="9" l="1"/>
  <c r="M37" i="9"/>
  <c r="M8" i="9"/>
  <c r="E8" i="9"/>
  <c r="G7" i="9"/>
  <c r="L39" i="9" l="1"/>
  <c r="M38" i="9"/>
  <c r="M9" i="9"/>
  <c r="E9" i="9"/>
  <c r="G8" i="9"/>
  <c r="L40" i="9" l="1"/>
  <c r="M39" i="9"/>
  <c r="M10" i="9"/>
  <c r="E10" i="9"/>
  <c r="G9" i="9"/>
  <c r="L41" i="9" l="1"/>
  <c r="M40" i="9"/>
  <c r="M11" i="9"/>
  <c r="E11" i="9"/>
  <c r="E12" i="9" s="1"/>
  <c r="G10" i="9"/>
  <c r="L42" i="9" l="1"/>
  <c r="M41" i="9"/>
  <c r="M12" i="9"/>
  <c r="G11" i="9"/>
  <c r="L43" i="9" l="1"/>
  <c r="M42" i="9"/>
  <c r="M13" i="9"/>
  <c r="E13" i="9"/>
  <c r="G12" i="9"/>
  <c r="L44" i="9" l="1"/>
  <c r="M43" i="9"/>
  <c r="E14" i="9"/>
  <c r="G13" i="9"/>
  <c r="L45" i="9" l="1"/>
  <c r="M44" i="9"/>
  <c r="E15" i="9"/>
  <c r="G14" i="9"/>
  <c r="L46" i="9" l="1"/>
  <c r="M45" i="9"/>
  <c r="E16" i="9"/>
  <c r="G15" i="9"/>
  <c r="L47" i="9" l="1"/>
  <c r="M46" i="9"/>
  <c r="E17" i="9"/>
  <c r="G16" i="9"/>
  <c r="L48" i="9" l="1"/>
  <c r="M48" i="9" s="1"/>
  <c r="M47" i="9"/>
  <c r="E18" i="9"/>
  <c r="G17" i="9"/>
  <c r="L49" i="9" l="1"/>
  <c r="E19" i="9"/>
  <c r="G18" i="9"/>
  <c r="L50" i="9" l="1"/>
  <c r="M49" i="9"/>
  <c r="E20" i="9"/>
  <c r="G19" i="9"/>
  <c r="L51" i="9" l="1"/>
  <c r="M50" i="9"/>
  <c r="E21" i="9"/>
  <c r="G20" i="9"/>
  <c r="L52" i="9" l="1"/>
  <c r="M51" i="9"/>
  <c r="E22" i="9"/>
  <c r="G21" i="9"/>
  <c r="M52" i="9" l="1"/>
  <c r="L53" i="9"/>
  <c r="E23" i="9"/>
  <c r="G22" i="9"/>
  <c r="L54" i="9" l="1"/>
  <c r="M53" i="9"/>
  <c r="E24" i="9"/>
  <c r="G23" i="9"/>
  <c r="L55" i="9" l="1"/>
  <c r="M54" i="9"/>
  <c r="E25" i="9"/>
  <c r="G25" i="9" s="1"/>
  <c r="G24" i="9"/>
  <c r="L56" i="9" l="1"/>
  <c r="M55" i="9"/>
  <c r="L57" i="9" l="1"/>
  <c r="M56" i="9"/>
  <c r="L58" i="9" l="1"/>
  <c r="M57" i="9"/>
  <c r="L59" i="9" l="1"/>
  <c r="M58" i="9"/>
  <c r="L60" i="9" l="1"/>
  <c r="M59" i="9"/>
  <c r="M60" i="9" l="1"/>
  <c r="L61" i="9"/>
  <c r="L62" i="9" l="1"/>
  <c r="M61" i="9"/>
  <c r="L63" i="9" l="1"/>
  <c r="M62" i="9"/>
  <c r="L64" i="9" l="1"/>
  <c r="M63" i="9"/>
  <c r="M64" i="9" l="1"/>
  <c r="L65" i="9"/>
  <c r="L66" i="9" l="1"/>
  <c r="M65" i="9"/>
  <c r="L67" i="9" l="1"/>
  <c r="M66" i="9"/>
  <c r="L68" i="9" l="1"/>
  <c r="M67" i="9"/>
  <c r="M68" i="9" l="1"/>
  <c r="L69" i="9"/>
  <c r="L70" i="9" l="1"/>
  <c r="M70" i="9" s="1"/>
  <c r="M69" i="9"/>
  <c r="L71" i="9" l="1"/>
  <c r="L72" i="9" l="1"/>
  <c r="M71" i="9"/>
  <c r="L73" i="9" l="1"/>
  <c r="M72" i="9"/>
  <c r="L74" i="9" l="1"/>
  <c r="M73" i="9"/>
  <c r="L75" i="9" l="1"/>
  <c r="M74" i="9"/>
  <c r="L76" i="9" l="1"/>
  <c r="M75" i="9"/>
  <c r="L77" i="9" l="1"/>
  <c r="M76" i="9"/>
  <c r="L78" i="9" l="1"/>
  <c r="M77" i="9"/>
  <c r="L79" i="9" l="1"/>
  <c r="M78" i="9"/>
  <c r="L80" i="9" l="1"/>
  <c r="M79" i="9"/>
  <c r="L81" i="9" l="1"/>
  <c r="M80" i="9"/>
  <c r="L82" i="9" l="1"/>
  <c r="M81" i="9"/>
  <c r="L83" i="9" l="1"/>
  <c r="M82" i="9"/>
  <c r="L84" i="9" l="1"/>
  <c r="M83" i="9"/>
  <c r="M84" i="9" l="1"/>
  <c r="L85" i="9"/>
  <c r="L86" i="9" l="1"/>
  <c r="M85" i="9"/>
  <c r="L87" i="9" l="1"/>
  <c r="M86" i="9"/>
  <c r="L88" i="9" l="1"/>
  <c r="M87" i="9"/>
  <c r="L89" i="9" l="1"/>
  <c r="M88" i="9"/>
  <c r="L90" i="9" l="1"/>
  <c r="M89" i="9"/>
  <c r="L91" i="9" l="1"/>
  <c r="M90" i="9"/>
  <c r="M91" i="9" l="1"/>
  <c r="L92" i="9"/>
  <c r="M92" i="9" s="1"/>
  <c r="L93" i="9" l="1"/>
  <c r="L94" i="9" l="1"/>
  <c r="M93" i="9"/>
  <c r="L95" i="9" l="1"/>
  <c r="M94" i="9"/>
  <c r="L96" i="9" l="1"/>
  <c r="M95" i="9"/>
  <c r="M96" i="9" l="1"/>
  <c r="L97" i="9"/>
  <c r="L98" i="9" l="1"/>
  <c r="M97" i="9"/>
  <c r="L99" i="9" l="1"/>
  <c r="M98" i="9"/>
  <c r="L100" i="9" l="1"/>
  <c r="M99" i="9"/>
  <c r="M100" i="9" l="1"/>
  <c r="L101" i="9"/>
  <c r="L102" i="9" l="1"/>
  <c r="M101" i="9"/>
  <c r="L103" i="9" l="1"/>
  <c r="M102" i="9"/>
  <c r="L104" i="9" l="1"/>
  <c r="M103" i="9"/>
  <c r="L105" i="9" l="1"/>
  <c r="M104" i="9"/>
  <c r="L106" i="9" l="1"/>
  <c r="M105" i="9"/>
  <c r="L107" i="9" l="1"/>
  <c r="M106" i="9"/>
  <c r="L108" i="9" l="1"/>
  <c r="M107" i="9"/>
  <c r="M108" i="9" l="1"/>
  <c r="L109" i="9"/>
  <c r="L110" i="9" l="1"/>
  <c r="M109" i="9"/>
  <c r="L111" i="9" l="1"/>
  <c r="M110" i="9"/>
  <c r="L112" i="9" l="1"/>
  <c r="M111" i="9"/>
  <c r="M112" i="9" l="1"/>
  <c r="L113" i="9"/>
  <c r="L114" i="9" l="1"/>
  <c r="M114" i="9" s="1"/>
  <c r="M113" i="9"/>
  <c r="L115" i="9" l="1"/>
  <c r="L116" i="9" l="1"/>
  <c r="M115" i="9"/>
  <c r="L117" i="9" l="1"/>
  <c r="M116" i="9"/>
  <c r="L118" i="9" l="1"/>
  <c r="M117" i="9"/>
  <c r="L119" i="9" l="1"/>
  <c r="M118" i="9"/>
  <c r="L120" i="9" l="1"/>
  <c r="M119" i="9"/>
  <c r="L121" i="9" l="1"/>
  <c r="M120" i="9"/>
  <c r="L122" i="9" l="1"/>
  <c r="M121" i="9"/>
  <c r="L123" i="9" l="1"/>
  <c r="M122" i="9"/>
  <c r="L124" i="9" l="1"/>
  <c r="M123" i="9"/>
  <c r="M124" i="9" l="1"/>
  <c r="L125" i="9"/>
  <c r="L126" i="9" l="1"/>
  <c r="M125" i="9"/>
  <c r="L127" i="9" l="1"/>
  <c r="M126" i="9"/>
  <c r="L128" i="9" l="1"/>
  <c r="M127" i="9"/>
  <c r="M128" i="9" l="1"/>
  <c r="L129" i="9"/>
  <c r="L130" i="9" l="1"/>
  <c r="M129" i="9"/>
  <c r="L131" i="9" l="1"/>
  <c r="M130" i="9"/>
  <c r="L132" i="9" l="1"/>
  <c r="M131" i="9"/>
  <c r="M132" i="9" l="1"/>
  <c r="L133" i="9"/>
  <c r="L134" i="9" l="1"/>
  <c r="M133" i="9"/>
  <c r="L135" i="9" l="1"/>
  <c r="M134" i="9"/>
  <c r="L136" i="9" l="1"/>
  <c r="M136" i="9" s="1"/>
  <c r="M135" i="9"/>
  <c r="L137" i="9" l="1"/>
  <c r="L138" i="9" l="1"/>
  <c r="M137" i="9"/>
  <c r="L139" i="9" l="1"/>
  <c r="M138" i="9"/>
  <c r="L140" i="9" l="1"/>
  <c r="M139" i="9"/>
  <c r="L141" i="9" l="1"/>
  <c r="M140" i="9"/>
  <c r="L142" i="9" l="1"/>
  <c r="M141" i="9"/>
  <c r="L143" i="9" l="1"/>
  <c r="M142" i="9"/>
  <c r="L144" i="9" l="1"/>
  <c r="M143" i="9"/>
  <c r="M144" i="9" l="1"/>
  <c r="L145" i="9"/>
  <c r="L146" i="9" l="1"/>
  <c r="M145" i="9"/>
  <c r="L147" i="9" l="1"/>
  <c r="M146" i="9"/>
  <c r="L148" i="9" l="1"/>
  <c r="M148" i="9" s="1"/>
  <c r="M147" i="9"/>
</calcChain>
</file>

<file path=xl/sharedStrings.xml><?xml version="1.0" encoding="utf-8"?>
<sst xmlns="http://schemas.openxmlformats.org/spreadsheetml/2006/main" count="1921" uniqueCount="253">
  <si>
    <t xml:space="preserve">DATE </t>
  </si>
  <si>
    <t>Sihle Gum</t>
  </si>
  <si>
    <t>Kenny Langa</t>
  </si>
  <si>
    <t>Tshepang Makara</t>
  </si>
  <si>
    <t>Essien Makwarimba</t>
  </si>
  <si>
    <t>Promise Mkhuma</t>
  </si>
  <si>
    <t>Tebogo Mohlamonyane</t>
  </si>
  <si>
    <t>Matome Rangata</t>
  </si>
  <si>
    <t>Thabang Sibanyoni</t>
  </si>
  <si>
    <t>Athenkosi Tonisi</t>
  </si>
  <si>
    <t xml:space="preserve">POSITIONS </t>
  </si>
  <si>
    <t>DEFENDERS</t>
  </si>
  <si>
    <t xml:space="preserve">MIDFIELDERS </t>
  </si>
  <si>
    <t xml:space="preserve">STRIKERS </t>
  </si>
  <si>
    <t xml:space="preserve">WINGERS </t>
  </si>
  <si>
    <t xml:space="preserve">Tshepiso Mahlangu </t>
  </si>
  <si>
    <t xml:space="preserve">Neo Ramashala </t>
  </si>
  <si>
    <t xml:space="preserve">Keabetswe Nkogatse </t>
  </si>
  <si>
    <t xml:space="preserve">Samuel Julies </t>
  </si>
  <si>
    <t xml:space="preserve">Frank Mpedi </t>
  </si>
  <si>
    <t xml:space="preserve">Sapholwethu Kelepu </t>
  </si>
  <si>
    <t xml:space="preserve">Manelisi Sithole </t>
  </si>
  <si>
    <t xml:space="preserve">Thabiso Mokoena </t>
  </si>
  <si>
    <t>Thaulani Zandamela</t>
  </si>
  <si>
    <t xml:space="preserve">Mdevulana Camagu </t>
  </si>
  <si>
    <t xml:space="preserve">Khomotso Marebane </t>
  </si>
  <si>
    <t xml:space="preserve">Tebogo Makungo </t>
  </si>
  <si>
    <t xml:space="preserve">Neo Dikgale </t>
  </si>
  <si>
    <t xml:space="preserve">Kamohelo Pheeane </t>
  </si>
  <si>
    <t xml:space="preserve">Jesse Francis </t>
  </si>
  <si>
    <t xml:space="preserve">Ayanda Mvambi </t>
  </si>
  <si>
    <t xml:space="preserve">Delano Abrahams </t>
  </si>
  <si>
    <t xml:space="preserve">Lesedi Motha </t>
  </si>
  <si>
    <t xml:space="preserve">Malekgene Mampuru </t>
  </si>
  <si>
    <t xml:space="preserve">SCHEDULE </t>
  </si>
  <si>
    <t xml:space="preserve">GAMEDAY </t>
  </si>
  <si>
    <t xml:space="preserve">3 EMA (Acute) </t>
  </si>
  <si>
    <t>21 EMA (Chronic )</t>
  </si>
  <si>
    <t xml:space="preserve">7 EMA (Acute ) </t>
  </si>
  <si>
    <t>ACWR</t>
  </si>
  <si>
    <t>1.3</t>
  </si>
  <si>
    <t>LOWER</t>
  </si>
  <si>
    <t>0.8</t>
  </si>
  <si>
    <t>UPPER</t>
  </si>
  <si>
    <t xml:space="preserve">28 EMA (Chronic ) </t>
  </si>
  <si>
    <t xml:space="preserve">non-contact injury risk </t>
  </si>
  <si>
    <t xml:space="preserve">AMATUKS 2023 / 2024 SEASON </t>
  </si>
  <si>
    <t xml:space="preserve">INCREASED INJURY RISK </t>
  </si>
  <si>
    <t>FATIGUE</t>
  </si>
  <si>
    <t>FITNESS</t>
  </si>
  <si>
    <t>EXERCISE LOAD</t>
  </si>
  <si>
    <t>Player name</t>
  </si>
  <si>
    <t>Total distance [m]</t>
  </si>
  <si>
    <t>Mdevulana Camagu</t>
  </si>
  <si>
    <t>Neo Dikgale</t>
  </si>
  <si>
    <t>Jesse Francis</t>
  </si>
  <si>
    <t>Samuel Julies</t>
  </si>
  <si>
    <t>Sapholwethu Kelepu</t>
  </si>
  <si>
    <t>Tshepiso Mahlangu</t>
  </si>
  <si>
    <t>Tebogo Makungo</t>
  </si>
  <si>
    <t>Malekgene Mampuru</t>
  </si>
  <si>
    <t>Lulama Maqoko</t>
  </si>
  <si>
    <t>Thabiso Mokoena</t>
  </si>
  <si>
    <t>Lesedi Motha</t>
  </si>
  <si>
    <t>Frank Mpedi</t>
  </si>
  <si>
    <t>Ayanda Mvambi</t>
  </si>
  <si>
    <t>Kamohelo Pheeane</t>
  </si>
  <si>
    <t>Manelisi Sithole</t>
  </si>
  <si>
    <t>Bongolwethu Siyasi</t>
  </si>
  <si>
    <t>Thulani Zandamela</t>
  </si>
  <si>
    <t>Delano Abrahams</t>
  </si>
  <si>
    <t>Khomotso Marebane</t>
  </si>
  <si>
    <t>Speed zone 5 [m] (25.00- km/h)</t>
  </si>
  <si>
    <t>Deaccelerations (-50.00 - -3.00 m/s²)</t>
  </si>
  <si>
    <t>Accelerations (3.00 - 50.00 m/s²)</t>
  </si>
  <si>
    <t>Row Labels</t>
  </si>
  <si>
    <t>Grand Total</t>
  </si>
  <si>
    <t>Keabetswe Nkogatse</t>
  </si>
  <si>
    <t>Neo Ramashala</t>
  </si>
  <si>
    <t xml:space="preserve">DEFENDERS </t>
  </si>
  <si>
    <t xml:space="preserve">Exercise Load </t>
  </si>
  <si>
    <t xml:space="preserve">Date </t>
  </si>
  <si>
    <t xml:space="preserve">Average of Exercise Load </t>
  </si>
  <si>
    <t>MIDFIELDERS</t>
  </si>
  <si>
    <t>STRIKERS</t>
  </si>
  <si>
    <t>WINGERS</t>
  </si>
  <si>
    <t xml:space="preserve">POST TRAINING WORKLOAD REPORT </t>
  </si>
  <si>
    <t xml:space="preserve">TRAINING DAY </t>
  </si>
  <si>
    <t>01/01/2024</t>
  </si>
  <si>
    <t>MONDAY 08/01/24</t>
  </si>
  <si>
    <t>TUESDAY 09/01/24</t>
  </si>
  <si>
    <t>WEDNESDAY 10/01/24</t>
  </si>
  <si>
    <t>THURSDAY 11/01/24</t>
  </si>
  <si>
    <t>FRIDAY 12/01/24</t>
  </si>
  <si>
    <t>Kaketso Harold Majadibodu</t>
  </si>
  <si>
    <t>Maselaelo Seanego</t>
  </si>
  <si>
    <t>Thokozani Sekotlong</t>
  </si>
  <si>
    <t>SATURDAY 13/01/24</t>
  </si>
  <si>
    <t>SUNDAY 14/01/24</t>
  </si>
  <si>
    <t>MONDAY 15/01/24</t>
  </si>
  <si>
    <t>TUESDAY 16/01/24</t>
  </si>
  <si>
    <t>WEDNESDAY 17/01/24</t>
  </si>
  <si>
    <t>THURSDAY 18/01/24</t>
  </si>
  <si>
    <t>FRIDAY 19/01/24</t>
  </si>
  <si>
    <t>SUNDAY 21/01/24</t>
  </si>
  <si>
    <t>MONDAY 22/01/24</t>
  </si>
  <si>
    <t>WEDNESDAY 24/01/24</t>
  </si>
  <si>
    <t>THURSDAY 25/01/24</t>
  </si>
  <si>
    <t>FRIDAY 26/01/24</t>
  </si>
  <si>
    <t>SUNDAY 28/01/24</t>
  </si>
  <si>
    <t xml:space="preserve">The acute:chronic workload ratio (ACWR), assessing an athlete's readiness and injury risk, balances the last 7 days' ( fatigue) workload with the previous 28 days (fitness). Optimal levels (0.80 – 1.30) represent "The Sweet Spot," minimizing injury risk. Values outside this range indicate under-training (&lt; 0.80) or the "increased injury risk zone" (&gt; 1.50). Despite not being fixed, staying within an increased risk zone during training requires careful management, as rapid workload increases are linked to a significant portion of non-contact soft-tissue injuries.
However, given the competitive nature of the sport, there will be instances where we need to train or compete in the heightened injury risk zone to pursue additional improvements and stay competitive. Nevertheless, it is crucial to carefully monitor the duration and frequency of our exposure to this zone.
</t>
  </si>
  <si>
    <t xml:space="preserve">MARUMO GALANTS </t>
  </si>
  <si>
    <t xml:space="preserve">JRD STARS </t>
  </si>
  <si>
    <t xml:space="preserve">TEAM </t>
  </si>
  <si>
    <t xml:space="preserve">LOAD </t>
  </si>
  <si>
    <t>DATE</t>
  </si>
  <si>
    <t>20/10/2023</t>
  </si>
  <si>
    <t>04/11/2023</t>
  </si>
  <si>
    <t>MOVING GAMELOAD AVG</t>
  </si>
  <si>
    <t xml:space="preserve">TRAINING MATCH </t>
  </si>
  <si>
    <t>23/01/2024</t>
  </si>
  <si>
    <t xml:space="preserve">INTERNAL FRIENDLY </t>
  </si>
  <si>
    <t>27/01/2024</t>
  </si>
  <si>
    <t xml:space="preserve">HUNGRY LIONS </t>
  </si>
  <si>
    <t xml:space="preserve">NFD TOURNAMENT </t>
  </si>
  <si>
    <t>JDR</t>
  </si>
  <si>
    <t>MONDAY 29/01/24</t>
  </si>
  <si>
    <t>TUESDAY 30/01/24</t>
  </si>
  <si>
    <t>WEDNESDAY 31/01/24</t>
  </si>
  <si>
    <t>THURSDAY 01/02/24</t>
  </si>
  <si>
    <t>ORBIT COLEGE (60*)</t>
  </si>
  <si>
    <t>02/02/2024</t>
  </si>
  <si>
    <t>03/02/2024</t>
  </si>
  <si>
    <t xml:space="preserve">CASRIC ( TRANSPLANTED ) </t>
  </si>
  <si>
    <t>ORBIT C FRIENDLY</t>
  </si>
  <si>
    <t>SUNDAY 04/02/2024</t>
  </si>
  <si>
    <t>MONDAY 05/02/2024</t>
  </si>
  <si>
    <t xml:space="preserve">GALLANTS FRIENDLY </t>
  </si>
  <si>
    <t>TUESDAY 06/02/2024</t>
  </si>
  <si>
    <t>WEDNESDAY 07/02/2024</t>
  </si>
  <si>
    <t>THURSDAY 08/02/2024</t>
  </si>
  <si>
    <t>FRIDAY 09/02/2024</t>
  </si>
  <si>
    <t xml:space="preserve">SATURDAY 10/02/2024 </t>
  </si>
  <si>
    <t>SUNDAY 11/02/2024</t>
  </si>
  <si>
    <t>MONDAY 12/02/2024</t>
  </si>
  <si>
    <t>TUESDAY 13/02/2024</t>
  </si>
  <si>
    <t>WEDNESDAY 14/02/2024</t>
  </si>
  <si>
    <t>THURSDAY 15/02/2024</t>
  </si>
  <si>
    <t>SATURDAY 17/02/2024</t>
  </si>
  <si>
    <t>SUNDAY 18/02/2024</t>
  </si>
  <si>
    <t>16/02/2024</t>
  </si>
  <si>
    <t>UPINGTON CITY</t>
  </si>
  <si>
    <t xml:space="preserve">UPINGTON CITY </t>
  </si>
  <si>
    <t>MONDAY 19/02/2024</t>
  </si>
  <si>
    <t>TUESDAY 20/02/2024</t>
  </si>
  <si>
    <t>THURSDAY 22/02/2024</t>
  </si>
  <si>
    <t>FRIDAY 23/02/2024</t>
  </si>
  <si>
    <t>SATURDAY 24/02/2024</t>
  </si>
  <si>
    <t>SUNDAY 25/02/2024</t>
  </si>
  <si>
    <t>21/02/2024</t>
  </si>
  <si>
    <t>NB CUP CPT SPURS</t>
  </si>
  <si>
    <t>CPT SPURS</t>
  </si>
  <si>
    <t>MONDAY 26/02/2024</t>
  </si>
  <si>
    <t>MONDAY 04/03/2024</t>
  </si>
  <si>
    <t>TUESDAY 27/02/2024</t>
  </si>
  <si>
    <t>WEDNESDAY 28/02/2024</t>
  </si>
  <si>
    <t>THURSDAY 29/02/2024</t>
  </si>
  <si>
    <t>FRIDAY 01/03/2024</t>
  </si>
  <si>
    <t>SATURDAY 02/03/2024</t>
  </si>
  <si>
    <t>TUESDAY 05/03/2024</t>
  </si>
  <si>
    <t>WEDNESDAY 06/03/2024</t>
  </si>
  <si>
    <t>THURSDAY 07/03/2024</t>
  </si>
  <si>
    <t>SATURDAY 09/03/2024</t>
  </si>
  <si>
    <t>SUNDAY 10/03/2024</t>
  </si>
  <si>
    <t>MONDAY 11/03/2024</t>
  </si>
  <si>
    <t>TUESDAY 12/03/2024</t>
  </si>
  <si>
    <t>THURSDAY 14/03/2024</t>
  </si>
  <si>
    <t>SATURDAY 16/03/2024</t>
  </si>
  <si>
    <t>SUNDAY 17/03/2024</t>
  </si>
  <si>
    <t>MONDAY 18/03/2024</t>
  </si>
  <si>
    <t>TUESDAY 19/03/2024</t>
  </si>
  <si>
    <t>WEDNESDAY 20/03/2024</t>
  </si>
  <si>
    <t>THURSDAY 21/03/2024</t>
  </si>
  <si>
    <t>FRIDAY 22/03/2024</t>
  </si>
  <si>
    <t>SATURDAY 23/03/2024</t>
  </si>
  <si>
    <t>SUNDAY 24/03/2024</t>
  </si>
  <si>
    <t>MONDAY 25/03/2024</t>
  </si>
  <si>
    <t>TUESDAY 26/03/2024</t>
  </si>
  <si>
    <t>WEDNESDAY 27/03/2024</t>
  </si>
  <si>
    <t>THURSDAY 28/03/2024</t>
  </si>
  <si>
    <t>FRIDAY 29/03/2024</t>
  </si>
  <si>
    <t>SATURDAY 30/03/2024</t>
  </si>
  <si>
    <t>SUNDAY 31/03/2024</t>
  </si>
  <si>
    <t>03/03/2024</t>
  </si>
  <si>
    <t xml:space="preserve">PLATINUM CITY ROVERS </t>
  </si>
  <si>
    <t xml:space="preserve">PLAT CITY ROVERS </t>
  </si>
  <si>
    <t>06/03/2024</t>
  </si>
  <si>
    <t>08/03/2024</t>
  </si>
  <si>
    <t>HUNGRY LIONS</t>
  </si>
  <si>
    <t>13/03/2024</t>
  </si>
  <si>
    <t>Moroka Swallows</t>
  </si>
  <si>
    <t>NB CUP SWALLOWS</t>
  </si>
  <si>
    <t xml:space="preserve">Position </t>
  </si>
  <si>
    <t>Defender</t>
  </si>
  <si>
    <t>Midfielder</t>
  </si>
  <si>
    <t>Striker</t>
  </si>
  <si>
    <t>Winger</t>
  </si>
  <si>
    <t xml:space="preserve">Max of Exercise Load </t>
  </si>
  <si>
    <t xml:space="preserve">40TH P LOAD </t>
  </si>
  <si>
    <t xml:space="preserve">60TH P LOAD </t>
  </si>
  <si>
    <t xml:space="preserve">80TH P LOAD </t>
  </si>
  <si>
    <t>PERCENTILE OF AVG</t>
  </si>
  <si>
    <t>MODERATE</t>
  </si>
  <si>
    <t>D - MODERATE</t>
  </si>
  <si>
    <t>M - MODERATE</t>
  </si>
  <si>
    <t>W - MODERATE</t>
  </si>
  <si>
    <t>S - MODERATE</t>
  </si>
  <si>
    <t xml:space="preserve">DEFENDERS EXERCISE LOAD </t>
  </si>
  <si>
    <t>MIDFIELDERS EXERCISE LOAD</t>
  </si>
  <si>
    <t>Total Distance (m)</t>
  </si>
  <si>
    <t>HSR Distance (m)</t>
  </si>
  <si>
    <t>Accelerations (n)</t>
  </si>
  <si>
    <t>Decelerations (n)</t>
  </si>
  <si>
    <t>Average of Total distance [m]</t>
  </si>
  <si>
    <t>Average of Speed zone 5 [m] (25.00- km/h)</t>
  </si>
  <si>
    <t>Average of Accelerations (3.00 - 50.00 m/s²)</t>
  </si>
  <si>
    <t>Average of Deaccelerations (-50.00 - -3.00 m/s²)</t>
  </si>
  <si>
    <t>WINGERS EXERCISE LOAD</t>
  </si>
  <si>
    <t>STRIKERS EXERCISE LOAD</t>
  </si>
  <si>
    <t>GPS POSITIONAL LOADS OVERVIEW</t>
  </si>
  <si>
    <t>D - LIGHT</t>
  </si>
  <si>
    <t>D - VIGOROUS</t>
  </si>
  <si>
    <t xml:space="preserve">D - INTENSE </t>
  </si>
  <si>
    <t xml:space="preserve">MAX RANGE </t>
  </si>
  <si>
    <t>LIGHT</t>
  </si>
  <si>
    <t>VIGOROUS</t>
  </si>
  <si>
    <t xml:space="preserve">INTENSE </t>
  </si>
  <si>
    <t>M - LIGHT</t>
  </si>
  <si>
    <t>M - VIGOROUS</t>
  </si>
  <si>
    <t>M - INTENSE</t>
  </si>
  <si>
    <t>W - LIGHT</t>
  </si>
  <si>
    <t>W - VIGOROUS</t>
  </si>
  <si>
    <t>W - INTENSE</t>
  </si>
  <si>
    <t>S - LIGHT</t>
  </si>
  <si>
    <t>S - VIGOROUS</t>
  </si>
  <si>
    <t>S - INTENSE</t>
  </si>
  <si>
    <t>INTENSE</t>
  </si>
  <si>
    <t>Total distance (m)</t>
  </si>
  <si>
    <t xml:space="preserve">HSR Distance (m) </t>
  </si>
  <si>
    <t>Deaccelerations (n)</t>
  </si>
  <si>
    <t>Player Names</t>
  </si>
  <si>
    <t>Average</t>
  </si>
  <si>
    <t>HSR, high speed running distance: (m), meters: (n) number: HSR Distance, running distance faster than 25km/hr: Accelerations, number of acceleration efforts faster than 3.00m/s² : Decelerations, number of deceleration efforts faster than -3.00m/s²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</si>
</sst>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dd\-mm\-yyyy\ hh:mm:ss"/>
  </numFmts>
  <fonts count="25" x14ac:knownFonts="1">
    <font>
      <sz val="11"/>
      <color theme="1"/>
      <name val="Calibri"/>
      <family val="2"/>
      <scheme val="minor"/>
    </font>
    <font>
      <b/>
      <i/>
      <sz val="12"/>
      <color theme="1"/>
      <name val="Calibri"/>
      <family val="2"/>
      <scheme val="minor"/>
    </font>
    <font>
      <b/>
      <i/>
      <sz val="10"/>
      <color theme="1"/>
      <name val="Calibri"/>
      <family val="2"/>
      <scheme val="minor"/>
    </font>
    <font>
      <sz val="10"/>
      <color theme="1"/>
      <name val="Calibri"/>
      <family val="2"/>
      <scheme val="minor"/>
    </font>
    <font>
      <b/>
      <sz val="48"/>
      <color theme="1"/>
      <name val="Calibri"/>
      <family val="2"/>
      <scheme val="minor"/>
    </font>
    <font>
      <b/>
      <sz val="10"/>
      <color theme="0"/>
      <name val="Arial"/>
      <family val="2"/>
    </font>
    <font>
      <sz val="11"/>
      <color theme="1"/>
      <name val="Calibri"/>
      <family val="2"/>
      <scheme val="minor"/>
    </font>
    <font>
      <b/>
      <sz val="24"/>
      <color theme="1"/>
      <name val="Calibri"/>
      <family val="2"/>
      <scheme val="minor"/>
    </font>
    <font>
      <b/>
      <sz val="11"/>
      <color theme="1"/>
      <name val="Calibri"/>
      <family val="2"/>
      <scheme val="minor"/>
    </font>
    <font>
      <b/>
      <sz val="72"/>
      <color theme="1"/>
      <name val="Calibri"/>
      <family val="2"/>
      <scheme val="minor"/>
    </font>
    <font>
      <b/>
      <sz val="24"/>
      <color theme="0"/>
      <name val="Calibri"/>
      <family val="2"/>
      <scheme val="minor"/>
    </font>
    <font>
      <b/>
      <sz val="48"/>
      <color theme="0"/>
      <name val="Calibri"/>
      <family val="2"/>
      <scheme val="minor"/>
    </font>
    <font>
      <sz val="48"/>
      <color theme="1"/>
      <name val="Calibri"/>
      <family val="2"/>
      <scheme val="minor"/>
    </font>
    <font>
      <sz val="11"/>
      <color theme="0"/>
      <name val="Calibri"/>
      <family val="2"/>
      <scheme val="minor"/>
    </font>
    <font>
      <b/>
      <sz val="12"/>
      <color theme="0"/>
      <name val="Calibri"/>
      <family val="2"/>
      <scheme val="minor"/>
    </font>
    <font>
      <b/>
      <sz val="16"/>
      <color indexed="9"/>
      <name val="Calibri"/>
      <family val="2"/>
      <scheme val="minor"/>
    </font>
    <font>
      <sz val="20"/>
      <color theme="0"/>
      <name val="Calibri"/>
      <family val="2"/>
      <scheme val="minor"/>
    </font>
    <font>
      <sz val="14"/>
      <color theme="1"/>
      <name val="Calibri"/>
      <family val="2"/>
      <scheme val="minor"/>
    </font>
    <font>
      <b/>
      <i/>
      <sz val="11"/>
      <color theme="1"/>
      <name val="Calibri"/>
      <family val="2"/>
      <scheme val="minor"/>
    </font>
    <font>
      <sz val="11"/>
      <color theme="1"/>
      <name val="Calibri"/>
      <scheme val="minor"/>
    </font>
    <font>
      <b/>
      <sz val="10"/>
      <name val="Arial"/>
      <family val="2"/>
    </font>
    <font>
      <sz val="10"/>
      <name val="Arial"/>
      <family val="2"/>
    </font>
    <font>
      <i/>
      <sz val="11"/>
      <color theme="1"/>
      <name val="Calibri"/>
      <family val="2"/>
      <scheme val="minor"/>
    </font>
    <font>
      <b/>
      <sz val="10"/>
      <color theme="0"/>
      <name val="Arial"/>
    </font>
    <font>
      <b/>
      <sz val="11"/>
      <color theme="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6" tint="0.59999389629810485"/>
        <bgColor indexed="64"/>
      </patternFill>
    </fill>
    <fill>
      <patternFill patternType="solid">
        <fgColor theme="3"/>
        <bgColor indexed="64"/>
      </patternFill>
    </fill>
    <fill>
      <patternFill patternType="solid">
        <fgColor theme="0"/>
        <bgColor indexed="64"/>
      </patternFill>
    </fill>
    <fill>
      <patternFill patternType="solid">
        <fgColor theme="8" tint="-0.499984740745262"/>
        <bgColor indexed="64"/>
      </patternFill>
    </fill>
    <fill>
      <patternFill patternType="solid">
        <fgColor theme="3" tint="-0.499984740745262"/>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2">
    <xf numFmtId="0" fontId="0" fillId="0" borderId="0"/>
    <xf numFmtId="0" fontId="21" fillId="0" borderId="0"/>
  </cellStyleXfs>
  <cellXfs count="102">
    <xf numFmtId="0" fontId="0" fillId="0" borderId="0" xfId="0"/>
    <xf numFmtId="0" fontId="0" fillId="0" borderId="0" xfId="0" applyAlignment="1">
      <alignment horizontal="center"/>
    </xf>
    <xf numFmtId="0" fontId="0" fillId="0" borderId="0" xfId="0" applyAlignment="1"/>
    <xf numFmtId="0" fontId="0" fillId="0" borderId="0" xfId="0" applyFont="1"/>
    <xf numFmtId="0" fontId="2" fillId="3" borderId="1" xfId="0" applyFont="1" applyFill="1" applyBorder="1" applyAlignment="1">
      <alignment horizontal="center"/>
    </xf>
    <xf numFmtId="0" fontId="3" fillId="2" borderId="1" xfId="0" applyFont="1" applyFill="1" applyBorder="1" applyAlignment="1">
      <alignment horizontal="center"/>
    </xf>
    <xf numFmtId="0" fontId="0" fillId="0" borderId="0" xfId="0" applyFill="1"/>
    <xf numFmtId="14" fontId="0" fillId="0" borderId="0" xfId="0" applyNumberFormat="1" applyAlignment="1">
      <alignment horizontal="center"/>
    </xf>
    <xf numFmtId="0" fontId="3" fillId="4" borderId="1" xfId="0" applyFont="1" applyFill="1" applyBorder="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5" fillId="0" borderId="0" xfId="0" applyFont="1" applyAlignment="1">
      <alignment horizontal="center" textRotation="90" wrapText="1"/>
    </xf>
    <xf numFmtId="0" fontId="0" fillId="0" borderId="0" xfId="0" applyFont="1" applyAlignment="1">
      <alignment horizontal="center"/>
    </xf>
    <xf numFmtId="1" fontId="0" fillId="0" borderId="0" xfId="0" applyNumberFormat="1" applyAlignment="1">
      <alignment horizontal="center"/>
    </xf>
    <xf numFmtId="0" fontId="0" fillId="0" borderId="0" xfId="0" pivotButton="1"/>
    <xf numFmtId="0" fontId="0" fillId="0" borderId="0" xfId="0" applyAlignment="1">
      <alignment horizontal="left"/>
    </xf>
    <xf numFmtId="0" fontId="6" fillId="0" borderId="0" xfId="0" applyFont="1" applyAlignment="1">
      <alignment horizontal="center"/>
    </xf>
    <xf numFmtId="14" fontId="0" fillId="0" borderId="0" xfId="0" applyNumberFormat="1" applyAlignment="1">
      <alignment horizontal="left"/>
    </xf>
    <xf numFmtId="2" fontId="0" fillId="0" borderId="0" xfId="0" applyNumberFormat="1"/>
    <xf numFmtId="0" fontId="0" fillId="0" borderId="0" xfId="0" applyNumberFormat="1"/>
    <xf numFmtId="0" fontId="0" fillId="5" borderId="0" xfId="0" applyFill="1"/>
    <xf numFmtId="0" fontId="0" fillId="6" borderId="0" xfId="0" applyFill="1"/>
    <xf numFmtId="0" fontId="0" fillId="7" borderId="0" xfId="0" applyFill="1"/>
    <xf numFmtId="0" fontId="7" fillId="7" borderId="0" xfId="0" applyFont="1" applyFill="1" applyAlignment="1">
      <alignment vertical="center"/>
    </xf>
    <xf numFmtId="0" fontId="12" fillId="7" borderId="0" xfId="0" applyFont="1" applyFill="1" applyAlignment="1"/>
    <xf numFmtId="0" fontId="14" fillId="0" borderId="0" xfId="0" applyFont="1" applyFill="1"/>
    <xf numFmtId="0" fontId="13" fillId="0" borderId="0" xfId="0" applyFont="1" applyFill="1"/>
    <xf numFmtId="0" fontId="15" fillId="0" borderId="0" xfId="0" applyFont="1" applyFill="1"/>
    <xf numFmtId="0" fontId="10" fillId="7" borderId="0" xfId="0" applyFont="1" applyFill="1"/>
    <xf numFmtId="0" fontId="0" fillId="0" borderId="0" xfId="0" applyFill="1" applyAlignment="1">
      <alignment wrapText="1"/>
    </xf>
    <xf numFmtId="0" fontId="0" fillId="0" borderId="0" xfId="0" applyAlignment="1">
      <alignment horizontal="center"/>
    </xf>
    <xf numFmtId="0" fontId="0" fillId="0" borderId="0" xfId="0" applyAlignment="1">
      <alignment horizontal="center"/>
    </xf>
    <xf numFmtId="0" fontId="1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8" fillId="0" borderId="0" xfId="0"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center"/>
    </xf>
    <xf numFmtId="0" fontId="8" fillId="0" borderId="0" xfId="0" applyFont="1" applyAlignment="1">
      <alignment horizontal="center"/>
    </xf>
    <xf numFmtId="0" fontId="19" fillId="0" borderId="0" xfId="0" applyFont="1" applyAlignment="1">
      <alignment horizontal="center"/>
    </xf>
    <xf numFmtId="0" fontId="0" fillId="0" borderId="0" xfId="0" applyAlignment="1">
      <alignment horizontal="center"/>
    </xf>
    <xf numFmtId="0" fontId="7" fillId="0" borderId="0" xfId="0" applyFont="1" applyFill="1" applyAlignment="1">
      <alignment horizontal="center" vertical="center"/>
    </xf>
    <xf numFmtId="0" fontId="20" fillId="0" borderId="0" xfId="0" applyFont="1" applyAlignment="1">
      <alignment textRotation="90" wrapText="1"/>
    </xf>
    <xf numFmtId="14" fontId="16" fillId="7" borderId="0" xfId="0" applyNumberFormat="1" applyFont="1" applyFill="1"/>
    <xf numFmtId="0" fontId="0" fillId="0" borderId="0" xfId="0" applyAlignment="1">
      <alignment horizontal="center"/>
    </xf>
    <xf numFmtId="1" fontId="0" fillId="0" borderId="0" xfId="0" applyNumberFormat="1"/>
    <xf numFmtId="0" fontId="0" fillId="0" borderId="0" xfId="0" applyAlignment="1">
      <alignment horizontal="center"/>
    </xf>
    <xf numFmtId="0" fontId="8" fillId="0" borderId="0" xfId="0" applyFont="1" applyAlignment="1">
      <alignment horizontal="center"/>
    </xf>
    <xf numFmtId="0" fontId="8" fillId="0" borderId="0" xfId="0" applyFont="1"/>
    <xf numFmtId="0" fontId="0" fillId="0" borderId="0" xfId="0" pivotButton="1" applyAlignment="1">
      <alignment horizontal="center"/>
    </xf>
    <xf numFmtId="0" fontId="0" fillId="0" borderId="1" xfId="0" applyBorder="1"/>
    <xf numFmtId="0" fontId="0" fillId="0" borderId="0" xfId="0" applyBorder="1"/>
    <xf numFmtId="0" fontId="22" fillId="0" borderId="0" xfId="0" applyFont="1" applyAlignment="1">
      <alignment horizontal="center" vertical="top" wrapText="1"/>
    </xf>
    <xf numFmtId="1" fontId="0" fillId="0" borderId="0" xfId="0" applyNumberFormat="1" applyAlignment="1">
      <alignment horizontal="left"/>
    </xf>
    <xf numFmtId="1" fontId="0" fillId="0" borderId="0" xfId="0" applyNumberFormat="1" applyBorder="1" applyAlignment="1">
      <alignment horizontal="left"/>
    </xf>
    <xf numFmtId="1" fontId="0" fillId="0" borderId="1" xfId="0" applyNumberFormat="1" applyBorder="1" applyAlignment="1">
      <alignment horizontal="left"/>
    </xf>
    <xf numFmtId="0" fontId="8" fillId="0" borderId="0" xfId="0" applyFont="1" applyBorder="1" applyAlignment="1">
      <alignment vertical="center" wrapText="1"/>
    </xf>
    <xf numFmtId="0" fontId="8" fillId="0" borderId="0" xfId="0" applyFont="1" applyBorder="1" applyAlignment="1">
      <alignment vertical="top" wrapText="1"/>
    </xf>
    <xf numFmtId="0" fontId="8" fillId="0" borderId="0" xfId="0" applyFont="1" applyAlignment="1">
      <alignment horizontal="center"/>
    </xf>
    <xf numFmtId="0" fontId="19" fillId="0" borderId="0" xfId="0" applyNumberFormat="1" applyFont="1" applyAlignment="1">
      <alignment horizontal="center"/>
    </xf>
    <xf numFmtId="0" fontId="23" fillId="0" borderId="0" xfId="0" applyFont="1" applyAlignment="1">
      <alignment horizontal="center" textRotation="90" wrapText="1"/>
    </xf>
    <xf numFmtId="1" fontId="0" fillId="0" borderId="0" xfId="0" applyNumberFormat="1" applyFont="1" applyBorder="1" applyAlignment="1">
      <alignment horizontal="center" wrapText="1"/>
    </xf>
    <xf numFmtId="1" fontId="0" fillId="0" borderId="0" xfId="0" applyNumberFormat="1" applyFont="1" applyAlignment="1">
      <alignment horizontal="center"/>
    </xf>
    <xf numFmtId="0" fontId="8" fillId="0" borderId="0" xfId="0" applyFont="1" applyBorder="1" applyAlignment="1">
      <alignment vertical="center"/>
    </xf>
    <xf numFmtId="0" fontId="8" fillId="0" borderId="0" xfId="0" applyFont="1" applyBorder="1"/>
    <xf numFmtId="0" fontId="13" fillId="8" borderId="0" xfId="0" applyFont="1" applyFill="1"/>
    <xf numFmtId="0" fontId="13" fillId="8" borderId="0" xfId="0" applyFont="1" applyFill="1" applyAlignment="1">
      <alignment horizontal="center"/>
    </xf>
    <xf numFmtId="2" fontId="13" fillId="8" borderId="0" xfId="0" applyNumberFormat="1" applyFont="1" applyFill="1" applyAlignment="1">
      <alignment horizontal="center"/>
    </xf>
    <xf numFmtId="1" fontId="13" fillId="8" borderId="0" xfId="0" applyNumberFormat="1" applyFont="1" applyFill="1" applyAlignment="1">
      <alignment horizontal="center"/>
    </xf>
    <xf numFmtId="1" fontId="13" fillId="8" borderId="0" xfId="0" applyNumberFormat="1" applyFont="1" applyFill="1" applyAlignment="1">
      <alignment horizontal="center" wrapText="1"/>
    </xf>
    <xf numFmtId="0" fontId="13" fillId="8" borderId="0" xfId="0" applyFont="1" applyFill="1" applyAlignment="1">
      <alignment horizontal="left"/>
    </xf>
    <xf numFmtId="0" fontId="13" fillId="8" borderId="1" xfId="0" applyFont="1" applyFill="1" applyBorder="1"/>
    <xf numFmtId="0" fontId="24" fillId="8" borderId="1" xfId="0" applyFont="1" applyFill="1" applyBorder="1" applyAlignment="1">
      <alignment wrapText="1"/>
    </xf>
    <xf numFmtId="0" fontId="24" fillId="8" borderId="1" xfId="0" applyFont="1" applyFill="1" applyBorder="1" applyAlignment="1">
      <alignment vertical="center" wrapText="1"/>
    </xf>
    <xf numFmtId="0" fontId="24" fillId="8" borderId="1" xfId="0" applyFont="1" applyFill="1" applyBorder="1" applyAlignment="1">
      <alignment vertical="top" wrapText="1"/>
    </xf>
    <xf numFmtId="0" fontId="13" fillId="8" borderId="0" xfId="0" applyFont="1" applyFill="1" applyAlignment="1">
      <alignment vertical="center"/>
    </xf>
    <xf numFmtId="2" fontId="13" fillId="8" borderId="0" xfId="0" applyNumberFormat="1" applyFont="1" applyFill="1" applyAlignment="1">
      <alignment horizontal="center" vertical="center"/>
    </xf>
    <xf numFmtId="1" fontId="13" fillId="8" borderId="0" xfId="0" applyNumberFormat="1" applyFont="1" applyFill="1" applyAlignment="1">
      <alignment horizontal="center" vertical="center"/>
    </xf>
    <xf numFmtId="1" fontId="13" fillId="8" borderId="0" xfId="0" applyNumberFormat="1" applyFont="1" applyFill="1" applyAlignment="1">
      <alignment horizontal="center" vertical="center" wrapText="1"/>
    </xf>
    <xf numFmtId="0" fontId="0" fillId="0" borderId="1" xfId="0" applyFont="1" applyBorder="1" applyAlignment="1">
      <alignment horizontal="center"/>
    </xf>
    <xf numFmtId="0" fontId="0" fillId="0" borderId="0" xfId="0"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20" fillId="0" borderId="0" xfId="0" applyFont="1" applyAlignment="1">
      <alignment horizontal="center" wrapText="1"/>
    </xf>
    <xf numFmtId="0" fontId="0" fillId="0" borderId="0" xfId="0" applyAlignment="1">
      <alignment horizontal="center"/>
    </xf>
    <xf numFmtId="2" fontId="0" fillId="0" borderId="0" xfId="0" applyNumberFormat="1" applyAlignment="1">
      <alignment horizontal="center"/>
    </xf>
    <xf numFmtId="0" fontId="8" fillId="0" borderId="0" xfId="0" applyFont="1" applyAlignment="1">
      <alignment horizontal="center"/>
    </xf>
    <xf numFmtId="0" fontId="1" fillId="3" borderId="1" xfId="0" applyFont="1" applyFill="1" applyBorder="1" applyAlignment="1">
      <alignment horizontal="center"/>
    </xf>
    <xf numFmtId="0" fontId="9" fillId="6" borderId="0" xfId="0" applyFont="1" applyFill="1" applyAlignment="1">
      <alignment horizontal="center" vertical="center"/>
    </xf>
    <xf numFmtId="0" fontId="11" fillId="7" borderId="0" xfId="0" applyFont="1" applyFill="1" applyAlignment="1">
      <alignment horizontal="center"/>
    </xf>
    <xf numFmtId="0" fontId="17" fillId="6" borderId="0" xfId="0" applyFont="1" applyFill="1" applyAlignment="1">
      <alignment horizontal="center" vertical="center" wrapText="1"/>
    </xf>
    <xf numFmtId="0" fontId="4" fillId="0" borderId="0" xfId="0" applyFont="1" applyFill="1" applyAlignment="1">
      <alignment horizontal="center" vertical="center"/>
    </xf>
    <xf numFmtId="0" fontId="7" fillId="0" borderId="0" xfId="0" applyFont="1" applyFill="1" applyAlignment="1">
      <alignment horizontal="center" vertical="center"/>
    </xf>
    <xf numFmtId="0" fontId="22" fillId="0" borderId="2" xfId="0" applyFont="1" applyBorder="1" applyAlignment="1">
      <alignment horizontal="center" vertical="top" wrapText="1"/>
    </xf>
    <xf numFmtId="0" fontId="22" fillId="0" borderId="0" xfId="0" applyFont="1" applyBorder="1" applyAlignment="1">
      <alignment horizontal="center" vertical="top" wrapText="1"/>
    </xf>
    <xf numFmtId="0" fontId="4" fillId="0" borderId="0" xfId="0" applyFont="1" applyAlignment="1">
      <alignment horizontal="center" vertical="center"/>
    </xf>
    <xf numFmtId="0" fontId="12" fillId="0" borderId="0" xfId="0" applyFont="1" applyAlignment="1">
      <alignment horizontal="center" vertical="center"/>
    </xf>
  </cellXfs>
  <cellStyles count="2">
    <cellStyle name="Normal" xfId="0" builtinId="0"/>
    <cellStyle name="Normal 2" xfId="1"/>
  </cellStyles>
  <dxfs count="227">
    <dxf>
      <alignment vertical="center" readingOrder="0"/>
    </dxf>
    <dxf>
      <alignment vertical="center" readingOrder="0"/>
    </dxf>
    <dxf>
      <numFmt numFmtId="1" formatCode="0"/>
    </dxf>
    <dxf>
      <numFmt numFmtId="164" formatCode="0.0"/>
    </dxf>
    <dxf>
      <fill>
        <patternFill patternType="solid">
          <bgColor theme="3" tint="-0.499984740745262"/>
        </patternFill>
      </fill>
    </dxf>
    <dxf>
      <fill>
        <patternFill patternType="solid">
          <bgColor theme="3" tint="-0.499984740745262"/>
        </patternFill>
      </fill>
    </dxf>
    <dxf>
      <font>
        <color theme="0"/>
      </font>
    </dxf>
    <dxf>
      <font>
        <color theme="0"/>
      </font>
    </dxf>
    <dxf>
      <font>
        <color theme="0"/>
      </font>
    </dxf>
    <dxf>
      <font>
        <color theme="0"/>
      </font>
    </dxf>
    <dxf>
      <fill>
        <patternFill patternType="solid">
          <bgColor theme="3" tint="-0.499984740745262"/>
        </patternFill>
      </fill>
    </dxf>
    <dxf>
      <fill>
        <patternFill patternType="solid">
          <bgColor theme="3" tint="-0.499984740745262"/>
        </patternFill>
      </fill>
    </dxf>
    <dxf>
      <alignment horizontal="center" readingOrder="0"/>
    </dxf>
    <dxf>
      <font>
        <color theme="0"/>
      </font>
    </dxf>
    <dxf>
      <font>
        <color theme="0"/>
      </font>
    </dxf>
    <dxf>
      <fill>
        <patternFill patternType="solid">
          <bgColor theme="3" tint="-0.499984740745262"/>
        </patternFill>
      </fill>
    </dxf>
    <dxf>
      <fill>
        <patternFill patternType="solid">
          <bgColor theme="3" tint="-0.499984740745262"/>
        </patternFill>
      </fill>
    </dxf>
    <dxf>
      <alignment wrapText="1" readingOrder="0"/>
    </dxf>
    <dxf>
      <alignment horizontal="center" readingOrder="0"/>
    </dxf>
    <dxf>
      <alignment horizontal="center" readingOrder="0"/>
    </dxf>
    <dxf>
      <alignment horizontal="center" readingOrder="0"/>
    </dxf>
    <dxf>
      <alignment horizontal="center" readingOrder="0"/>
    </dxf>
    <dxf>
      <numFmt numFmtId="1" formatCode="0"/>
    </dxf>
    <dxf>
      <numFmt numFmtId="1" formatCode="0"/>
    </dxf>
    <dxf>
      <numFmt numFmtId="164" formatCode="0.0"/>
    </dxf>
    <dxf>
      <numFmt numFmtId="164" formatCode="0.0"/>
    </dxf>
    <dxf>
      <numFmt numFmtId="1" formatCode="0"/>
    </dxf>
    <dxf>
      <numFmt numFmtId="1" formatCode="0"/>
    </dxf>
    <dxf>
      <numFmt numFmtId="164" formatCode="0.0"/>
    </dxf>
    <dxf>
      <numFmt numFmtId="164" formatCode="0.0"/>
    </dxf>
    <dxf>
      <numFmt numFmtId="2" formatCode="0.00"/>
    </dxf>
    <dxf>
      <numFmt numFmtId="2" formatCode="0.00"/>
    </dxf>
    <dxf>
      <numFmt numFmtId="1" formatCode="0"/>
    </dxf>
    <dxf>
      <numFmt numFmtId="1" formatCode="0"/>
    </dxf>
    <dxf>
      <numFmt numFmtId="164" formatCode="0.0"/>
    </dxf>
    <dxf>
      <numFmt numFmtId="164" formatCode="0.0"/>
    </dxf>
    <dxf>
      <numFmt numFmtId="2" formatCode="0.00"/>
    </dxf>
    <dxf>
      <numFmt numFmtId="2" formatCode="0.00"/>
    </dxf>
    <dxf>
      <numFmt numFmtId="2" formatCode="0.00"/>
    </dxf>
    <dxf>
      <alignment horizontal="center" readingOrder="0"/>
    </dxf>
    <dxf>
      <alignment horizontal="center" readingOrder="0"/>
    </dxf>
    <dxf>
      <numFmt numFmtId="2" formatCode="0.00"/>
    </dxf>
    <dxf>
      <numFmt numFmtId="2" formatCode="0.00"/>
    </dxf>
    <dxf>
      <fill>
        <patternFill patternType="solid">
          <bgColor theme="3" tint="-0.499984740745262"/>
        </patternFill>
      </fill>
    </dxf>
    <dxf>
      <font>
        <color theme="0"/>
      </font>
    </dxf>
    <dxf>
      <numFmt numFmtId="1" formatCode="0"/>
    </dxf>
    <dxf>
      <numFmt numFmtId="164" formatCode="0.0"/>
    </dxf>
    <dxf>
      <fill>
        <patternFill patternType="solid">
          <bgColor theme="3" tint="-0.499984740745262"/>
        </patternFill>
      </fill>
    </dxf>
    <dxf>
      <fill>
        <patternFill patternType="solid">
          <bgColor theme="3" tint="-0.499984740745262"/>
        </patternFill>
      </fill>
    </dxf>
    <dxf>
      <font>
        <color theme="0"/>
      </font>
    </dxf>
    <dxf>
      <font>
        <color theme="0"/>
      </font>
    </dxf>
    <dxf>
      <font>
        <color theme="0"/>
      </font>
    </dxf>
    <dxf>
      <font>
        <color theme="0"/>
      </font>
    </dxf>
    <dxf>
      <fill>
        <patternFill patternType="solid">
          <bgColor theme="3" tint="-0.499984740745262"/>
        </patternFill>
      </fill>
    </dxf>
    <dxf>
      <fill>
        <patternFill patternType="solid">
          <bgColor theme="3" tint="-0.499984740745262"/>
        </patternFill>
      </fill>
    </dxf>
    <dxf>
      <alignment horizontal="center" readingOrder="0"/>
    </dxf>
    <dxf>
      <font>
        <color theme="0"/>
      </font>
    </dxf>
    <dxf>
      <font>
        <color theme="0"/>
      </font>
    </dxf>
    <dxf>
      <fill>
        <patternFill patternType="solid">
          <bgColor theme="3" tint="-0.499984740745262"/>
        </patternFill>
      </fill>
    </dxf>
    <dxf>
      <fill>
        <patternFill patternType="solid">
          <bgColor theme="3" tint="-0.499984740745262"/>
        </patternFill>
      </fill>
    </dxf>
    <dxf>
      <alignment wrapText="1" readingOrder="0"/>
    </dxf>
    <dxf>
      <alignment horizontal="center" readingOrder="0"/>
    </dxf>
    <dxf>
      <alignment horizontal="center" readingOrder="0"/>
    </dxf>
    <dxf>
      <alignment horizontal="center" readingOrder="0"/>
    </dxf>
    <dxf>
      <alignment horizontal="center" readingOrder="0"/>
    </dxf>
    <dxf>
      <numFmt numFmtId="1" formatCode="0"/>
    </dxf>
    <dxf>
      <numFmt numFmtId="1" formatCode="0"/>
    </dxf>
    <dxf>
      <numFmt numFmtId="164" formatCode="0.0"/>
    </dxf>
    <dxf>
      <numFmt numFmtId="164" formatCode="0.0"/>
    </dxf>
    <dxf>
      <numFmt numFmtId="1" formatCode="0"/>
    </dxf>
    <dxf>
      <numFmt numFmtId="1" formatCode="0"/>
    </dxf>
    <dxf>
      <numFmt numFmtId="164" formatCode="0.0"/>
    </dxf>
    <dxf>
      <numFmt numFmtId="164" formatCode="0.0"/>
    </dxf>
    <dxf>
      <numFmt numFmtId="2" formatCode="0.00"/>
    </dxf>
    <dxf>
      <numFmt numFmtId="2" formatCode="0.00"/>
    </dxf>
    <dxf>
      <numFmt numFmtId="1" formatCode="0"/>
    </dxf>
    <dxf>
      <numFmt numFmtId="1" formatCode="0"/>
    </dxf>
    <dxf>
      <numFmt numFmtId="164" formatCode="0.0"/>
    </dxf>
    <dxf>
      <numFmt numFmtId="164" formatCode="0.0"/>
    </dxf>
    <dxf>
      <numFmt numFmtId="2" formatCode="0.00"/>
    </dxf>
    <dxf>
      <numFmt numFmtId="2" formatCode="0.00"/>
    </dxf>
    <dxf>
      <numFmt numFmtId="2" formatCode="0.00"/>
    </dxf>
    <dxf>
      <alignment horizontal="center" readingOrder="0"/>
    </dxf>
    <dxf>
      <alignment horizontal="center" readingOrder="0"/>
    </dxf>
    <dxf>
      <numFmt numFmtId="2" formatCode="0.00"/>
    </dxf>
    <dxf>
      <numFmt numFmtId="2" formatCode="0.00"/>
    </dxf>
    <dxf>
      <font>
        <color theme="0"/>
      </font>
    </dxf>
    <dxf>
      <fill>
        <patternFill patternType="solid">
          <bgColor theme="3" tint="-0.499984740745262"/>
        </patternFill>
      </fill>
    </dxf>
    <dxf>
      <numFmt numFmtId="1" formatCode="0"/>
    </dxf>
    <dxf>
      <numFmt numFmtId="164" formatCode="0.0"/>
    </dxf>
    <dxf>
      <fill>
        <patternFill patternType="solid">
          <bgColor theme="3" tint="-0.499984740745262"/>
        </patternFill>
      </fill>
    </dxf>
    <dxf>
      <fill>
        <patternFill patternType="solid">
          <bgColor theme="3" tint="-0.499984740745262"/>
        </patternFill>
      </fill>
    </dxf>
    <dxf>
      <font>
        <color theme="0"/>
      </font>
    </dxf>
    <dxf>
      <font>
        <color theme="0"/>
      </font>
    </dxf>
    <dxf>
      <font>
        <color theme="0"/>
      </font>
    </dxf>
    <dxf>
      <font>
        <color theme="0"/>
      </font>
    </dxf>
    <dxf>
      <fill>
        <patternFill patternType="solid">
          <bgColor theme="3" tint="-0.499984740745262"/>
        </patternFill>
      </fill>
    </dxf>
    <dxf>
      <fill>
        <patternFill patternType="solid">
          <bgColor theme="3" tint="-0.499984740745262"/>
        </patternFill>
      </fill>
    </dxf>
    <dxf>
      <alignment horizontal="center" readingOrder="0"/>
    </dxf>
    <dxf>
      <font>
        <color theme="0"/>
      </font>
    </dxf>
    <dxf>
      <font>
        <color theme="0"/>
      </font>
    </dxf>
    <dxf>
      <fill>
        <patternFill patternType="solid">
          <bgColor theme="3" tint="-0.499984740745262"/>
        </patternFill>
      </fill>
    </dxf>
    <dxf>
      <fill>
        <patternFill patternType="solid">
          <bgColor theme="3" tint="-0.499984740745262"/>
        </patternFill>
      </fill>
    </dxf>
    <dxf>
      <alignment wrapText="1" readingOrder="0"/>
    </dxf>
    <dxf>
      <alignment horizontal="center" readingOrder="0"/>
    </dxf>
    <dxf>
      <alignment horizontal="center" readingOrder="0"/>
    </dxf>
    <dxf>
      <alignment horizontal="center" readingOrder="0"/>
    </dxf>
    <dxf>
      <alignment horizontal="center" readingOrder="0"/>
    </dxf>
    <dxf>
      <numFmt numFmtId="1" formatCode="0"/>
    </dxf>
    <dxf>
      <numFmt numFmtId="1" formatCode="0"/>
    </dxf>
    <dxf>
      <numFmt numFmtId="164" formatCode="0.0"/>
    </dxf>
    <dxf>
      <numFmt numFmtId="164" formatCode="0.0"/>
    </dxf>
    <dxf>
      <numFmt numFmtId="1" formatCode="0"/>
    </dxf>
    <dxf>
      <numFmt numFmtId="1" formatCode="0"/>
    </dxf>
    <dxf>
      <numFmt numFmtId="164" formatCode="0.0"/>
    </dxf>
    <dxf>
      <numFmt numFmtId="164" formatCode="0.0"/>
    </dxf>
    <dxf>
      <numFmt numFmtId="2" formatCode="0.00"/>
    </dxf>
    <dxf>
      <numFmt numFmtId="2" formatCode="0.00"/>
    </dxf>
    <dxf>
      <numFmt numFmtId="1" formatCode="0"/>
    </dxf>
    <dxf>
      <numFmt numFmtId="1" formatCode="0"/>
    </dxf>
    <dxf>
      <numFmt numFmtId="164" formatCode="0.0"/>
    </dxf>
    <dxf>
      <numFmt numFmtId="164" formatCode="0.0"/>
    </dxf>
    <dxf>
      <numFmt numFmtId="2" formatCode="0.00"/>
    </dxf>
    <dxf>
      <numFmt numFmtId="2" formatCode="0.00"/>
    </dxf>
    <dxf>
      <numFmt numFmtId="2" formatCode="0.00"/>
    </dxf>
    <dxf>
      <alignment horizontal="center" readingOrder="0"/>
    </dxf>
    <dxf>
      <alignment horizontal="center" readingOrder="0"/>
    </dxf>
    <dxf>
      <numFmt numFmtId="2" formatCode="0.00"/>
    </dxf>
    <dxf>
      <numFmt numFmtId="2" formatCode="0.00"/>
    </dxf>
    <dxf>
      <font>
        <color theme="0"/>
      </font>
    </dxf>
    <dxf>
      <fill>
        <patternFill patternType="solid">
          <bgColor theme="3" tint="-0.499984740745262"/>
        </patternFill>
      </fill>
    </dxf>
    <dxf>
      <numFmt numFmtId="1" formatCode="0"/>
    </dxf>
    <dxf>
      <numFmt numFmtId="164" formatCode="0.0"/>
    </dxf>
    <dxf>
      <fill>
        <patternFill patternType="solid">
          <bgColor theme="3" tint="-0.499984740745262"/>
        </patternFill>
      </fill>
    </dxf>
    <dxf>
      <fill>
        <patternFill patternType="solid">
          <bgColor theme="3" tint="-0.499984740745262"/>
        </patternFill>
      </fill>
    </dxf>
    <dxf>
      <font>
        <color theme="0"/>
      </font>
    </dxf>
    <dxf>
      <font>
        <color theme="0"/>
      </font>
    </dxf>
    <dxf>
      <font>
        <color theme="0"/>
      </font>
    </dxf>
    <dxf>
      <font>
        <color theme="0"/>
      </font>
    </dxf>
    <dxf>
      <fill>
        <patternFill patternType="solid">
          <bgColor theme="3" tint="-0.499984740745262"/>
        </patternFill>
      </fill>
    </dxf>
    <dxf>
      <fill>
        <patternFill patternType="solid">
          <bgColor theme="3" tint="-0.499984740745262"/>
        </patternFill>
      </fill>
    </dxf>
    <dxf>
      <alignment horizontal="center" readingOrder="0"/>
    </dxf>
    <dxf>
      <font>
        <color theme="0"/>
      </font>
    </dxf>
    <dxf>
      <font>
        <color theme="0"/>
      </font>
    </dxf>
    <dxf>
      <fill>
        <patternFill patternType="solid">
          <bgColor theme="3" tint="-0.499984740745262"/>
        </patternFill>
      </fill>
    </dxf>
    <dxf>
      <fill>
        <patternFill patternType="solid">
          <bgColor theme="3" tint="-0.499984740745262"/>
        </patternFill>
      </fill>
    </dxf>
    <dxf>
      <alignment wrapText="1" readingOrder="0"/>
    </dxf>
    <dxf>
      <alignment horizontal="center" readingOrder="0"/>
    </dxf>
    <dxf>
      <alignment horizontal="center" readingOrder="0"/>
    </dxf>
    <dxf>
      <alignment horizontal="center" readingOrder="0"/>
    </dxf>
    <dxf>
      <alignment horizontal="center" readingOrder="0"/>
    </dxf>
    <dxf>
      <numFmt numFmtId="1" formatCode="0"/>
    </dxf>
    <dxf>
      <numFmt numFmtId="1" formatCode="0"/>
    </dxf>
    <dxf>
      <numFmt numFmtId="164" formatCode="0.0"/>
    </dxf>
    <dxf>
      <numFmt numFmtId="164" formatCode="0.0"/>
    </dxf>
    <dxf>
      <numFmt numFmtId="1" formatCode="0"/>
    </dxf>
    <dxf>
      <numFmt numFmtId="1" formatCode="0"/>
    </dxf>
    <dxf>
      <numFmt numFmtId="164" formatCode="0.0"/>
    </dxf>
    <dxf>
      <numFmt numFmtId="164" formatCode="0.0"/>
    </dxf>
    <dxf>
      <numFmt numFmtId="2" formatCode="0.00"/>
    </dxf>
    <dxf>
      <numFmt numFmtId="2" formatCode="0.00"/>
    </dxf>
    <dxf>
      <numFmt numFmtId="1" formatCode="0"/>
    </dxf>
    <dxf>
      <numFmt numFmtId="1" formatCode="0"/>
    </dxf>
    <dxf>
      <numFmt numFmtId="164" formatCode="0.0"/>
    </dxf>
    <dxf>
      <numFmt numFmtId="164" formatCode="0.0"/>
    </dxf>
    <dxf>
      <numFmt numFmtId="2" formatCode="0.00"/>
    </dxf>
    <dxf>
      <numFmt numFmtId="2" formatCode="0.00"/>
    </dxf>
    <dxf>
      <numFmt numFmtId="2" formatCode="0.00"/>
    </dxf>
    <dxf>
      <alignment horizontal="center" readingOrder="0"/>
    </dxf>
    <dxf>
      <alignment horizontal="center" readingOrder="0"/>
    </dxf>
    <dxf>
      <numFmt numFmtId="2" formatCode="0.00"/>
    </dxf>
    <dxf>
      <numFmt numFmtId="2"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2" formatCode="0.00"/>
    </dxf>
    <dxf>
      <numFmt numFmtId="2" formatCode="0.00"/>
    </dxf>
    <dxf>
      <numFmt numFmtId="2"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2" formatCode="0.00"/>
    </dxf>
    <dxf>
      <numFmt numFmtId="1" formatCode="0"/>
    </dxf>
    <dxf>
      <numFmt numFmtId="164" formatCode="0.0"/>
    </dxf>
    <dxf>
      <numFmt numFmtId="2" formatCode="0.00"/>
    </dxf>
    <dxf>
      <numFmt numFmtId="2" formatCode="0.00"/>
    </dxf>
    <dxf>
      <numFmt numFmtId="2" formatCode="0.00"/>
    </dxf>
    <dxf>
      <numFmt numFmtId="2"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2" formatCode="0.0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 formatCode="0"/>
      <alignment horizontal="center" vertical="bottom" indent="0" justifyLastLine="0" shrinkToFit="0" readingOrder="0"/>
    </dxf>
    <dxf>
      <numFmt numFmtId="19" formatCode="yyyy/mm/dd"/>
      <alignment horizontal="center" vertical="bottom"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indent="0" justifyLastLine="0" shrinkToFit="0" readingOrder="0"/>
    </dxf>
    <dxf>
      <alignment horizontal="center" vertical="bottom" indent="0" justifyLastLine="0" shrinkToFit="0" readingOrder="0"/>
    </dxf>
    <dxf>
      <font>
        <b/>
        <i val="0"/>
        <strike val="0"/>
        <condense val="0"/>
        <extend val="0"/>
        <outline val="0"/>
        <shadow val="0"/>
        <u val="none"/>
        <vertAlign val="baseline"/>
        <sz val="10"/>
        <color theme="0"/>
        <name val="Arial"/>
        <scheme val="none"/>
      </font>
      <alignment horizontal="center" vertical="bottom" textRotation="90" wrapText="1" indent="0" justifyLastLine="0" shrinkToFit="0" readingOrder="0"/>
    </dxf>
  </dxfs>
  <tableStyles count="0" defaultTableStyle="TableStyleMedium2" defaultPivotStyle="PivotStyleLight16"/>
  <colors>
    <mruColors>
      <color rgb="FFFF9900"/>
      <color rgb="FFFF0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 AND CHRONIC WORKLOAD (3)</a:t>
            </a:r>
            <a:r>
              <a:rPr lang="en-ZA" baseline="0">
                <a:solidFill>
                  <a:schemeClr val="tx1"/>
                </a:solidFill>
              </a:rPr>
              <a:t> </a:t>
            </a:r>
            <a:endParaRPr lang="en-ZA">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'DAILY LOAD INPUT'!$D$3</c:f>
              <c:strCache>
                <c:ptCount val="1"/>
                <c:pt idx="0">
                  <c:v>EXERCISE LOAD</c:v>
                </c:pt>
              </c:strCache>
            </c:strRef>
          </c:tx>
          <c:spPr>
            <a:solidFill>
              <a:schemeClr val="bg2">
                <a:lumMod val="90000"/>
              </a:schemeClr>
            </a:solidFill>
            <a:ln>
              <a:noFill/>
            </a:ln>
            <a:effectLst/>
          </c:spPr>
          <c:invertIfNegative val="0"/>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INPUT'!$D$4:$D$10</c:f>
              <c:numCache>
                <c:formatCode>General</c:formatCode>
                <c:ptCount val="7"/>
                <c:pt idx="0">
                  <c:v>79</c:v>
                </c:pt>
                <c:pt idx="1">
                  <c:v>83</c:v>
                </c:pt>
                <c:pt idx="2">
                  <c:v>0</c:v>
                </c:pt>
                <c:pt idx="3">
                  <c:v>107</c:v>
                </c:pt>
                <c:pt idx="4">
                  <c:v>108</c:v>
                </c:pt>
                <c:pt idx="5">
                  <c:v>0</c:v>
                </c:pt>
                <c:pt idx="6">
                  <c:v>0</c:v>
                </c:pt>
              </c:numCache>
            </c:numRef>
          </c:val>
          <c:extLst>
            <c:ext xmlns:c16="http://schemas.microsoft.com/office/drawing/2014/chart" uri="{C3380CC4-5D6E-409C-BE32-E72D297353CC}">
              <c16:uniqueId val="{00000000-8075-4AFC-B868-004E994F3E02}"/>
            </c:ext>
          </c:extLst>
        </c:ser>
        <c:dLbls>
          <c:showLegendKey val="0"/>
          <c:showVal val="0"/>
          <c:showCatName val="0"/>
          <c:showSerName val="0"/>
          <c:showPercent val="0"/>
          <c:showBubbleSize val="0"/>
        </c:dLbls>
        <c:gapWidth val="219"/>
        <c:axId val="427710464"/>
        <c:axId val="427715384"/>
      </c:barChart>
      <c:lineChart>
        <c:grouping val="standard"/>
        <c:varyColors val="0"/>
        <c:ser>
          <c:idx val="1"/>
          <c:order val="1"/>
          <c:tx>
            <c:strRef>
              <c:f>'DAILY LOAD INPUT'!$E$3</c:f>
              <c:strCache>
                <c:ptCount val="1"/>
                <c:pt idx="0">
                  <c:v>3 EMA (Acute) </c:v>
                </c:pt>
              </c:strCache>
            </c:strRef>
          </c:tx>
          <c:spPr>
            <a:ln w="28575" cap="rnd">
              <a:solidFill>
                <a:schemeClr val="accent2"/>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INPUT'!$E$4:$E$10</c:f>
            </c:numRef>
          </c:val>
          <c:smooth val="0"/>
          <c:extLst>
            <c:ext xmlns:c16="http://schemas.microsoft.com/office/drawing/2014/chart" uri="{C3380CC4-5D6E-409C-BE32-E72D297353CC}">
              <c16:uniqueId val="{00000001-8075-4AFC-B868-004E994F3E02}"/>
            </c:ext>
          </c:extLst>
        </c:ser>
        <c:ser>
          <c:idx val="2"/>
          <c:order val="2"/>
          <c:tx>
            <c:strRef>
              <c:f>'DAILY LOAD INPUT'!$F$3</c:f>
              <c:strCache>
                <c:ptCount val="1"/>
                <c:pt idx="0">
                  <c:v>21 EMA (Chronic )</c:v>
                </c:pt>
              </c:strCache>
            </c:strRef>
          </c:tx>
          <c:spPr>
            <a:ln w="28575" cap="rnd">
              <a:solidFill>
                <a:schemeClr val="accent3"/>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INPUT'!$F$4:$F$10</c:f>
            </c:numRef>
          </c:val>
          <c:smooth val="0"/>
          <c:extLst>
            <c:ext xmlns:c16="http://schemas.microsoft.com/office/drawing/2014/chart" uri="{C3380CC4-5D6E-409C-BE32-E72D297353CC}">
              <c16:uniqueId val="{00000002-8075-4AFC-B868-004E994F3E02}"/>
            </c:ext>
          </c:extLst>
        </c:ser>
        <c:dLbls>
          <c:showLegendKey val="0"/>
          <c:showVal val="0"/>
          <c:showCatName val="0"/>
          <c:showSerName val="0"/>
          <c:showPercent val="0"/>
          <c:showBubbleSize val="0"/>
        </c:dLbls>
        <c:marker val="1"/>
        <c:smooth val="0"/>
        <c:axId val="427710464"/>
        <c:axId val="427715384"/>
      </c:lineChart>
      <c:catAx>
        <c:axId val="42771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15384"/>
        <c:crosses val="autoZero"/>
        <c:auto val="1"/>
        <c:lblAlgn val="ctr"/>
        <c:lblOffset val="100"/>
        <c:noMultiLvlLbl val="0"/>
      </c:catAx>
      <c:valAx>
        <c:axId val="42771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10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 AND CHRONIC</a:t>
            </a:r>
            <a:r>
              <a:rPr lang="en-ZA" baseline="0">
                <a:solidFill>
                  <a:schemeClr val="tx1"/>
                </a:solidFill>
              </a:rPr>
              <a:t> WORKLOAD (7)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'DAILY LOAD INPUT'!$D$3</c:f>
              <c:strCache>
                <c:ptCount val="1"/>
                <c:pt idx="0">
                  <c:v>EXERCISE LOAD</c:v>
                </c:pt>
              </c:strCache>
            </c:strRef>
          </c:tx>
          <c:spPr>
            <a:solidFill>
              <a:schemeClr val="bg2">
                <a:lumMod val="90000"/>
              </a:schemeClr>
            </a:solidFill>
            <a:ln>
              <a:noFill/>
            </a:ln>
            <a:effectLst/>
          </c:spPr>
          <c:invertIfNegative val="0"/>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INPUT'!$D$4:$D$10</c:f>
              <c:numCache>
                <c:formatCode>General</c:formatCode>
                <c:ptCount val="7"/>
                <c:pt idx="0">
                  <c:v>79</c:v>
                </c:pt>
                <c:pt idx="1">
                  <c:v>83</c:v>
                </c:pt>
                <c:pt idx="2">
                  <c:v>0</c:v>
                </c:pt>
                <c:pt idx="3">
                  <c:v>107</c:v>
                </c:pt>
                <c:pt idx="4">
                  <c:v>108</c:v>
                </c:pt>
                <c:pt idx="5">
                  <c:v>0</c:v>
                </c:pt>
                <c:pt idx="6">
                  <c:v>0</c:v>
                </c:pt>
              </c:numCache>
            </c:numRef>
          </c:val>
          <c:extLst>
            <c:ext xmlns:c16="http://schemas.microsoft.com/office/drawing/2014/chart" uri="{C3380CC4-5D6E-409C-BE32-E72D297353CC}">
              <c16:uniqueId val="{00000000-AD3D-4C52-A010-041C58AF903C}"/>
            </c:ext>
          </c:extLst>
        </c:ser>
        <c:dLbls>
          <c:showLegendKey val="0"/>
          <c:showVal val="0"/>
          <c:showCatName val="0"/>
          <c:showSerName val="0"/>
          <c:showPercent val="0"/>
          <c:showBubbleSize val="0"/>
        </c:dLbls>
        <c:gapWidth val="219"/>
        <c:axId val="327502472"/>
        <c:axId val="327504112"/>
      </c:barChart>
      <c:lineChart>
        <c:grouping val="standard"/>
        <c:varyColors val="0"/>
        <c:ser>
          <c:idx val="1"/>
          <c:order val="1"/>
          <c:tx>
            <c:strRef>
              <c:f>'DAILY LOAD INPUT'!$K$3</c:f>
              <c:strCache>
                <c:ptCount val="1"/>
                <c:pt idx="0">
                  <c:v>FATIGUE</c:v>
                </c:pt>
              </c:strCache>
            </c:strRef>
          </c:tx>
          <c:spPr>
            <a:ln w="28575" cap="rnd">
              <a:solidFill>
                <a:srgbClr val="FF0000"/>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INPUT'!$K$4:$K$10</c:f>
              <c:numCache>
                <c:formatCode>0.0</c:formatCode>
                <c:ptCount val="7"/>
                <c:pt idx="0" formatCode="General">
                  <c:v>54</c:v>
                </c:pt>
                <c:pt idx="1">
                  <c:v>61.25</c:v>
                </c:pt>
                <c:pt idx="2">
                  <c:v>45.9375</c:v>
                </c:pt>
                <c:pt idx="3">
                  <c:v>61.203125</c:v>
                </c:pt>
                <c:pt idx="4">
                  <c:v>72.90234375</c:v>
                </c:pt>
                <c:pt idx="5">
                  <c:v>54.6767578125</c:v>
                </c:pt>
                <c:pt idx="6">
                  <c:v>41.007568359375</c:v>
                </c:pt>
              </c:numCache>
            </c:numRef>
          </c:val>
          <c:smooth val="0"/>
          <c:extLst>
            <c:ext xmlns:c16="http://schemas.microsoft.com/office/drawing/2014/chart" uri="{C3380CC4-5D6E-409C-BE32-E72D297353CC}">
              <c16:uniqueId val="{00000001-AD3D-4C52-A010-041C58AF903C}"/>
            </c:ext>
          </c:extLst>
        </c:ser>
        <c:ser>
          <c:idx val="2"/>
          <c:order val="2"/>
          <c:tx>
            <c:strRef>
              <c:f>'DAILY LOAD INPUT'!$L$3</c:f>
              <c:strCache>
                <c:ptCount val="1"/>
                <c:pt idx="0">
                  <c:v>FITNESS</c:v>
                </c:pt>
              </c:strCache>
            </c:strRef>
          </c:tx>
          <c:spPr>
            <a:ln w="28575" cap="rnd">
              <a:solidFill>
                <a:srgbClr val="0070C0"/>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INPUT'!$L$4:$L$10</c:f>
              <c:numCache>
                <c:formatCode>0.0</c:formatCode>
                <c:ptCount val="7"/>
                <c:pt idx="0" formatCode="General">
                  <c:v>54</c:v>
                </c:pt>
                <c:pt idx="1">
                  <c:v>56</c:v>
                </c:pt>
                <c:pt idx="2">
                  <c:v>52.137931034482762</c:v>
                </c:pt>
                <c:pt idx="3">
                  <c:v>55.92152199762188</c:v>
                </c:pt>
                <c:pt idx="4">
                  <c:v>59.513141170199681</c:v>
                </c:pt>
                <c:pt idx="5">
                  <c:v>55.408786606737635</c:v>
                </c:pt>
                <c:pt idx="6">
                  <c:v>51.587490978686766</c:v>
                </c:pt>
              </c:numCache>
            </c:numRef>
          </c:val>
          <c:smooth val="0"/>
          <c:extLst>
            <c:ext xmlns:c16="http://schemas.microsoft.com/office/drawing/2014/chart" uri="{C3380CC4-5D6E-409C-BE32-E72D297353CC}">
              <c16:uniqueId val="{00000002-AD3D-4C52-A010-041C58AF903C}"/>
            </c:ext>
          </c:extLst>
        </c:ser>
        <c:dLbls>
          <c:showLegendKey val="0"/>
          <c:showVal val="0"/>
          <c:showCatName val="0"/>
          <c:showSerName val="0"/>
          <c:showPercent val="0"/>
          <c:showBubbleSize val="0"/>
        </c:dLbls>
        <c:marker val="1"/>
        <c:smooth val="0"/>
        <c:axId val="327502472"/>
        <c:axId val="327504112"/>
      </c:lineChart>
      <c:catAx>
        <c:axId val="327502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504112"/>
        <c:crosses val="autoZero"/>
        <c:auto val="1"/>
        <c:lblAlgn val="ctr"/>
        <c:lblOffset val="100"/>
        <c:noMultiLvlLbl val="0"/>
      </c:catAx>
      <c:valAx>
        <c:axId val="327504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502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a:t>
            </a:r>
            <a:r>
              <a:rPr lang="en-ZA" baseline="0">
                <a:solidFill>
                  <a:schemeClr val="tx1"/>
                </a:solidFill>
              </a:rPr>
              <a:t> : CHRONIC WORK RATIO</a:t>
            </a:r>
            <a:endParaRPr lang="en-ZA">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'DAILY LOAD INPUT'!$E$3</c:f>
              <c:strCache>
                <c:ptCount val="1"/>
                <c:pt idx="0">
                  <c:v>3 EMA (Acute) </c:v>
                </c:pt>
              </c:strCache>
              <c:extLst xmlns:c15="http://schemas.microsoft.com/office/drawing/2012/chart"/>
            </c:strRef>
          </c:tx>
          <c:spPr>
            <a:ln w="28575" cap="rnd">
              <a:solidFill>
                <a:schemeClr val="accent2"/>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extLst xmlns:c15="http://schemas.microsoft.com/office/drawing/2012/chart"/>
            </c:strRef>
          </c:cat>
          <c:val>
            <c:numRef>
              <c:f>'DAILY LOAD INPUT'!$E$4:$E$10</c:f>
              <c:extLst xmlns:c15="http://schemas.microsoft.com/office/drawing/2012/chart"/>
            </c:numRef>
          </c:val>
          <c:smooth val="0"/>
          <c:extLst xmlns:c15="http://schemas.microsoft.com/office/drawing/2012/chart">
            <c:ext xmlns:c16="http://schemas.microsoft.com/office/drawing/2014/chart" uri="{C3380CC4-5D6E-409C-BE32-E72D297353CC}">
              <c16:uniqueId val="{00000001-825F-435C-BD4A-668DBF010AA4}"/>
            </c:ext>
          </c:extLst>
        </c:ser>
        <c:ser>
          <c:idx val="2"/>
          <c:order val="2"/>
          <c:tx>
            <c:strRef>
              <c:f>'DAILY LOAD INPUT'!$F$3</c:f>
              <c:strCache>
                <c:ptCount val="1"/>
                <c:pt idx="0">
                  <c:v>21 EMA (Chronic )</c:v>
                </c:pt>
              </c:strCache>
              <c:extLst xmlns:c15="http://schemas.microsoft.com/office/drawing/2012/chart"/>
            </c:strRef>
          </c:tx>
          <c:spPr>
            <a:ln w="28575" cap="rnd">
              <a:solidFill>
                <a:schemeClr val="accent3"/>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extLst xmlns:c15="http://schemas.microsoft.com/office/drawing/2012/chart"/>
            </c:strRef>
          </c:cat>
          <c:val>
            <c:numRef>
              <c:f>'DAILY LOAD INPUT'!$F$4:$F$10</c:f>
              <c:extLst xmlns:c15="http://schemas.microsoft.com/office/drawing/2012/chart"/>
            </c:numRef>
          </c:val>
          <c:smooth val="0"/>
          <c:extLst xmlns:c15="http://schemas.microsoft.com/office/drawing/2012/chart">
            <c:ext xmlns:c16="http://schemas.microsoft.com/office/drawing/2014/chart" uri="{C3380CC4-5D6E-409C-BE32-E72D297353CC}">
              <c16:uniqueId val="{00000002-825F-435C-BD4A-668DBF010AA4}"/>
            </c:ext>
          </c:extLst>
        </c:ser>
        <c:ser>
          <c:idx val="3"/>
          <c:order val="3"/>
          <c:tx>
            <c:strRef>
              <c:f>'DAILY LOAD INPUT'!$G$3</c:f>
              <c:strCache>
                <c:ptCount val="1"/>
                <c:pt idx="0">
                  <c:v>ACWR</c:v>
                </c:pt>
              </c:strCache>
            </c:strRef>
          </c:tx>
          <c:spPr>
            <a:ln w="28575" cap="rnd">
              <a:solidFill>
                <a:schemeClr val="accent4"/>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INPUT'!$G$4:$G$10</c:f>
            </c:numRef>
          </c:val>
          <c:smooth val="0"/>
          <c:extLst>
            <c:ext xmlns:c16="http://schemas.microsoft.com/office/drawing/2014/chart" uri="{C3380CC4-5D6E-409C-BE32-E72D297353CC}">
              <c16:uniqueId val="{00000003-825F-435C-BD4A-668DBF010AA4}"/>
            </c:ext>
          </c:extLst>
        </c:ser>
        <c:ser>
          <c:idx val="4"/>
          <c:order val="4"/>
          <c:tx>
            <c:strRef>
              <c:f>'DAILY LOAD INPUT'!$H$3</c:f>
              <c:strCache>
                <c:ptCount val="1"/>
                <c:pt idx="0">
                  <c:v>UPPER</c:v>
                </c:pt>
              </c:strCache>
            </c:strRef>
          </c:tx>
          <c:spPr>
            <a:ln w="28575" cap="rnd">
              <a:solidFill>
                <a:schemeClr val="accent5"/>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INPUT'!$H$4:$H$10</c:f>
            </c:numRef>
          </c:val>
          <c:smooth val="0"/>
          <c:extLst>
            <c:ext xmlns:c16="http://schemas.microsoft.com/office/drawing/2014/chart" uri="{C3380CC4-5D6E-409C-BE32-E72D297353CC}">
              <c16:uniqueId val="{00000004-825F-435C-BD4A-668DBF010AA4}"/>
            </c:ext>
          </c:extLst>
        </c:ser>
        <c:ser>
          <c:idx val="5"/>
          <c:order val="5"/>
          <c:tx>
            <c:strRef>
              <c:f>'DAILY LOAD INPUT'!$I$3</c:f>
              <c:strCache>
                <c:ptCount val="1"/>
                <c:pt idx="0">
                  <c:v>LOWER</c:v>
                </c:pt>
              </c:strCache>
            </c:strRef>
          </c:tx>
          <c:spPr>
            <a:ln w="28575" cap="rnd">
              <a:solidFill>
                <a:schemeClr val="accent6"/>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INPUT'!$I$4:$I$10</c:f>
            </c:numRef>
          </c:val>
          <c:smooth val="0"/>
          <c:extLst>
            <c:ext xmlns:c16="http://schemas.microsoft.com/office/drawing/2014/chart" uri="{C3380CC4-5D6E-409C-BE32-E72D297353CC}">
              <c16:uniqueId val="{00000005-825F-435C-BD4A-668DBF010AA4}"/>
            </c:ext>
          </c:extLst>
        </c:ser>
        <c:dLbls>
          <c:showLegendKey val="0"/>
          <c:showVal val="0"/>
          <c:showCatName val="0"/>
          <c:showSerName val="0"/>
          <c:showPercent val="0"/>
          <c:showBubbleSize val="0"/>
        </c:dLbls>
        <c:marker val="1"/>
        <c:smooth val="0"/>
        <c:axId val="433431088"/>
        <c:axId val="433431744"/>
        <c:extLst>
          <c:ext xmlns:c15="http://schemas.microsoft.com/office/drawing/2012/chart" uri="{02D57815-91ED-43cb-92C2-25804820EDAC}">
            <c15:filteredLineSeries>
              <c15:ser>
                <c:idx val="0"/>
                <c:order val="0"/>
                <c:tx>
                  <c:strRef>
                    <c:extLst>
                      <c:ext uri="{02D57815-91ED-43cb-92C2-25804820EDAC}">
                        <c15:formulaRef>
                          <c15:sqref>'DAILY LOAD INPUT'!$D$3</c15:sqref>
                        </c15:formulaRef>
                      </c:ext>
                    </c:extLst>
                    <c:strCache>
                      <c:ptCount val="1"/>
                      <c:pt idx="0">
                        <c:v>EXERCISE LOAD</c:v>
                      </c:pt>
                    </c:strCache>
                  </c:strRef>
                </c:tx>
                <c:spPr>
                  <a:ln w="28575" cap="rnd">
                    <a:solidFill>
                      <a:schemeClr val="accent1"/>
                    </a:solidFill>
                    <a:round/>
                  </a:ln>
                  <a:effectLst/>
                </c:spPr>
                <c:marker>
                  <c:symbol val="none"/>
                </c:marker>
                <c:cat>
                  <c:strRef>
                    <c:extLst>
                      <c:ext uri="{02D57815-91ED-43cb-92C2-25804820EDAC}">
                        <c15:formulaRef>
                          <c15:sqref>'DAILY LOAD INPUT'!$C$4:$C$10</c15:sqref>
                        </c15:formulaRef>
                      </c:ext>
                    </c:extLst>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extLst>
                      <c:ext uri="{02D57815-91ED-43cb-92C2-25804820EDAC}">
                        <c15:formulaRef>
                          <c15:sqref>'DAILY LOAD INPUT'!$D$4:$D$10</c15:sqref>
                        </c15:formulaRef>
                      </c:ext>
                    </c:extLst>
                    <c:numCache>
                      <c:formatCode>General</c:formatCode>
                      <c:ptCount val="7"/>
                      <c:pt idx="0">
                        <c:v>79</c:v>
                      </c:pt>
                      <c:pt idx="1">
                        <c:v>83</c:v>
                      </c:pt>
                      <c:pt idx="2">
                        <c:v>0</c:v>
                      </c:pt>
                      <c:pt idx="3">
                        <c:v>107</c:v>
                      </c:pt>
                      <c:pt idx="4">
                        <c:v>108</c:v>
                      </c:pt>
                      <c:pt idx="5">
                        <c:v>0</c:v>
                      </c:pt>
                      <c:pt idx="6">
                        <c:v>0</c:v>
                      </c:pt>
                    </c:numCache>
                  </c:numRef>
                </c:val>
                <c:smooth val="0"/>
                <c:extLst>
                  <c:ext xmlns:c16="http://schemas.microsoft.com/office/drawing/2014/chart" uri="{C3380CC4-5D6E-409C-BE32-E72D297353CC}">
                    <c16:uniqueId val="{00000000-825F-435C-BD4A-668DBF010AA4}"/>
                  </c:ext>
                </c:extLst>
              </c15:ser>
            </c15:filteredLineSeries>
          </c:ext>
        </c:extLst>
      </c:lineChart>
      <c:catAx>
        <c:axId val="43343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31744"/>
        <c:crosses val="autoZero"/>
        <c:auto val="1"/>
        <c:lblAlgn val="ctr"/>
        <c:lblOffset val="100"/>
        <c:noMultiLvlLbl val="0"/>
      </c:catAx>
      <c:valAx>
        <c:axId val="433431744"/>
        <c:scaling>
          <c:orientation val="minMax"/>
          <c:max val="1.8"/>
          <c:min val="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31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 : CHRONIC WORK RATIO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3"/>
          <c:tx>
            <c:strRef>
              <c:f>'DAILY LOAD INPUT'!$M$3</c:f>
              <c:strCache>
                <c:ptCount val="1"/>
                <c:pt idx="0">
                  <c:v>ACWR</c:v>
                </c:pt>
              </c:strCache>
            </c:strRef>
          </c:tx>
          <c:spPr>
            <a:ln w="28575" cap="rnd">
              <a:solidFill>
                <a:schemeClr val="tx1"/>
              </a:solidFill>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INPUT'!$M$4:$M$10</c:f>
              <c:numCache>
                <c:formatCode>0.0</c:formatCode>
                <c:ptCount val="7"/>
                <c:pt idx="0" formatCode="General">
                  <c:v>1</c:v>
                </c:pt>
                <c:pt idx="1">
                  <c:v>1.09375</c:v>
                </c:pt>
                <c:pt idx="2">
                  <c:v>0.88107638888888884</c:v>
                </c:pt>
                <c:pt idx="3">
                  <c:v>1.0944466962577077</c:v>
                </c:pt>
                <c:pt idx="4">
                  <c:v>1.2249789259402217</c:v>
                </c:pt>
                <c:pt idx="5">
                  <c:v>0.98678857922962304</c:v>
                </c:pt>
                <c:pt idx="6">
                  <c:v>0.79491302215719639</c:v>
                </c:pt>
              </c:numCache>
            </c:numRef>
          </c:val>
          <c:smooth val="0"/>
          <c:extLst>
            <c:ext xmlns:c16="http://schemas.microsoft.com/office/drawing/2014/chart" uri="{C3380CC4-5D6E-409C-BE32-E72D297353CC}">
              <c16:uniqueId val="{00000003-183A-41F8-B1BE-F584A59273B2}"/>
            </c:ext>
          </c:extLst>
        </c:ser>
        <c:ser>
          <c:idx val="4"/>
          <c:order val="4"/>
          <c:tx>
            <c:strRef>
              <c:f>'DAILY LOAD INPUT'!$N$3</c:f>
              <c:strCache>
                <c:ptCount val="1"/>
                <c:pt idx="0">
                  <c:v>LOWER</c:v>
                </c:pt>
              </c:strCache>
            </c:strRef>
          </c:tx>
          <c:spPr>
            <a:ln w="28575" cap="rnd">
              <a:solidFill>
                <a:srgbClr val="0070C0"/>
              </a:solidFill>
              <a:prstDash val="dash"/>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INPUT'!$N$4:$N$10</c:f>
              <c:numCache>
                <c:formatCode>General</c:formatCode>
                <c:ptCount val="7"/>
                <c:pt idx="0">
                  <c:v>0.8</c:v>
                </c:pt>
                <c:pt idx="1">
                  <c:v>0.8</c:v>
                </c:pt>
                <c:pt idx="2">
                  <c:v>0.8</c:v>
                </c:pt>
                <c:pt idx="3">
                  <c:v>0.8</c:v>
                </c:pt>
                <c:pt idx="4">
                  <c:v>0.8</c:v>
                </c:pt>
                <c:pt idx="5">
                  <c:v>0.8</c:v>
                </c:pt>
                <c:pt idx="6">
                  <c:v>0.8</c:v>
                </c:pt>
              </c:numCache>
            </c:numRef>
          </c:val>
          <c:smooth val="0"/>
          <c:extLst>
            <c:ext xmlns:c16="http://schemas.microsoft.com/office/drawing/2014/chart" uri="{C3380CC4-5D6E-409C-BE32-E72D297353CC}">
              <c16:uniqueId val="{00000004-183A-41F8-B1BE-F584A59273B2}"/>
            </c:ext>
          </c:extLst>
        </c:ser>
        <c:ser>
          <c:idx val="5"/>
          <c:order val="5"/>
          <c:tx>
            <c:strRef>
              <c:f>'DAILY LOAD INPUT'!$O$3</c:f>
              <c:strCache>
                <c:ptCount val="1"/>
                <c:pt idx="0">
                  <c:v>UPPER</c:v>
                </c:pt>
              </c:strCache>
            </c:strRef>
          </c:tx>
          <c:spPr>
            <a:ln w="28575" cap="rnd">
              <a:solidFill>
                <a:srgbClr val="FF0000"/>
              </a:solidFill>
              <a:prstDash val="dash"/>
              <a:round/>
            </a:ln>
            <a:effectLst/>
          </c:spPr>
          <c:marker>
            <c:symbol val="none"/>
          </c:marker>
          <c:cat>
            <c:strRef>
              <c:f>'DAILY LOAD INPUT'!$C$4:$C$10</c:f>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f>'DAILY LOAD INPUT'!$O$4:$O$10</c:f>
              <c:numCache>
                <c:formatCode>General</c:formatCode>
                <c:ptCount val="7"/>
                <c:pt idx="0">
                  <c:v>1.3</c:v>
                </c:pt>
                <c:pt idx="1">
                  <c:v>1.3</c:v>
                </c:pt>
                <c:pt idx="2">
                  <c:v>1.3</c:v>
                </c:pt>
                <c:pt idx="3">
                  <c:v>1.3</c:v>
                </c:pt>
                <c:pt idx="4">
                  <c:v>1.3</c:v>
                </c:pt>
                <c:pt idx="5">
                  <c:v>1.3</c:v>
                </c:pt>
                <c:pt idx="6">
                  <c:v>1.3</c:v>
                </c:pt>
              </c:numCache>
            </c:numRef>
          </c:val>
          <c:smooth val="0"/>
          <c:extLst>
            <c:ext xmlns:c16="http://schemas.microsoft.com/office/drawing/2014/chart" uri="{C3380CC4-5D6E-409C-BE32-E72D297353CC}">
              <c16:uniqueId val="{00000005-183A-41F8-B1BE-F584A59273B2}"/>
            </c:ext>
          </c:extLst>
        </c:ser>
        <c:dLbls>
          <c:showLegendKey val="0"/>
          <c:showVal val="0"/>
          <c:showCatName val="0"/>
          <c:showSerName val="0"/>
          <c:showPercent val="0"/>
          <c:showBubbleSize val="0"/>
        </c:dLbls>
        <c:smooth val="0"/>
        <c:axId val="435692464"/>
        <c:axId val="435691152"/>
        <c:extLst>
          <c:ext xmlns:c15="http://schemas.microsoft.com/office/drawing/2012/chart" uri="{02D57815-91ED-43cb-92C2-25804820EDAC}">
            <c15:filteredLineSeries>
              <c15:ser>
                <c:idx val="0"/>
                <c:order val="0"/>
                <c:tx>
                  <c:strRef>
                    <c:extLst>
                      <c:ext uri="{02D57815-91ED-43cb-92C2-25804820EDAC}">
                        <c15:formulaRef>
                          <c15:sqref>'DAILY LOAD INPUT'!$D$3</c15:sqref>
                        </c15:formulaRef>
                      </c:ext>
                    </c:extLst>
                    <c:strCache>
                      <c:ptCount val="1"/>
                      <c:pt idx="0">
                        <c:v>EXERCISE LOAD</c:v>
                      </c:pt>
                    </c:strCache>
                  </c:strRef>
                </c:tx>
                <c:spPr>
                  <a:ln w="28575" cap="rnd">
                    <a:solidFill>
                      <a:schemeClr val="accent1"/>
                    </a:solidFill>
                    <a:round/>
                  </a:ln>
                  <a:effectLst/>
                </c:spPr>
                <c:marker>
                  <c:symbol val="none"/>
                </c:marker>
                <c:cat>
                  <c:strRef>
                    <c:extLst>
                      <c:ext uri="{02D57815-91ED-43cb-92C2-25804820EDAC}">
                        <c15:formulaRef>
                          <c15:sqref>'DAILY LOAD INPUT'!$C$4:$C$10</c15:sqref>
                        </c15:formulaRef>
                      </c:ext>
                    </c:extLst>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extLst>
                      <c:ext uri="{02D57815-91ED-43cb-92C2-25804820EDAC}">
                        <c15:formulaRef>
                          <c15:sqref>'DAILY LOAD INPUT'!$D$4:$D$10</c15:sqref>
                        </c15:formulaRef>
                      </c:ext>
                    </c:extLst>
                    <c:numCache>
                      <c:formatCode>General</c:formatCode>
                      <c:ptCount val="7"/>
                      <c:pt idx="0">
                        <c:v>79</c:v>
                      </c:pt>
                      <c:pt idx="1">
                        <c:v>83</c:v>
                      </c:pt>
                      <c:pt idx="2">
                        <c:v>0</c:v>
                      </c:pt>
                      <c:pt idx="3">
                        <c:v>107</c:v>
                      </c:pt>
                      <c:pt idx="4">
                        <c:v>108</c:v>
                      </c:pt>
                      <c:pt idx="5">
                        <c:v>0</c:v>
                      </c:pt>
                      <c:pt idx="6">
                        <c:v>0</c:v>
                      </c:pt>
                    </c:numCache>
                  </c:numRef>
                </c:val>
                <c:smooth val="0"/>
                <c:extLst>
                  <c:ext xmlns:c16="http://schemas.microsoft.com/office/drawing/2014/chart" uri="{C3380CC4-5D6E-409C-BE32-E72D297353CC}">
                    <c16:uniqueId val="{00000000-183A-41F8-B1BE-F584A59273B2}"/>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'DAILY LOAD INPUT'!$K$3</c15:sqref>
                        </c15:formulaRef>
                      </c:ext>
                    </c:extLst>
                    <c:strCache>
                      <c:ptCount val="1"/>
                      <c:pt idx="0">
                        <c:v>FATIGUE</c:v>
                      </c:pt>
                    </c:strCache>
                  </c:strRef>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'DAILY LOAD INPUT'!$C$4:$C$10</c15:sqref>
                        </c15:formulaRef>
                      </c:ext>
                    </c:extLst>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extLst xmlns:c15="http://schemas.microsoft.com/office/drawing/2012/chart">
                      <c:ext xmlns:c15="http://schemas.microsoft.com/office/drawing/2012/chart" uri="{02D57815-91ED-43cb-92C2-25804820EDAC}">
                        <c15:formulaRef>
                          <c15:sqref>'DAILY LOAD INPUT'!$K$4:$K$10</c15:sqref>
                        </c15:formulaRef>
                      </c:ext>
                    </c:extLst>
                    <c:numCache>
                      <c:formatCode>0.0</c:formatCode>
                      <c:ptCount val="7"/>
                      <c:pt idx="0" formatCode="General">
                        <c:v>54</c:v>
                      </c:pt>
                      <c:pt idx="1">
                        <c:v>61.25</c:v>
                      </c:pt>
                      <c:pt idx="2">
                        <c:v>45.9375</c:v>
                      </c:pt>
                      <c:pt idx="3">
                        <c:v>61.203125</c:v>
                      </c:pt>
                      <c:pt idx="4">
                        <c:v>72.90234375</c:v>
                      </c:pt>
                      <c:pt idx="5">
                        <c:v>54.6767578125</c:v>
                      </c:pt>
                      <c:pt idx="6">
                        <c:v>41.007568359375</c:v>
                      </c:pt>
                    </c:numCache>
                  </c:numRef>
                </c:val>
                <c:smooth val="0"/>
                <c:extLst xmlns:c15="http://schemas.microsoft.com/office/drawing/2012/chart">
                  <c:ext xmlns:c16="http://schemas.microsoft.com/office/drawing/2014/chart" uri="{C3380CC4-5D6E-409C-BE32-E72D297353CC}">
                    <c16:uniqueId val="{00000001-183A-41F8-B1BE-F584A59273B2}"/>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'DAILY LOAD INPUT'!$L$3</c15:sqref>
                        </c15:formulaRef>
                      </c:ext>
                    </c:extLst>
                    <c:strCache>
                      <c:ptCount val="1"/>
                      <c:pt idx="0">
                        <c:v>FITNESS</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'DAILY LOAD INPUT'!$C$4:$C$10</c15:sqref>
                        </c15:formulaRef>
                      </c:ext>
                    </c:extLst>
                    <c:strCache>
                      <c:ptCount val="7"/>
                      <c:pt idx="0">
                        <c:v>MONDAY 08/01/24</c:v>
                      </c:pt>
                      <c:pt idx="1">
                        <c:v>TUESDAY 09/01/24</c:v>
                      </c:pt>
                      <c:pt idx="2">
                        <c:v>WEDNESDAY 10/01/24</c:v>
                      </c:pt>
                      <c:pt idx="3">
                        <c:v>THURSDAY 11/01/24</c:v>
                      </c:pt>
                      <c:pt idx="4">
                        <c:v>FRIDAY 12/01/24</c:v>
                      </c:pt>
                      <c:pt idx="5">
                        <c:v>SATURDAY 13/01/24</c:v>
                      </c:pt>
                      <c:pt idx="6">
                        <c:v>SUNDAY 14/01/24</c:v>
                      </c:pt>
                    </c:strCache>
                  </c:strRef>
                </c:cat>
                <c:val>
                  <c:numRef>
                    <c:extLst xmlns:c15="http://schemas.microsoft.com/office/drawing/2012/chart">
                      <c:ext xmlns:c15="http://schemas.microsoft.com/office/drawing/2012/chart" uri="{02D57815-91ED-43cb-92C2-25804820EDAC}">
                        <c15:formulaRef>
                          <c15:sqref>'DAILY LOAD INPUT'!$L$4:$L$10</c15:sqref>
                        </c15:formulaRef>
                      </c:ext>
                    </c:extLst>
                    <c:numCache>
                      <c:formatCode>0.0</c:formatCode>
                      <c:ptCount val="7"/>
                      <c:pt idx="0" formatCode="General">
                        <c:v>54</c:v>
                      </c:pt>
                      <c:pt idx="1">
                        <c:v>56</c:v>
                      </c:pt>
                      <c:pt idx="2">
                        <c:v>52.137931034482762</c:v>
                      </c:pt>
                      <c:pt idx="3">
                        <c:v>55.92152199762188</c:v>
                      </c:pt>
                      <c:pt idx="4">
                        <c:v>59.513141170199681</c:v>
                      </c:pt>
                      <c:pt idx="5">
                        <c:v>55.408786606737635</c:v>
                      </c:pt>
                      <c:pt idx="6">
                        <c:v>51.587490978686766</c:v>
                      </c:pt>
                    </c:numCache>
                  </c:numRef>
                </c:val>
                <c:smooth val="0"/>
                <c:extLst xmlns:c15="http://schemas.microsoft.com/office/drawing/2012/chart">
                  <c:ext xmlns:c16="http://schemas.microsoft.com/office/drawing/2014/chart" uri="{C3380CC4-5D6E-409C-BE32-E72D297353CC}">
                    <c16:uniqueId val="{00000002-183A-41F8-B1BE-F584A59273B2}"/>
                  </c:ext>
                </c:extLst>
              </c15:ser>
            </c15:filteredLineSeries>
          </c:ext>
        </c:extLst>
      </c:lineChart>
      <c:catAx>
        <c:axId val="43569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91152"/>
        <c:crosses val="autoZero"/>
        <c:auto val="1"/>
        <c:lblAlgn val="ctr"/>
        <c:lblOffset val="100"/>
        <c:noMultiLvlLbl val="0"/>
      </c:catAx>
      <c:valAx>
        <c:axId val="435691152"/>
        <c:scaling>
          <c:orientation val="minMax"/>
          <c:max val="1.8"/>
          <c:min val="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92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 AND CHRONIC WORKLOAD (3)</a:t>
            </a:r>
            <a:r>
              <a:rPr lang="en-ZA" baseline="0">
                <a:solidFill>
                  <a:schemeClr val="tx1"/>
                </a:solidFill>
              </a:rPr>
              <a:t> </a:t>
            </a:r>
            <a:endParaRPr lang="en-ZA">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'DAILY LOAD INPUT'!$D$3</c:f>
              <c:strCache>
                <c:ptCount val="1"/>
                <c:pt idx="0">
                  <c:v>EXERCISE LOAD</c:v>
                </c:pt>
              </c:strCache>
            </c:strRef>
          </c:tx>
          <c:spPr>
            <a:solidFill>
              <a:schemeClr val="bg2">
                <a:lumMod val="90000"/>
              </a:schemeClr>
            </a:solidFill>
            <a:ln>
              <a:noFill/>
            </a:ln>
            <a:effectLst/>
          </c:spPr>
          <c:invertIfNegative val="0"/>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INPUT'!$D$4:$D$25</c:f>
              <c:numCache>
                <c:formatCode>General</c:formatCode>
                <c:ptCount val="22"/>
                <c:pt idx="0">
                  <c:v>79</c:v>
                </c:pt>
                <c:pt idx="1">
                  <c:v>83</c:v>
                </c:pt>
                <c:pt idx="2">
                  <c:v>0</c:v>
                </c:pt>
                <c:pt idx="3">
                  <c:v>107</c:v>
                </c:pt>
                <c:pt idx="4">
                  <c:v>108</c:v>
                </c:pt>
                <c:pt idx="5">
                  <c:v>0</c:v>
                </c:pt>
                <c:pt idx="6">
                  <c:v>0</c:v>
                </c:pt>
                <c:pt idx="7">
                  <c:v>30</c:v>
                </c:pt>
                <c:pt idx="8">
                  <c:v>59</c:v>
                </c:pt>
                <c:pt idx="9">
                  <c:v>0</c:v>
                </c:pt>
                <c:pt idx="10">
                  <c:v>133</c:v>
                </c:pt>
                <c:pt idx="11">
                  <c:v>80</c:v>
                </c:pt>
                <c:pt idx="12">
                  <c:v>97.73</c:v>
                </c:pt>
                <c:pt idx="13">
                  <c:v>0</c:v>
                </c:pt>
                <c:pt idx="14">
                  <c:v>135</c:v>
                </c:pt>
                <c:pt idx="15">
                  <c:v>97.2</c:v>
                </c:pt>
                <c:pt idx="16">
                  <c:v>0</c:v>
                </c:pt>
                <c:pt idx="17">
                  <c:v>67</c:v>
                </c:pt>
                <c:pt idx="18">
                  <c:v>37.28</c:v>
                </c:pt>
                <c:pt idx="19">
                  <c:v>107.44</c:v>
                </c:pt>
                <c:pt idx="20">
                  <c:v>0</c:v>
                </c:pt>
                <c:pt idx="21">
                  <c:v>0</c:v>
                </c:pt>
              </c:numCache>
            </c:numRef>
          </c:val>
          <c:extLst>
            <c:ext xmlns:c16="http://schemas.microsoft.com/office/drawing/2014/chart" uri="{C3380CC4-5D6E-409C-BE32-E72D297353CC}">
              <c16:uniqueId val="{00000000-BFBF-46C0-BD3C-FD74C5F1FCFB}"/>
            </c:ext>
          </c:extLst>
        </c:ser>
        <c:dLbls>
          <c:showLegendKey val="0"/>
          <c:showVal val="0"/>
          <c:showCatName val="0"/>
          <c:showSerName val="0"/>
          <c:showPercent val="0"/>
          <c:showBubbleSize val="0"/>
        </c:dLbls>
        <c:gapWidth val="219"/>
        <c:axId val="427710464"/>
        <c:axId val="427715384"/>
      </c:barChart>
      <c:lineChart>
        <c:grouping val="standard"/>
        <c:varyColors val="0"/>
        <c:ser>
          <c:idx val="1"/>
          <c:order val="1"/>
          <c:tx>
            <c:strRef>
              <c:f>'DAILY LOAD INPUT'!$E$3</c:f>
              <c:strCache>
                <c:ptCount val="1"/>
                <c:pt idx="0">
                  <c:v>3 EMA (Acute) </c:v>
                </c:pt>
              </c:strCache>
            </c:strRef>
          </c:tx>
          <c:spPr>
            <a:ln w="28575" cap="rnd">
              <a:solidFill>
                <a:schemeClr val="accent2"/>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INPUT'!$E$4:$E$25</c:f>
            </c:numRef>
          </c:val>
          <c:smooth val="0"/>
          <c:extLst>
            <c:ext xmlns:c16="http://schemas.microsoft.com/office/drawing/2014/chart" uri="{C3380CC4-5D6E-409C-BE32-E72D297353CC}">
              <c16:uniqueId val="{00000001-BFBF-46C0-BD3C-FD74C5F1FCFB}"/>
            </c:ext>
          </c:extLst>
        </c:ser>
        <c:ser>
          <c:idx val="2"/>
          <c:order val="2"/>
          <c:tx>
            <c:strRef>
              <c:f>'DAILY LOAD INPUT'!$F$3</c:f>
              <c:strCache>
                <c:ptCount val="1"/>
                <c:pt idx="0">
                  <c:v>21 EMA (Chronic )</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INPUT'!$F$4:$F$25</c:f>
            </c:numRef>
          </c:val>
          <c:smooth val="0"/>
          <c:extLst>
            <c:ext xmlns:c16="http://schemas.microsoft.com/office/drawing/2014/chart" uri="{C3380CC4-5D6E-409C-BE32-E72D297353CC}">
              <c16:uniqueId val="{00000002-BFBF-46C0-BD3C-FD74C5F1FCFB}"/>
            </c:ext>
          </c:extLst>
        </c:ser>
        <c:dLbls>
          <c:showLegendKey val="0"/>
          <c:showVal val="0"/>
          <c:showCatName val="0"/>
          <c:showSerName val="0"/>
          <c:showPercent val="0"/>
          <c:showBubbleSize val="0"/>
        </c:dLbls>
        <c:marker val="1"/>
        <c:smooth val="0"/>
        <c:axId val="427710464"/>
        <c:axId val="427715384"/>
      </c:lineChart>
      <c:catAx>
        <c:axId val="42771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15384"/>
        <c:crosses val="autoZero"/>
        <c:auto val="1"/>
        <c:lblAlgn val="ctr"/>
        <c:lblOffset val="100"/>
        <c:noMultiLvlLbl val="0"/>
      </c:catAx>
      <c:valAx>
        <c:axId val="42771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10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 AND CHRONIC</a:t>
            </a:r>
            <a:r>
              <a:rPr lang="en-ZA" baseline="0">
                <a:solidFill>
                  <a:schemeClr val="tx1"/>
                </a:solidFill>
              </a:rPr>
              <a:t> WORKLOAD (7)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'DAILY LOAD INPUT'!$D$3</c:f>
              <c:strCache>
                <c:ptCount val="1"/>
                <c:pt idx="0">
                  <c:v>EXERCISE LOAD</c:v>
                </c:pt>
              </c:strCache>
            </c:strRef>
          </c:tx>
          <c:spPr>
            <a:solidFill>
              <a:schemeClr val="bg2">
                <a:lumMod val="90000"/>
              </a:schemeClr>
            </a:solidFill>
            <a:ln>
              <a:noFill/>
            </a:ln>
            <a:effectLst/>
          </c:spPr>
          <c:invertIfNegative val="0"/>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INPUT'!$D$4:$D$25</c:f>
              <c:numCache>
                <c:formatCode>General</c:formatCode>
                <c:ptCount val="22"/>
                <c:pt idx="0">
                  <c:v>79</c:v>
                </c:pt>
                <c:pt idx="1">
                  <c:v>83</c:v>
                </c:pt>
                <c:pt idx="2">
                  <c:v>0</c:v>
                </c:pt>
                <c:pt idx="3">
                  <c:v>107</c:v>
                </c:pt>
                <c:pt idx="4">
                  <c:v>108</c:v>
                </c:pt>
                <c:pt idx="5">
                  <c:v>0</c:v>
                </c:pt>
                <c:pt idx="6">
                  <c:v>0</c:v>
                </c:pt>
                <c:pt idx="7">
                  <c:v>30</c:v>
                </c:pt>
                <c:pt idx="8">
                  <c:v>59</c:v>
                </c:pt>
                <c:pt idx="9">
                  <c:v>0</c:v>
                </c:pt>
                <c:pt idx="10">
                  <c:v>133</c:v>
                </c:pt>
                <c:pt idx="11">
                  <c:v>80</c:v>
                </c:pt>
                <c:pt idx="12">
                  <c:v>97.73</c:v>
                </c:pt>
                <c:pt idx="13">
                  <c:v>0</c:v>
                </c:pt>
                <c:pt idx="14">
                  <c:v>135</c:v>
                </c:pt>
                <c:pt idx="15">
                  <c:v>97.2</c:v>
                </c:pt>
                <c:pt idx="16">
                  <c:v>0</c:v>
                </c:pt>
                <c:pt idx="17">
                  <c:v>67</c:v>
                </c:pt>
                <c:pt idx="18">
                  <c:v>37.28</c:v>
                </c:pt>
                <c:pt idx="19">
                  <c:v>107.44</c:v>
                </c:pt>
                <c:pt idx="20">
                  <c:v>0</c:v>
                </c:pt>
                <c:pt idx="21">
                  <c:v>0</c:v>
                </c:pt>
              </c:numCache>
            </c:numRef>
          </c:val>
          <c:extLst>
            <c:ext xmlns:c16="http://schemas.microsoft.com/office/drawing/2014/chart" uri="{C3380CC4-5D6E-409C-BE32-E72D297353CC}">
              <c16:uniqueId val="{00000000-EEE9-492C-9F81-2B80CD6888A9}"/>
            </c:ext>
          </c:extLst>
        </c:ser>
        <c:dLbls>
          <c:showLegendKey val="0"/>
          <c:showVal val="0"/>
          <c:showCatName val="0"/>
          <c:showSerName val="0"/>
          <c:showPercent val="0"/>
          <c:showBubbleSize val="0"/>
        </c:dLbls>
        <c:gapWidth val="219"/>
        <c:axId val="327502472"/>
        <c:axId val="327504112"/>
      </c:barChart>
      <c:lineChart>
        <c:grouping val="standard"/>
        <c:varyColors val="0"/>
        <c:ser>
          <c:idx val="1"/>
          <c:order val="1"/>
          <c:tx>
            <c:strRef>
              <c:f>'DAILY LOAD INPUT'!$K$3</c:f>
              <c:strCache>
                <c:ptCount val="1"/>
                <c:pt idx="0">
                  <c:v>FATIGUE</c:v>
                </c:pt>
              </c:strCache>
            </c:strRef>
          </c:tx>
          <c:spPr>
            <a:ln w="28575" cap="rnd">
              <a:solidFill>
                <a:srgbClr val="FF0000"/>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INPUT'!$K$4:$K$25</c:f>
              <c:numCache>
                <c:formatCode>0.0</c:formatCode>
                <c:ptCount val="22"/>
                <c:pt idx="0" formatCode="General">
                  <c:v>54</c:v>
                </c:pt>
                <c:pt idx="1">
                  <c:v>61.25</c:v>
                </c:pt>
                <c:pt idx="2">
                  <c:v>45.9375</c:v>
                </c:pt>
                <c:pt idx="3">
                  <c:v>61.203125</c:v>
                </c:pt>
                <c:pt idx="4">
                  <c:v>72.90234375</c:v>
                </c:pt>
                <c:pt idx="5">
                  <c:v>54.6767578125</c:v>
                </c:pt>
                <c:pt idx="6">
                  <c:v>41.007568359375</c:v>
                </c:pt>
                <c:pt idx="7">
                  <c:v>38.25567626953125</c:v>
                </c:pt>
                <c:pt idx="8">
                  <c:v>43.441757202148438</c:v>
                </c:pt>
                <c:pt idx="9">
                  <c:v>32.581317901611328</c:v>
                </c:pt>
                <c:pt idx="10">
                  <c:v>57.685988426208496</c:v>
                </c:pt>
                <c:pt idx="11">
                  <c:v>63.264491319656372</c:v>
                </c:pt>
                <c:pt idx="12">
                  <c:v>71.880868489742284</c:v>
                </c:pt>
                <c:pt idx="13">
                  <c:v>53.910651367306713</c:v>
                </c:pt>
                <c:pt idx="14">
                  <c:v>74.182988525480027</c:v>
                </c:pt>
                <c:pt idx="15">
                  <c:v>79.937241394110018</c:v>
                </c:pt>
                <c:pt idx="16">
                  <c:v>59.952931045582517</c:v>
                </c:pt>
                <c:pt idx="17">
                  <c:v>61.714698284186888</c:v>
                </c:pt>
                <c:pt idx="18">
                  <c:v>55.606023713140168</c:v>
                </c:pt>
                <c:pt idx="19">
                  <c:v>68.564517784855127</c:v>
                </c:pt>
                <c:pt idx="20">
                  <c:v>51.423388338641345</c:v>
                </c:pt>
                <c:pt idx="21">
                  <c:v>38.567541253981005</c:v>
                </c:pt>
              </c:numCache>
            </c:numRef>
          </c:val>
          <c:smooth val="0"/>
          <c:extLst>
            <c:ext xmlns:c16="http://schemas.microsoft.com/office/drawing/2014/chart" uri="{C3380CC4-5D6E-409C-BE32-E72D297353CC}">
              <c16:uniqueId val="{00000001-EEE9-492C-9F81-2B80CD6888A9}"/>
            </c:ext>
          </c:extLst>
        </c:ser>
        <c:ser>
          <c:idx val="2"/>
          <c:order val="2"/>
          <c:tx>
            <c:strRef>
              <c:f>'DAILY LOAD INPUT'!$L$3</c:f>
              <c:strCache>
                <c:ptCount val="1"/>
                <c:pt idx="0">
                  <c:v>FITNESS</c:v>
                </c:pt>
              </c:strCache>
            </c:strRef>
          </c:tx>
          <c:spPr>
            <a:ln w="28575" cap="rnd">
              <a:solidFill>
                <a:srgbClr val="0070C0"/>
              </a:solidFill>
              <a:round/>
            </a:ln>
            <a:effectLst/>
          </c:spPr>
          <c:marker>
            <c:symbol val="none"/>
          </c:marker>
          <c:trendline>
            <c:spPr>
              <a:ln w="19050" cap="rnd">
                <a:solidFill>
                  <a:schemeClr val="accent3"/>
                </a:solidFill>
                <a:prstDash val="sysDot"/>
              </a:ln>
              <a:effectLst/>
            </c:spPr>
            <c:trendlineType val="linear"/>
            <c:dispRSqr val="0"/>
            <c:dispEq val="0"/>
          </c:trendline>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INPUT'!$L$4:$L$25</c:f>
              <c:numCache>
                <c:formatCode>0.0</c:formatCode>
                <c:ptCount val="22"/>
                <c:pt idx="0" formatCode="General">
                  <c:v>54</c:v>
                </c:pt>
                <c:pt idx="1">
                  <c:v>56</c:v>
                </c:pt>
                <c:pt idx="2">
                  <c:v>52.137931034482762</c:v>
                </c:pt>
                <c:pt idx="3">
                  <c:v>55.92152199762188</c:v>
                </c:pt>
                <c:pt idx="4">
                  <c:v>59.513141170199681</c:v>
                </c:pt>
                <c:pt idx="5">
                  <c:v>55.408786606737635</c:v>
                </c:pt>
                <c:pt idx="6">
                  <c:v>51.587490978686766</c:v>
                </c:pt>
                <c:pt idx="7">
                  <c:v>50.098698497398026</c:v>
                </c:pt>
                <c:pt idx="8">
                  <c:v>50.712581359646435</c:v>
                </c:pt>
                <c:pt idx="9">
                  <c:v>47.215161955532885</c:v>
                </c:pt>
                <c:pt idx="10">
                  <c:v>53.131357682737516</c:v>
                </c:pt>
                <c:pt idx="11">
                  <c:v>54.984367497721138</c:v>
                </c:pt>
                <c:pt idx="12">
                  <c:v>57.932342153050712</c:v>
                </c:pt>
                <c:pt idx="13">
                  <c:v>53.937008211461006</c:v>
                </c:pt>
                <c:pt idx="14">
                  <c:v>59.527559369291282</c:v>
                </c:pt>
                <c:pt idx="15">
                  <c:v>62.125658723133263</c:v>
                </c:pt>
                <c:pt idx="16">
                  <c:v>57.841130535330969</c:v>
                </c:pt>
                <c:pt idx="17">
                  <c:v>58.472776705308142</c:v>
                </c:pt>
                <c:pt idx="18">
                  <c:v>57.01120589804551</c:v>
                </c:pt>
                <c:pt idx="19">
                  <c:v>60.489053767145819</c:v>
                </c:pt>
                <c:pt idx="20">
                  <c:v>56.317394886653005</c:v>
                </c:pt>
                <c:pt idx="21">
                  <c:v>52.433436618607971</c:v>
                </c:pt>
              </c:numCache>
            </c:numRef>
          </c:val>
          <c:smooth val="0"/>
          <c:extLst>
            <c:ext xmlns:c16="http://schemas.microsoft.com/office/drawing/2014/chart" uri="{C3380CC4-5D6E-409C-BE32-E72D297353CC}">
              <c16:uniqueId val="{00000002-EEE9-492C-9F81-2B80CD6888A9}"/>
            </c:ext>
          </c:extLst>
        </c:ser>
        <c:dLbls>
          <c:showLegendKey val="0"/>
          <c:showVal val="0"/>
          <c:showCatName val="0"/>
          <c:showSerName val="0"/>
          <c:showPercent val="0"/>
          <c:showBubbleSize val="0"/>
        </c:dLbls>
        <c:marker val="1"/>
        <c:smooth val="0"/>
        <c:axId val="327502472"/>
        <c:axId val="327504112"/>
      </c:lineChart>
      <c:catAx>
        <c:axId val="327502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504112"/>
        <c:crosses val="autoZero"/>
        <c:auto val="1"/>
        <c:lblAlgn val="ctr"/>
        <c:lblOffset val="100"/>
        <c:noMultiLvlLbl val="0"/>
      </c:catAx>
      <c:valAx>
        <c:axId val="327504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502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a:t>
            </a:r>
            <a:r>
              <a:rPr lang="en-ZA" baseline="0">
                <a:solidFill>
                  <a:schemeClr val="tx1"/>
                </a:solidFill>
              </a:rPr>
              <a:t> : CHRONIC WORK RATIO</a:t>
            </a:r>
            <a:endParaRPr lang="en-ZA">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'DAILY LOAD INPUT'!$E$3</c:f>
              <c:strCache>
                <c:ptCount val="1"/>
                <c:pt idx="0">
                  <c:v>3 EMA (Acute) </c:v>
                </c:pt>
              </c:strCache>
              <c:extLst xmlns:c15="http://schemas.microsoft.com/office/drawing/2012/chart"/>
            </c:strRef>
          </c:tx>
          <c:spPr>
            <a:ln w="28575" cap="rnd">
              <a:solidFill>
                <a:schemeClr val="accent2"/>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extLst xmlns:c15="http://schemas.microsoft.com/office/drawing/2012/chart"/>
            </c:strRef>
          </c:cat>
          <c:val>
            <c:numRef>
              <c:f>'DAILY LOAD INPUT'!$E$4:$E$25</c:f>
              <c:extLst xmlns:c15="http://schemas.microsoft.com/office/drawing/2012/chart"/>
            </c:numRef>
          </c:val>
          <c:smooth val="0"/>
          <c:extLst xmlns:c15="http://schemas.microsoft.com/office/drawing/2012/chart">
            <c:ext xmlns:c16="http://schemas.microsoft.com/office/drawing/2014/chart" uri="{C3380CC4-5D6E-409C-BE32-E72D297353CC}">
              <c16:uniqueId val="{00000004-6C3C-446C-91C6-205F10B53E6E}"/>
            </c:ext>
          </c:extLst>
        </c:ser>
        <c:ser>
          <c:idx val="2"/>
          <c:order val="2"/>
          <c:tx>
            <c:strRef>
              <c:f>'DAILY LOAD INPUT'!$F$3</c:f>
              <c:strCache>
                <c:ptCount val="1"/>
                <c:pt idx="0">
                  <c:v>21 EMA (Chronic )</c:v>
                </c:pt>
              </c:strCache>
              <c:extLst xmlns:c15="http://schemas.microsoft.com/office/drawing/2012/chart"/>
            </c:strRef>
          </c:tx>
          <c:spPr>
            <a:ln w="28575" cap="rnd">
              <a:solidFill>
                <a:schemeClr val="accent3"/>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extLst xmlns:c15="http://schemas.microsoft.com/office/drawing/2012/chart"/>
            </c:strRef>
          </c:cat>
          <c:val>
            <c:numRef>
              <c:f>'DAILY LOAD INPUT'!$F$4:$F$25</c:f>
              <c:extLst xmlns:c15="http://schemas.microsoft.com/office/drawing/2012/chart"/>
            </c:numRef>
          </c:val>
          <c:smooth val="0"/>
          <c:extLst xmlns:c15="http://schemas.microsoft.com/office/drawing/2012/chart">
            <c:ext xmlns:c16="http://schemas.microsoft.com/office/drawing/2014/chart" uri="{C3380CC4-5D6E-409C-BE32-E72D297353CC}">
              <c16:uniqueId val="{00000005-6C3C-446C-91C6-205F10B53E6E}"/>
            </c:ext>
          </c:extLst>
        </c:ser>
        <c:ser>
          <c:idx val="3"/>
          <c:order val="3"/>
          <c:tx>
            <c:strRef>
              <c:f>'DAILY LOAD INPUT'!$G$3</c:f>
              <c:strCache>
                <c:ptCount val="1"/>
                <c:pt idx="0">
                  <c:v>ACWR</c:v>
                </c:pt>
              </c:strCache>
            </c:strRef>
          </c:tx>
          <c:spPr>
            <a:ln w="28575" cap="rnd">
              <a:solidFill>
                <a:schemeClr val="accent4"/>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INPUT'!$G$4:$G$25</c:f>
            </c:numRef>
          </c:val>
          <c:smooth val="0"/>
          <c:extLst>
            <c:ext xmlns:c16="http://schemas.microsoft.com/office/drawing/2014/chart" uri="{C3380CC4-5D6E-409C-BE32-E72D297353CC}">
              <c16:uniqueId val="{00000000-6C3C-446C-91C6-205F10B53E6E}"/>
            </c:ext>
          </c:extLst>
        </c:ser>
        <c:ser>
          <c:idx val="4"/>
          <c:order val="4"/>
          <c:tx>
            <c:strRef>
              <c:f>'DAILY LOAD INPUT'!$H$3</c:f>
              <c:strCache>
                <c:ptCount val="1"/>
                <c:pt idx="0">
                  <c:v>UPPER</c:v>
                </c:pt>
              </c:strCache>
            </c:strRef>
          </c:tx>
          <c:spPr>
            <a:ln w="28575" cap="rnd">
              <a:solidFill>
                <a:schemeClr val="accent5"/>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INPUT'!$H$4:$H$25</c:f>
            </c:numRef>
          </c:val>
          <c:smooth val="0"/>
          <c:extLst>
            <c:ext xmlns:c16="http://schemas.microsoft.com/office/drawing/2014/chart" uri="{C3380CC4-5D6E-409C-BE32-E72D297353CC}">
              <c16:uniqueId val="{00000001-6C3C-446C-91C6-205F10B53E6E}"/>
            </c:ext>
          </c:extLst>
        </c:ser>
        <c:ser>
          <c:idx val="5"/>
          <c:order val="5"/>
          <c:tx>
            <c:strRef>
              <c:f>'DAILY LOAD INPUT'!$I$3</c:f>
              <c:strCache>
                <c:ptCount val="1"/>
                <c:pt idx="0">
                  <c:v>LOWER</c:v>
                </c:pt>
              </c:strCache>
            </c:strRef>
          </c:tx>
          <c:spPr>
            <a:ln w="28575" cap="rnd">
              <a:solidFill>
                <a:schemeClr val="accent6"/>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INPUT'!$I$4:$I$25</c:f>
            </c:numRef>
          </c:val>
          <c:smooth val="0"/>
          <c:extLst>
            <c:ext xmlns:c16="http://schemas.microsoft.com/office/drawing/2014/chart" uri="{C3380CC4-5D6E-409C-BE32-E72D297353CC}">
              <c16:uniqueId val="{00000002-6C3C-446C-91C6-205F10B53E6E}"/>
            </c:ext>
          </c:extLst>
        </c:ser>
        <c:dLbls>
          <c:showLegendKey val="0"/>
          <c:showVal val="0"/>
          <c:showCatName val="0"/>
          <c:showSerName val="0"/>
          <c:showPercent val="0"/>
          <c:showBubbleSize val="0"/>
        </c:dLbls>
        <c:marker val="1"/>
        <c:smooth val="0"/>
        <c:axId val="433431088"/>
        <c:axId val="433431744"/>
        <c:extLst>
          <c:ext xmlns:c15="http://schemas.microsoft.com/office/drawing/2012/chart" uri="{02D57815-91ED-43cb-92C2-25804820EDAC}">
            <c15:filteredLineSeries>
              <c15:ser>
                <c:idx val="0"/>
                <c:order val="0"/>
                <c:tx>
                  <c:strRef>
                    <c:extLst>
                      <c:ext uri="{02D57815-91ED-43cb-92C2-25804820EDAC}">
                        <c15:formulaRef>
                          <c15:sqref>'DAILY LOAD INPUT'!$D$3</c15:sqref>
                        </c15:formulaRef>
                      </c:ext>
                    </c:extLst>
                    <c:strCache>
                      <c:ptCount val="1"/>
                      <c:pt idx="0">
                        <c:v>EXERCISE LOAD</c:v>
                      </c:pt>
                    </c:strCache>
                  </c:strRef>
                </c:tx>
                <c:spPr>
                  <a:ln w="28575" cap="rnd">
                    <a:solidFill>
                      <a:schemeClr val="accent1"/>
                    </a:solidFill>
                    <a:round/>
                  </a:ln>
                  <a:effectLst/>
                </c:spPr>
                <c:marker>
                  <c:symbol val="none"/>
                </c:marker>
                <c:cat>
                  <c:strRef>
                    <c:extLst>
                      <c:ext uri="{02D57815-91ED-43cb-92C2-25804820EDAC}">
                        <c15:formulaRef>
                          <c15:sqref>'DAILY LOAD INPUT'!$C$4:$C$25</c15:sqref>
                        </c15:formulaRef>
                      </c:ext>
                    </c:extLst>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extLst>
                      <c:ext uri="{02D57815-91ED-43cb-92C2-25804820EDAC}">
                        <c15:formulaRef>
                          <c15:sqref>'DAILY LOAD INPUT'!$D$4:$D$25</c15:sqref>
                        </c15:formulaRef>
                      </c:ext>
                    </c:extLst>
                    <c:numCache>
                      <c:formatCode>General</c:formatCode>
                      <c:ptCount val="22"/>
                      <c:pt idx="0">
                        <c:v>79</c:v>
                      </c:pt>
                      <c:pt idx="1">
                        <c:v>83</c:v>
                      </c:pt>
                      <c:pt idx="2">
                        <c:v>0</c:v>
                      </c:pt>
                      <c:pt idx="3">
                        <c:v>107</c:v>
                      </c:pt>
                      <c:pt idx="4">
                        <c:v>108</c:v>
                      </c:pt>
                      <c:pt idx="5">
                        <c:v>0</c:v>
                      </c:pt>
                      <c:pt idx="6">
                        <c:v>0</c:v>
                      </c:pt>
                      <c:pt idx="7">
                        <c:v>30</c:v>
                      </c:pt>
                      <c:pt idx="8">
                        <c:v>59</c:v>
                      </c:pt>
                      <c:pt idx="9">
                        <c:v>0</c:v>
                      </c:pt>
                      <c:pt idx="10">
                        <c:v>133</c:v>
                      </c:pt>
                      <c:pt idx="11">
                        <c:v>80</c:v>
                      </c:pt>
                      <c:pt idx="12">
                        <c:v>97.73</c:v>
                      </c:pt>
                      <c:pt idx="13">
                        <c:v>0</c:v>
                      </c:pt>
                      <c:pt idx="14">
                        <c:v>135</c:v>
                      </c:pt>
                      <c:pt idx="15">
                        <c:v>97.2</c:v>
                      </c:pt>
                      <c:pt idx="16">
                        <c:v>0</c:v>
                      </c:pt>
                      <c:pt idx="17">
                        <c:v>67</c:v>
                      </c:pt>
                      <c:pt idx="18">
                        <c:v>37.28</c:v>
                      </c:pt>
                      <c:pt idx="19">
                        <c:v>107.44</c:v>
                      </c:pt>
                      <c:pt idx="20">
                        <c:v>0</c:v>
                      </c:pt>
                      <c:pt idx="21">
                        <c:v>0</c:v>
                      </c:pt>
                    </c:numCache>
                  </c:numRef>
                </c:val>
                <c:smooth val="0"/>
                <c:extLst>
                  <c:ext xmlns:c16="http://schemas.microsoft.com/office/drawing/2014/chart" uri="{C3380CC4-5D6E-409C-BE32-E72D297353CC}">
                    <c16:uniqueId val="{00000003-6C3C-446C-91C6-205F10B53E6E}"/>
                  </c:ext>
                </c:extLst>
              </c15:ser>
            </c15:filteredLineSeries>
          </c:ext>
        </c:extLst>
      </c:lineChart>
      <c:catAx>
        <c:axId val="43343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31744"/>
        <c:crosses val="autoZero"/>
        <c:auto val="1"/>
        <c:lblAlgn val="ctr"/>
        <c:lblOffset val="100"/>
        <c:noMultiLvlLbl val="0"/>
      </c:catAx>
      <c:valAx>
        <c:axId val="433431744"/>
        <c:scaling>
          <c:orientation val="minMax"/>
          <c:max val="1.8"/>
          <c:min val="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31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tx1"/>
                </a:solidFill>
              </a:rPr>
              <a:t>ACUTE : CHRONIC WORK RATIO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3"/>
          <c:tx>
            <c:strRef>
              <c:f>'DAILY LOAD INPUT'!$M$3</c:f>
              <c:strCache>
                <c:ptCount val="1"/>
                <c:pt idx="0">
                  <c:v>ACWR</c:v>
                </c:pt>
              </c:strCache>
            </c:strRef>
          </c:tx>
          <c:spPr>
            <a:ln w="28575" cap="rnd">
              <a:solidFill>
                <a:schemeClr val="tx1"/>
              </a:solidFill>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INPUT'!$M$4:$M$25</c:f>
              <c:numCache>
                <c:formatCode>0.0</c:formatCode>
                <c:ptCount val="22"/>
                <c:pt idx="0" formatCode="General">
                  <c:v>1</c:v>
                </c:pt>
                <c:pt idx="1">
                  <c:v>1.09375</c:v>
                </c:pt>
                <c:pt idx="2">
                  <c:v>0.88107638888888884</c:v>
                </c:pt>
                <c:pt idx="3">
                  <c:v>1.0944466962577077</c:v>
                </c:pt>
                <c:pt idx="4">
                  <c:v>1.2249789259402217</c:v>
                </c:pt>
                <c:pt idx="5">
                  <c:v>0.98678857922962304</c:v>
                </c:pt>
                <c:pt idx="6">
                  <c:v>0.79491302215719639</c:v>
                </c:pt>
                <c:pt idx="7">
                  <c:v>0.76360618972004102</c:v>
                </c:pt>
                <c:pt idx="8">
                  <c:v>0.85662681798951734</c:v>
                </c:pt>
                <c:pt idx="9">
                  <c:v>0.69006049226933353</c:v>
                </c:pt>
                <c:pt idx="10">
                  <c:v>1.0857239668270473</c:v>
                </c:pt>
                <c:pt idx="11">
                  <c:v>1.1505905077889349</c:v>
                </c:pt>
                <c:pt idx="12">
                  <c:v>1.240772698259655</c:v>
                </c:pt>
                <c:pt idx="13">
                  <c:v>0.9995113402647221</c:v>
                </c:pt>
                <c:pt idx="14">
                  <c:v>1.2461957001339634</c:v>
                </c:pt>
                <c:pt idx="15">
                  <c:v>1.2867025161110186</c:v>
                </c:pt>
                <c:pt idx="16">
                  <c:v>1.0365103602005428</c:v>
                </c:pt>
                <c:pt idx="17">
                  <c:v>1.0554432637125721</c:v>
                </c:pt>
                <c:pt idx="18">
                  <c:v>0.97535252652928861</c:v>
                </c:pt>
                <c:pt idx="19">
                  <c:v>1.1335028987028961</c:v>
                </c:pt>
                <c:pt idx="20">
                  <c:v>0.91309955728844416</c:v>
                </c:pt>
                <c:pt idx="21">
                  <c:v>0.7355524211490243</c:v>
                </c:pt>
              </c:numCache>
            </c:numRef>
          </c:val>
          <c:smooth val="0"/>
          <c:extLst>
            <c:ext xmlns:c16="http://schemas.microsoft.com/office/drawing/2014/chart" uri="{C3380CC4-5D6E-409C-BE32-E72D297353CC}">
              <c16:uniqueId val="{00000000-F975-48F8-8481-A6A3251159DC}"/>
            </c:ext>
          </c:extLst>
        </c:ser>
        <c:ser>
          <c:idx val="4"/>
          <c:order val="4"/>
          <c:tx>
            <c:strRef>
              <c:f>'DAILY LOAD INPUT'!$N$3</c:f>
              <c:strCache>
                <c:ptCount val="1"/>
                <c:pt idx="0">
                  <c:v>LOWER</c:v>
                </c:pt>
              </c:strCache>
            </c:strRef>
          </c:tx>
          <c:spPr>
            <a:ln w="28575" cap="rnd">
              <a:solidFill>
                <a:srgbClr val="0070C0"/>
              </a:solidFill>
              <a:prstDash val="dash"/>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INPUT'!$N$4:$N$25</c:f>
              <c:numCache>
                <c:formatCode>General</c:formatCode>
                <c:ptCount val="22"/>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numCache>
            </c:numRef>
          </c:val>
          <c:smooth val="0"/>
          <c:extLst>
            <c:ext xmlns:c16="http://schemas.microsoft.com/office/drawing/2014/chart" uri="{C3380CC4-5D6E-409C-BE32-E72D297353CC}">
              <c16:uniqueId val="{00000001-F975-48F8-8481-A6A3251159DC}"/>
            </c:ext>
          </c:extLst>
        </c:ser>
        <c:ser>
          <c:idx val="5"/>
          <c:order val="5"/>
          <c:tx>
            <c:strRef>
              <c:f>'DAILY LOAD INPUT'!$O$3</c:f>
              <c:strCache>
                <c:ptCount val="1"/>
                <c:pt idx="0">
                  <c:v>UPPER</c:v>
                </c:pt>
              </c:strCache>
            </c:strRef>
          </c:tx>
          <c:spPr>
            <a:ln w="28575" cap="rnd">
              <a:solidFill>
                <a:srgbClr val="FF0000"/>
              </a:solidFill>
              <a:prstDash val="dash"/>
              <a:round/>
            </a:ln>
            <a:effectLst/>
          </c:spPr>
          <c:marker>
            <c:symbol val="none"/>
          </c:marker>
          <c:cat>
            <c:strRef>
              <c:f>'DAILY LOAD INPUT'!$C$4:$C$25</c:f>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f>'DAILY LOAD INPUT'!$O$4:$O$25</c:f>
              <c:numCache>
                <c:formatCode>General</c:formatCode>
                <c:ptCount val="22"/>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numCache>
            </c:numRef>
          </c:val>
          <c:smooth val="0"/>
          <c:extLst>
            <c:ext xmlns:c16="http://schemas.microsoft.com/office/drawing/2014/chart" uri="{C3380CC4-5D6E-409C-BE32-E72D297353CC}">
              <c16:uniqueId val="{00000002-F975-48F8-8481-A6A3251159DC}"/>
            </c:ext>
          </c:extLst>
        </c:ser>
        <c:dLbls>
          <c:showLegendKey val="0"/>
          <c:showVal val="0"/>
          <c:showCatName val="0"/>
          <c:showSerName val="0"/>
          <c:showPercent val="0"/>
          <c:showBubbleSize val="0"/>
        </c:dLbls>
        <c:smooth val="0"/>
        <c:axId val="435692464"/>
        <c:axId val="435691152"/>
        <c:extLst>
          <c:ext xmlns:c15="http://schemas.microsoft.com/office/drawing/2012/chart" uri="{02D57815-91ED-43cb-92C2-25804820EDAC}">
            <c15:filteredLineSeries>
              <c15:ser>
                <c:idx val="0"/>
                <c:order val="0"/>
                <c:tx>
                  <c:strRef>
                    <c:extLst>
                      <c:ext uri="{02D57815-91ED-43cb-92C2-25804820EDAC}">
                        <c15:formulaRef>
                          <c15:sqref>'DAILY LOAD INPUT'!$D$3</c15:sqref>
                        </c15:formulaRef>
                      </c:ext>
                    </c:extLst>
                    <c:strCache>
                      <c:ptCount val="1"/>
                      <c:pt idx="0">
                        <c:v>EXERCISE LOAD</c:v>
                      </c:pt>
                    </c:strCache>
                  </c:strRef>
                </c:tx>
                <c:spPr>
                  <a:ln w="28575" cap="rnd">
                    <a:solidFill>
                      <a:schemeClr val="accent1"/>
                    </a:solidFill>
                    <a:round/>
                  </a:ln>
                  <a:effectLst/>
                </c:spPr>
                <c:marker>
                  <c:symbol val="none"/>
                </c:marker>
                <c:cat>
                  <c:strRef>
                    <c:extLst>
                      <c:ext uri="{02D57815-91ED-43cb-92C2-25804820EDAC}">
                        <c15:formulaRef>
                          <c15:sqref>'DAILY LOAD INPUT'!$C$4:$C$25</c15:sqref>
                        </c15:formulaRef>
                      </c:ext>
                    </c:extLst>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extLst>
                      <c:ext uri="{02D57815-91ED-43cb-92C2-25804820EDAC}">
                        <c15:formulaRef>
                          <c15:sqref>'DAILY LOAD INPUT'!$D$4:$D$25</c15:sqref>
                        </c15:formulaRef>
                      </c:ext>
                    </c:extLst>
                    <c:numCache>
                      <c:formatCode>General</c:formatCode>
                      <c:ptCount val="22"/>
                      <c:pt idx="0">
                        <c:v>79</c:v>
                      </c:pt>
                      <c:pt idx="1">
                        <c:v>83</c:v>
                      </c:pt>
                      <c:pt idx="2">
                        <c:v>0</c:v>
                      </c:pt>
                      <c:pt idx="3">
                        <c:v>107</c:v>
                      </c:pt>
                      <c:pt idx="4">
                        <c:v>108</c:v>
                      </c:pt>
                      <c:pt idx="5">
                        <c:v>0</c:v>
                      </c:pt>
                      <c:pt idx="6">
                        <c:v>0</c:v>
                      </c:pt>
                      <c:pt idx="7">
                        <c:v>30</c:v>
                      </c:pt>
                      <c:pt idx="8">
                        <c:v>59</c:v>
                      </c:pt>
                      <c:pt idx="9">
                        <c:v>0</c:v>
                      </c:pt>
                      <c:pt idx="10">
                        <c:v>133</c:v>
                      </c:pt>
                      <c:pt idx="11">
                        <c:v>80</c:v>
                      </c:pt>
                      <c:pt idx="12">
                        <c:v>97.73</c:v>
                      </c:pt>
                      <c:pt idx="13">
                        <c:v>0</c:v>
                      </c:pt>
                      <c:pt idx="14">
                        <c:v>135</c:v>
                      </c:pt>
                      <c:pt idx="15">
                        <c:v>97.2</c:v>
                      </c:pt>
                      <c:pt idx="16">
                        <c:v>0</c:v>
                      </c:pt>
                      <c:pt idx="17">
                        <c:v>67</c:v>
                      </c:pt>
                      <c:pt idx="18">
                        <c:v>37.28</c:v>
                      </c:pt>
                      <c:pt idx="19">
                        <c:v>107.44</c:v>
                      </c:pt>
                      <c:pt idx="20">
                        <c:v>0</c:v>
                      </c:pt>
                      <c:pt idx="21">
                        <c:v>0</c:v>
                      </c:pt>
                    </c:numCache>
                  </c:numRef>
                </c:val>
                <c:smooth val="0"/>
                <c:extLst>
                  <c:ext xmlns:c16="http://schemas.microsoft.com/office/drawing/2014/chart" uri="{C3380CC4-5D6E-409C-BE32-E72D297353CC}">
                    <c16:uniqueId val="{00000003-F975-48F8-8481-A6A3251159DC}"/>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'DAILY LOAD INPUT'!$K$3</c15:sqref>
                        </c15:formulaRef>
                      </c:ext>
                    </c:extLst>
                    <c:strCache>
                      <c:ptCount val="1"/>
                      <c:pt idx="0">
                        <c:v>FATIGUE</c:v>
                      </c:pt>
                    </c:strCache>
                  </c:strRef>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'DAILY LOAD INPUT'!$C$4:$C$25</c15:sqref>
                        </c15:formulaRef>
                      </c:ext>
                    </c:extLst>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extLst xmlns:c15="http://schemas.microsoft.com/office/drawing/2012/chart">
                      <c:ext xmlns:c15="http://schemas.microsoft.com/office/drawing/2012/chart" uri="{02D57815-91ED-43cb-92C2-25804820EDAC}">
                        <c15:formulaRef>
                          <c15:sqref>'DAILY LOAD INPUT'!$K$4:$K$25</c15:sqref>
                        </c15:formulaRef>
                      </c:ext>
                    </c:extLst>
                    <c:numCache>
                      <c:formatCode>0.0</c:formatCode>
                      <c:ptCount val="22"/>
                      <c:pt idx="0" formatCode="General">
                        <c:v>54</c:v>
                      </c:pt>
                      <c:pt idx="1">
                        <c:v>61.25</c:v>
                      </c:pt>
                      <c:pt idx="2">
                        <c:v>45.9375</c:v>
                      </c:pt>
                      <c:pt idx="3">
                        <c:v>61.203125</c:v>
                      </c:pt>
                      <c:pt idx="4">
                        <c:v>72.90234375</c:v>
                      </c:pt>
                      <c:pt idx="5">
                        <c:v>54.6767578125</c:v>
                      </c:pt>
                      <c:pt idx="6">
                        <c:v>41.007568359375</c:v>
                      </c:pt>
                      <c:pt idx="7">
                        <c:v>38.25567626953125</c:v>
                      </c:pt>
                      <c:pt idx="8">
                        <c:v>43.441757202148438</c:v>
                      </c:pt>
                      <c:pt idx="9">
                        <c:v>32.581317901611328</c:v>
                      </c:pt>
                      <c:pt idx="10">
                        <c:v>57.685988426208496</c:v>
                      </c:pt>
                      <c:pt idx="11">
                        <c:v>63.264491319656372</c:v>
                      </c:pt>
                      <c:pt idx="12">
                        <c:v>71.880868489742284</c:v>
                      </c:pt>
                      <c:pt idx="13">
                        <c:v>53.910651367306713</c:v>
                      </c:pt>
                      <c:pt idx="14">
                        <c:v>74.182988525480027</c:v>
                      </c:pt>
                      <c:pt idx="15">
                        <c:v>79.937241394110018</c:v>
                      </c:pt>
                      <c:pt idx="16">
                        <c:v>59.952931045582517</c:v>
                      </c:pt>
                      <c:pt idx="17">
                        <c:v>61.714698284186888</c:v>
                      </c:pt>
                      <c:pt idx="18">
                        <c:v>55.606023713140168</c:v>
                      </c:pt>
                      <c:pt idx="19">
                        <c:v>68.564517784855127</c:v>
                      </c:pt>
                      <c:pt idx="20">
                        <c:v>51.423388338641345</c:v>
                      </c:pt>
                      <c:pt idx="21">
                        <c:v>38.567541253981005</c:v>
                      </c:pt>
                    </c:numCache>
                  </c:numRef>
                </c:val>
                <c:smooth val="0"/>
                <c:extLst xmlns:c15="http://schemas.microsoft.com/office/drawing/2012/chart">
                  <c:ext xmlns:c16="http://schemas.microsoft.com/office/drawing/2014/chart" uri="{C3380CC4-5D6E-409C-BE32-E72D297353CC}">
                    <c16:uniqueId val="{00000004-F975-48F8-8481-A6A3251159D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'DAILY LOAD INPUT'!$L$3</c15:sqref>
                        </c15:formulaRef>
                      </c:ext>
                    </c:extLst>
                    <c:strCache>
                      <c:ptCount val="1"/>
                      <c:pt idx="0">
                        <c:v>FITNESS</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'DAILY LOAD INPUT'!$C$4:$C$25</c15:sqref>
                        </c15:formulaRef>
                      </c:ext>
                    </c:extLst>
                    <c:strCache>
                      <c:ptCount val="22"/>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strCache>
                  </c:strRef>
                </c:cat>
                <c:val>
                  <c:numRef>
                    <c:extLst xmlns:c15="http://schemas.microsoft.com/office/drawing/2012/chart">
                      <c:ext xmlns:c15="http://schemas.microsoft.com/office/drawing/2012/chart" uri="{02D57815-91ED-43cb-92C2-25804820EDAC}">
                        <c15:formulaRef>
                          <c15:sqref>'DAILY LOAD INPUT'!$L$4:$L$25</c15:sqref>
                        </c15:formulaRef>
                      </c:ext>
                    </c:extLst>
                    <c:numCache>
                      <c:formatCode>0.0</c:formatCode>
                      <c:ptCount val="22"/>
                      <c:pt idx="0" formatCode="General">
                        <c:v>54</c:v>
                      </c:pt>
                      <c:pt idx="1">
                        <c:v>56</c:v>
                      </c:pt>
                      <c:pt idx="2">
                        <c:v>52.137931034482762</c:v>
                      </c:pt>
                      <c:pt idx="3">
                        <c:v>55.92152199762188</c:v>
                      </c:pt>
                      <c:pt idx="4">
                        <c:v>59.513141170199681</c:v>
                      </c:pt>
                      <c:pt idx="5">
                        <c:v>55.408786606737635</c:v>
                      </c:pt>
                      <c:pt idx="6">
                        <c:v>51.587490978686766</c:v>
                      </c:pt>
                      <c:pt idx="7">
                        <c:v>50.098698497398026</c:v>
                      </c:pt>
                      <c:pt idx="8">
                        <c:v>50.712581359646435</c:v>
                      </c:pt>
                      <c:pt idx="9">
                        <c:v>47.215161955532885</c:v>
                      </c:pt>
                      <c:pt idx="10">
                        <c:v>53.131357682737516</c:v>
                      </c:pt>
                      <c:pt idx="11">
                        <c:v>54.984367497721138</c:v>
                      </c:pt>
                      <c:pt idx="12">
                        <c:v>57.932342153050712</c:v>
                      </c:pt>
                      <c:pt idx="13">
                        <c:v>53.937008211461006</c:v>
                      </c:pt>
                      <c:pt idx="14">
                        <c:v>59.527559369291282</c:v>
                      </c:pt>
                      <c:pt idx="15">
                        <c:v>62.125658723133263</c:v>
                      </c:pt>
                      <c:pt idx="16">
                        <c:v>57.841130535330969</c:v>
                      </c:pt>
                      <c:pt idx="17">
                        <c:v>58.472776705308142</c:v>
                      </c:pt>
                      <c:pt idx="18">
                        <c:v>57.01120589804551</c:v>
                      </c:pt>
                      <c:pt idx="19">
                        <c:v>60.489053767145819</c:v>
                      </c:pt>
                      <c:pt idx="20">
                        <c:v>56.317394886653005</c:v>
                      </c:pt>
                      <c:pt idx="21">
                        <c:v>52.433436618607971</c:v>
                      </c:pt>
                    </c:numCache>
                  </c:numRef>
                </c:val>
                <c:smooth val="0"/>
                <c:extLst xmlns:c15="http://schemas.microsoft.com/office/drawing/2012/chart">
                  <c:ext xmlns:c16="http://schemas.microsoft.com/office/drawing/2014/chart" uri="{C3380CC4-5D6E-409C-BE32-E72D297353CC}">
                    <c16:uniqueId val="{00000005-F975-48F8-8481-A6A3251159DC}"/>
                  </c:ext>
                </c:extLst>
              </c15:ser>
            </c15:filteredLineSeries>
          </c:ext>
        </c:extLst>
      </c:lineChart>
      <c:catAx>
        <c:axId val="43569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91152"/>
        <c:crosses val="autoZero"/>
        <c:auto val="1"/>
        <c:lblAlgn val="ctr"/>
        <c:lblOffset val="100"/>
        <c:noMultiLvlLbl val="0"/>
      </c:catAx>
      <c:valAx>
        <c:axId val="435691152"/>
        <c:scaling>
          <c:orientation val="minMax"/>
          <c:max val="1.8"/>
          <c:min val="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692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[ACUTE CHRONIC TL.xlsm]PIVOT TABLES!DEFENDERS </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800" b="1">
                <a:solidFill>
                  <a:schemeClr val="bg1"/>
                </a:solidFill>
              </a:rPr>
              <a:t>EXERCISE</a:t>
            </a:r>
            <a:r>
              <a:rPr lang="en-US" sz="1800" b="1" baseline="0">
                <a:solidFill>
                  <a:schemeClr val="bg1"/>
                </a:solidFill>
              </a:rPr>
              <a:t> LOADS</a:t>
            </a:r>
            <a:endParaRPr lang="en-US" sz="1800" b="1">
              <a:solidFill>
                <a:schemeClr val="bg1"/>
              </a:solidFill>
            </a:endParaRPr>
          </a:p>
        </c:rich>
      </c:tx>
      <c:layout>
        <c:manualLayout>
          <c:xMode val="edge"/>
          <c:yMode val="edge"/>
          <c:x val="0.40060602156287295"/>
          <c:y val="2.32021048123588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lumMod val="75000"/>
            </a:schemeClr>
          </a:solidFill>
          <a:ln>
            <a:noFill/>
          </a:ln>
          <a:effectLst/>
        </c:spPr>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FFC000"/>
          </a:solidFill>
          <a:ln>
            <a:noFill/>
          </a:ln>
          <a:effectLst/>
        </c:spPr>
      </c:pivotFmt>
      <c:pivotFmt>
        <c:idx val="9"/>
        <c:spPr>
          <a:solidFill>
            <a:srgbClr val="FF3300"/>
          </a:solidFill>
          <a:ln>
            <a:noFill/>
          </a:ln>
          <a:effectLst/>
        </c:spPr>
      </c:pivotFmt>
      <c:pivotFmt>
        <c:idx val="10"/>
      </c:pivotFmt>
      <c:pivotFmt>
        <c:idx val="11"/>
        <c:marker>
          <c:spPr>
            <a:solidFill>
              <a:srgbClr val="92D050"/>
            </a:solidFill>
            <a:ln w="9525">
              <a:solidFill>
                <a:schemeClr val="accent1"/>
              </a:solidFill>
            </a:ln>
            <a:effectLst/>
          </c:spPr>
        </c:marker>
      </c:pivotFmt>
      <c:pivotFmt>
        <c:idx val="12"/>
        <c:marker>
          <c:spPr>
            <a:solidFill>
              <a:srgbClr val="FFC000"/>
            </a:solidFill>
            <a:ln w="9525">
              <a:solidFill>
                <a:schemeClr val="accent1"/>
              </a:solidFill>
            </a:ln>
            <a:effectLst/>
          </c:spPr>
        </c:marker>
      </c:pivotFmt>
      <c:pivotFmt>
        <c:idx val="13"/>
        <c:marker>
          <c:spPr>
            <a:solidFill>
              <a:srgbClr val="FF3300"/>
            </a:solidFill>
            <a:ln w="9525">
              <a:solidFill>
                <a:schemeClr val="accent1"/>
              </a:solidFill>
            </a:ln>
            <a:effectLst/>
          </c:spPr>
        </c:marker>
      </c:pivotFmt>
      <c:pivotFmt>
        <c:idx val="14"/>
        <c:spPr>
          <a:solidFill>
            <a:srgbClr val="00B050"/>
          </a:solidFill>
          <a:ln>
            <a:noFill/>
          </a:ln>
          <a:effectLst/>
        </c:spPr>
        <c:marker>
          <c:symbol val="none"/>
        </c:marker>
      </c:pivotFmt>
      <c:pivotFmt>
        <c:idx val="15"/>
        <c:spPr>
          <a:solidFill>
            <a:srgbClr val="00B050"/>
          </a:solidFill>
          <a:ln>
            <a:noFill/>
          </a:ln>
          <a:effectLst/>
        </c:spPr>
        <c:marker>
          <c:symbol val="none"/>
        </c:marker>
      </c:pivotFmt>
      <c:pivotFmt>
        <c:idx val="16"/>
        <c:spPr>
          <a:solidFill>
            <a:srgbClr val="FF0000"/>
          </a:solidFill>
          <a:ln>
            <a:noFill/>
          </a:ln>
          <a:effectLst/>
        </c:spPr>
        <c:marker>
          <c:symbol val="none"/>
        </c:marker>
      </c:pivotFmt>
      <c:pivotFmt>
        <c:idx val="17"/>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pivotFmt>
      <c:pivotFmt>
        <c:idx val="19"/>
      </c:pivotFmt>
      <c:pivotFmt>
        <c:idx val="20"/>
      </c:pivotFmt>
      <c:pivotFmt>
        <c:idx val="21"/>
      </c:pivotFmt>
      <c:pivotFmt>
        <c:idx val="22"/>
      </c:pivotFmt>
      <c:pivotFmt>
        <c:idx val="23"/>
        <c:spPr>
          <a:solidFill>
            <a:srgbClr val="FF9900"/>
          </a:solidFill>
          <a:ln>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a:noFill/>
          </a:ln>
          <a:effectLst/>
        </c:spPr>
        <c:marker>
          <c:symbol val="none"/>
        </c:marker>
      </c:pivotFmt>
      <c:pivotFmt>
        <c:idx val="28"/>
        <c:spPr>
          <a:solidFill>
            <a:srgbClr val="00B050"/>
          </a:solidFill>
          <a:ln>
            <a:noFill/>
          </a:ln>
          <a:effectLst/>
        </c:spPr>
        <c:marker>
          <c:symbol val="none"/>
        </c:marker>
      </c:pivotFmt>
      <c:pivotFmt>
        <c:idx val="29"/>
        <c:spPr>
          <a:solidFill>
            <a:srgbClr val="FFFF00"/>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rgbClr val="FF9900"/>
          </a:solidFill>
          <a:ln>
            <a:noFill/>
          </a:ln>
          <a:effectLst/>
        </c:spPr>
      </c:pivotFmt>
      <c:pivotFmt>
        <c:idx val="33"/>
        <c:spPr>
          <a:solidFill>
            <a:srgbClr val="FF0000"/>
          </a:solidFill>
          <a:ln>
            <a:noFill/>
          </a:ln>
          <a:effectLst/>
        </c:spPr>
      </c:pivotFmt>
      <c:pivotFmt>
        <c:idx val="34"/>
        <c:spPr>
          <a:solidFill>
            <a:srgbClr val="002060"/>
          </a:solidFill>
          <a:ln>
            <a:solidFill>
              <a:schemeClr val="bg1"/>
            </a:solidFill>
          </a:ln>
          <a:effectLst/>
        </c:spPr>
        <c:marker>
          <c:symbol val="none"/>
        </c:marker>
        <c:dLbl>
          <c:idx val="0"/>
          <c:layout/>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5"/>
        <c:spPr>
          <a:solidFill>
            <a:srgbClr val="00B050"/>
          </a:solidFill>
          <a:ln>
            <a:noFill/>
          </a:ln>
          <a:effectLst/>
        </c:spPr>
        <c:marker>
          <c:symbol val="none"/>
        </c:marker>
      </c:pivotFmt>
      <c:pivotFmt>
        <c:idx val="36"/>
        <c:spPr>
          <a:solidFill>
            <a:srgbClr val="FFFF00"/>
          </a:solidFill>
          <a:ln>
            <a:noFill/>
          </a:ln>
          <a:effectLst/>
        </c:spPr>
        <c:marker>
          <c:symbol val="none"/>
        </c:marker>
      </c:pivotFmt>
      <c:pivotFmt>
        <c:idx val="37"/>
        <c:spPr>
          <a:solidFill>
            <a:srgbClr val="FF9900"/>
          </a:solidFill>
          <a:ln>
            <a:noFill/>
          </a:ln>
          <a:effectLst/>
        </c:spPr>
        <c:marker>
          <c:symbol val="none"/>
        </c:marker>
      </c:pivotFmt>
      <c:pivotFmt>
        <c:idx val="38"/>
        <c:spPr>
          <a:solidFill>
            <a:srgbClr val="FF0000"/>
          </a:solidFill>
          <a:ln>
            <a:noFill/>
          </a:ln>
          <a:effectLst/>
        </c:spPr>
        <c:marker>
          <c:symbol val="none"/>
        </c:marker>
      </c:pivotFmt>
    </c:pivotFmts>
    <c:plotArea>
      <c:layout/>
      <c:areaChart>
        <c:grouping val="stacked"/>
        <c:varyColors val="0"/>
        <c:ser>
          <c:idx val="1"/>
          <c:order val="1"/>
          <c:tx>
            <c:strRef>
              <c:f>'PIVOT TABLES'!$C$3</c:f>
              <c:strCache>
                <c:ptCount val="1"/>
                <c:pt idx="0">
                  <c:v>LIGHT</c:v>
                </c:pt>
              </c:strCache>
            </c:strRef>
          </c:tx>
          <c:spPr>
            <a:solidFill>
              <a:srgbClr val="00B050"/>
            </a:solidFill>
            <a:ln>
              <a:noFill/>
            </a:ln>
            <a:effectLst/>
          </c:spPr>
          <c:cat>
            <c:strRef>
              <c:f>'PIVOT TABLES'!$A$4:$A$10</c:f>
              <c:strCache>
                <c:ptCount val="6"/>
                <c:pt idx="0">
                  <c:v>Kenny Langa</c:v>
                </c:pt>
                <c:pt idx="1">
                  <c:v>Sihle Gum</c:v>
                </c:pt>
                <c:pt idx="2">
                  <c:v>Tshepang Makara</c:v>
                </c:pt>
                <c:pt idx="3">
                  <c:v>Tshepiso Mahlangu</c:v>
                </c:pt>
                <c:pt idx="4">
                  <c:v>Kaketso Harold Majadibodu</c:v>
                </c:pt>
                <c:pt idx="5">
                  <c:v>Maselaelo Seanego</c:v>
                </c:pt>
              </c:strCache>
            </c:strRef>
          </c:cat>
          <c:val>
            <c:numRef>
              <c:f>'PIVOT TABLES'!$C$4:$C$10</c:f>
              <c:numCache>
                <c:formatCode>0.00</c:formatCode>
                <c:ptCount val="6"/>
                <c:pt idx="0">
                  <c:v>60.284000000000006</c:v>
                </c:pt>
                <c:pt idx="1">
                  <c:v>60.284000000000006</c:v>
                </c:pt>
                <c:pt idx="2">
                  <c:v>60.284000000000006</c:v>
                </c:pt>
                <c:pt idx="3">
                  <c:v>60.284000000000006</c:v>
                </c:pt>
                <c:pt idx="4">
                  <c:v>60.284000000000006</c:v>
                </c:pt>
                <c:pt idx="5">
                  <c:v>60.284000000000006</c:v>
                </c:pt>
              </c:numCache>
            </c:numRef>
          </c:val>
          <c:extLst>
            <c:ext xmlns:c16="http://schemas.microsoft.com/office/drawing/2014/chart" uri="{C3380CC4-5D6E-409C-BE32-E72D297353CC}">
              <c16:uniqueId val="{00000000-825E-461D-AAA1-014138188018}"/>
            </c:ext>
          </c:extLst>
        </c:ser>
        <c:ser>
          <c:idx val="2"/>
          <c:order val="2"/>
          <c:tx>
            <c:strRef>
              <c:f>'PIVOT TABLES'!$D$3</c:f>
              <c:strCache>
                <c:ptCount val="1"/>
                <c:pt idx="0">
                  <c:v>MODERATE</c:v>
                </c:pt>
              </c:strCache>
            </c:strRef>
          </c:tx>
          <c:spPr>
            <a:solidFill>
              <a:srgbClr val="FFFF00"/>
            </a:solidFill>
            <a:ln>
              <a:noFill/>
            </a:ln>
            <a:effectLst/>
          </c:spPr>
          <c:cat>
            <c:strRef>
              <c:f>'PIVOT TABLES'!$A$4:$A$10</c:f>
              <c:strCache>
                <c:ptCount val="6"/>
                <c:pt idx="0">
                  <c:v>Kenny Langa</c:v>
                </c:pt>
                <c:pt idx="1">
                  <c:v>Sihle Gum</c:v>
                </c:pt>
                <c:pt idx="2">
                  <c:v>Tshepang Makara</c:v>
                </c:pt>
                <c:pt idx="3">
                  <c:v>Tshepiso Mahlangu</c:v>
                </c:pt>
                <c:pt idx="4">
                  <c:v>Kaketso Harold Majadibodu</c:v>
                </c:pt>
                <c:pt idx="5">
                  <c:v>Maselaelo Seanego</c:v>
                </c:pt>
              </c:strCache>
            </c:strRef>
          </c:cat>
          <c:val>
            <c:numRef>
              <c:f>'PIVOT TABLES'!$D$4:$D$10</c:f>
              <c:numCache>
                <c:formatCode>0.00</c:formatCode>
                <c:ptCount val="6"/>
                <c:pt idx="0">
                  <c:v>30.14200000000001</c:v>
                </c:pt>
                <c:pt idx="1">
                  <c:v>30.14200000000001</c:v>
                </c:pt>
                <c:pt idx="2">
                  <c:v>30.14200000000001</c:v>
                </c:pt>
                <c:pt idx="3">
                  <c:v>30.14200000000001</c:v>
                </c:pt>
                <c:pt idx="4">
                  <c:v>30.14200000000001</c:v>
                </c:pt>
                <c:pt idx="5">
                  <c:v>30.14200000000001</c:v>
                </c:pt>
              </c:numCache>
            </c:numRef>
          </c:val>
          <c:extLst>
            <c:ext xmlns:c16="http://schemas.microsoft.com/office/drawing/2014/chart" uri="{C3380CC4-5D6E-409C-BE32-E72D297353CC}">
              <c16:uniqueId val="{00000000-F598-481D-B5D0-BAFCF5B4DE7E}"/>
            </c:ext>
          </c:extLst>
        </c:ser>
        <c:ser>
          <c:idx val="3"/>
          <c:order val="3"/>
          <c:tx>
            <c:strRef>
              <c:f>'PIVOT TABLES'!$E$3</c:f>
              <c:strCache>
                <c:ptCount val="1"/>
                <c:pt idx="0">
                  <c:v>VIGOROUS</c:v>
                </c:pt>
              </c:strCache>
            </c:strRef>
          </c:tx>
          <c:spPr>
            <a:solidFill>
              <a:srgbClr val="FF9900"/>
            </a:solidFill>
            <a:ln>
              <a:noFill/>
            </a:ln>
            <a:effectLst/>
          </c:spPr>
          <c:cat>
            <c:strRef>
              <c:f>'PIVOT TABLES'!$A$4:$A$10</c:f>
              <c:strCache>
                <c:ptCount val="6"/>
                <c:pt idx="0">
                  <c:v>Kenny Langa</c:v>
                </c:pt>
                <c:pt idx="1">
                  <c:v>Sihle Gum</c:v>
                </c:pt>
                <c:pt idx="2">
                  <c:v>Tshepang Makara</c:v>
                </c:pt>
                <c:pt idx="3">
                  <c:v>Tshepiso Mahlangu</c:v>
                </c:pt>
                <c:pt idx="4">
                  <c:v>Kaketso Harold Majadibodu</c:v>
                </c:pt>
                <c:pt idx="5">
                  <c:v>Maselaelo Seanego</c:v>
                </c:pt>
              </c:strCache>
            </c:strRef>
          </c:cat>
          <c:val>
            <c:numRef>
              <c:f>'PIVOT TABLES'!$E$4:$E$10</c:f>
              <c:numCache>
                <c:formatCode>0.00</c:formatCode>
                <c:ptCount val="6"/>
                <c:pt idx="0">
                  <c:v>30.141999999999996</c:v>
                </c:pt>
                <c:pt idx="1">
                  <c:v>30.141999999999996</c:v>
                </c:pt>
                <c:pt idx="2">
                  <c:v>30.141999999999996</c:v>
                </c:pt>
                <c:pt idx="3">
                  <c:v>30.141999999999996</c:v>
                </c:pt>
                <c:pt idx="4">
                  <c:v>30.141999999999996</c:v>
                </c:pt>
                <c:pt idx="5">
                  <c:v>30.141999999999996</c:v>
                </c:pt>
              </c:numCache>
            </c:numRef>
          </c:val>
          <c:extLst>
            <c:ext xmlns:c16="http://schemas.microsoft.com/office/drawing/2014/chart" uri="{C3380CC4-5D6E-409C-BE32-E72D297353CC}">
              <c16:uniqueId val="{00000001-F598-481D-B5D0-BAFCF5B4DE7E}"/>
            </c:ext>
          </c:extLst>
        </c:ser>
        <c:ser>
          <c:idx val="4"/>
          <c:order val="4"/>
          <c:tx>
            <c:strRef>
              <c:f>'PIVOT TABLES'!$F$3</c:f>
              <c:strCache>
                <c:ptCount val="1"/>
                <c:pt idx="0">
                  <c:v>INTENSE </c:v>
                </c:pt>
              </c:strCache>
            </c:strRef>
          </c:tx>
          <c:spPr>
            <a:solidFill>
              <a:srgbClr val="FF0000"/>
            </a:solidFill>
            <a:ln>
              <a:noFill/>
            </a:ln>
            <a:effectLst/>
          </c:spPr>
          <c:cat>
            <c:strRef>
              <c:f>'PIVOT TABLES'!$A$4:$A$10</c:f>
              <c:strCache>
                <c:ptCount val="6"/>
                <c:pt idx="0">
                  <c:v>Kenny Langa</c:v>
                </c:pt>
                <c:pt idx="1">
                  <c:v>Sihle Gum</c:v>
                </c:pt>
                <c:pt idx="2">
                  <c:v>Tshepang Makara</c:v>
                </c:pt>
                <c:pt idx="3">
                  <c:v>Tshepiso Mahlangu</c:v>
                </c:pt>
                <c:pt idx="4">
                  <c:v>Kaketso Harold Majadibodu</c:v>
                </c:pt>
                <c:pt idx="5">
                  <c:v>Maselaelo Seanego</c:v>
                </c:pt>
              </c:strCache>
            </c:strRef>
          </c:cat>
          <c:val>
            <c:numRef>
              <c:f>'PIVOT TABLES'!$F$4:$F$10</c:f>
              <c:numCache>
                <c:formatCode>0.00</c:formatCode>
                <c:ptCount val="6"/>
                <c:pt idx="0">
                  <c:v>79.431999999999988</c:v>
                </c:pt>
                <c:pt idx="1">
                  <c:v>79.431999999999988</c:v>
                </c:pt>
                <c:pt idx="2">
                  <c:v>79.431999999999988</c:v>
                </c:pt>
                <c:pt idx="3">
                  <c:v>79.431999999999988</c:v>
                </c:pt>
                <c:pt idx="4">
                  <c:v>79.431999999999988</c:v>
                </c:pt>
                <c:pt idx="5">
                  <c:v>79.431999999999988</c:v>
                </c:pt>
              </c:numCache>
            </c:numRef>
          </c:val>
          <c:extLst>
            <c:ext xmlns:c16="http://schemas.microsoft.com/office/drawing/2014/chart" uri="{C3380CC4-5D6E-409C-BE32-E72D297353CC}">
              <c16:uniqueId val="{00000002-F598-481D-B5D0-BAFCF5B4DE7E}"/>
            </c:ext>
          </c:extLst>
        </c:ser>
        <c:dLbls>
          <c:showLegendKey val="0"/>
          <c:showVal val="0"/>
          <c:showCatName val="0"/>
          <c:showSerName val="0"/>
          <c:showPercent val="0"/>
          <c:showBubbleSize val="0"/>
        </c:dLbls>
        <c:axId val="442723192"/>
        <c:axId val="442717616"/>
      </c:areaChart>
      <c:barChart>
        <c:barDir val="col"/>
        <c:grouping val="clustered"/>
        <c:varyColors val="0"/>
        <c:ser>
          <c:idx val="0"/>
          <c:order val="0"/>
          <c:tx>
            <c:strRef>
              <c:f>'PIVOT TABLES'!$B$3</c:f>
              <c:strCache>
                <c:ptCount val="1"/>
                <c:pt idx="0">
                  <c:v>DEFENDERS EXERCISE LOAD </c:v>
                </c:pt>
              </c:strCache>
            </c:strRef>
          </c:tx>
          <c:spPr>
            <a:solidFill>
              <a:srgbClr val="002060"/>
            </a:solidFill>
            <a:ln>
              <a:solidFill>
                <a:schemeClr val="bg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TABLES'!$A$4:$A$10</c:f>
              <c:strCache>
                <c:ptCount val="6"/>
                <c:pt idx="0">
                  <c:v>Kenny Langa</c:v>
                </c:pt>
                <c:pt idx="1">
                  <c:v>Sihle Gum</c:v>
                </c:pt>
                <c:pt idx="2">
                  <c:v>Tshepang Makara</c:v>
                </c:pt>
                <c:pt idx="3">
                  <c:v>Tshepiso Mahlangu</c:v>
                </c:pt>
                <c:pt idx="4">
                  <c:v>Kaketso Harold Majadibodu</c:v>
                </c:pt>
                <c:pt idx="5">
                  <c:v>Maselaelo Seanego</c:v>
                </c:pt>
              </c:strCache>
            </c:strRef>
          </c:cat>
          <c:val>
            <c:numRef>
              <c:f>'PIVOT TABLES'!$B$4:$B$10</c:f>
              <c:numCache>
                <c:formatCode>0.00</c:formatCode>
                <c:ptCount val="6"/>
                <c:pt idx="0">
                  <c:v>50.63</c:v>
                </c:pt>
                <c:pt idx="1">
                  <c:v>21.06</c:v>
                </c:pt>
                <c:pt idx="2">
                  <c:v>74.63</c:v>
                </c:pt>
                <c:pt idx="3">
                  <c:v>76.05</c:v>
                </c:pt>
                <c:pt idx="4">
                  <c:v>71.400000000000006</c:v>
                </c:pt>
                <c:pt idx="5">
                  <c:v>77.260000000000005</c:v>
                </c:pt>
              </c:numCache>
            </c:numRef>
          </c:val>
          <c:extLst>
            <c:ext xmlns:c16="http://schemas.microsoft.com/office/drawing/2014/chart" uri="{C3380CC4-5D6E-409C-BE32-E72D297353CC}">
              <c16:uniqueId val="{00000000-1133-400F-856B-0346C59C72E8}"/>
            </c:ext>
          </c:extLst>
        </c:ser>
        <c:dLbls>
          <c:showLegendKey val="0"/>
          <c:showVal val="0"/>
          <c:showCatName val="0"/>
          <c:showSerName val="0"/>
          <c:showPercent val="0"/>
          <c:showBubbleSize val="0"/>
        </c:dLbls>
        <c:gapWidth val="150"/>
        <c:axId val="442723192"/>
        <c:axId val="442717616"/>
      </c:barChart>
      <c:catAx>
        <c:axId val="442723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442717616"/>
        <c:crosses val="autoZero"/>
        <c:auto val="1"/>
        <c:lblAlgn val="ctr"/>
        <c:lblOffset val="100"/>
        <c:noMultiLvlLbl val="0"/>
      </c:catAx>
      <c:valAx>
        <c:axId val="442717616"/>
        <c:scaling>
          <c:orientation val="minMax"/>
          <c:max val="20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427231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[ACUTE CHRONIC TL.xlsm]PIVOT TABLES!MIDFIELDERS</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800" b="1">
                <a:solidFill>
                  <a:schemeClr val="bg1"/>
                </a:solidFill>
              </a:rPr>
              <a:t>EXER</a:t>
            </a:r>
            <a:r>
              <a:rPr lang="en-US" sz="1800" b="1" baseline="0">
                <a:solidFill>
                  <a:schemeClr val="bg1"/>
                </a:solidFill>
              </a:rPr>
              <a:t>CISE LOADS</a:t>
            </a:r>
            <a:endParaRPr lang="en-US" sz="1800" b="1">
              <a:solidFill>
                <a:schemeClr val="bg1"/>
              </a:solidFill>
            </a:endParaRPr>
          </a:p>
        </c:rich>
      </c:tx>
      <c:layout>
        <c:manualLayout>
          <c:xMode val="edge"/>
          <c:yMode val="edge"/>
          <c:x val="0.39007223227597132"/>
          <c:y val="1.82384650454647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pivotFmt>
      <c:pivotFmt>
        <c:idx val="4"/>
        <c:spPr>
          <a:solidFill>
            <a:srgbClr val="FF9900"/>
          </a:solidFill>
          <a:ln>
            <a:noFill/>
          </a:ln>
          <a:effectLst/>
        </c:spPr>
        <c:marker>
          <c:symbol val="none"/>
        </c:marker>
      </c:pivotFmt>
      <c:pivotFmt>
        <c:idx val="5"/>
        <c:spPr>
          <a:solidFill>
            <a:srgbClr val="FF0000"/>
          </a:solidFill>
          <a:ln>
            <a:noFill/>
          </a:ln>
          <a:effectLst/>
        </c:spPr>
        <c:marker>
          <c:symbol val="none"/>
        </c:marker>
      </c:pivotFmt>
      <c:pivotFmt>
        <c:idx val="6"/>
        <c:marker>
          <c:spPr>
            <a:solidFill>
              <a:srgbClr val="00B050"/>
            </a:solidFill>
            <a:ln w="9525">
              <a:solidFill>
                <a:schemeClr val="accent1"/>
              </a:solidFill>
            </a:ln>
            <a:effectLst/>
          </c:spPr>
        </c:marker>
      </c:pivotFmt>
      <c:pivotFmt>
        <c:idx val="7"/>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marker>
          <c:spPr>
            <a:solidFill>
              <a:srgbClr val="FF9900"/>
            </a:solidFill>
            <a:ln w="9525">
              <a:solidFill>
                <a:schemeClr val="accent1"/>
              </a:solidFill>
            </a:ln>
            <a:effectLst/>
          </c:spPr>
        </c:marker>
      </c:pivotFmt>
      <c:pivotFmt>
        <c:idx val="9"/>
        <c:marker>
          <c:spPr>
            <a:solidFill>
              <a:srgbClr val="FF0000"/>
            </a:solidFill>
            <a:ln w="9525">
              <a:solidFill>
                <a:schemeClr val="accent1"/>
              </a:solidFill>
            </a:ln>
            <a:effectLst/>
          </c:spPr>
        </c:marker>
      </c:pivotFmt>
      <c:pivotFmt>
        <c:idx val="10"/>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c:spPr>
        <c:marker>
          <c:symbol val="none"/>
        </c:marker>
      </c:pivotFmt>
      <c:pivotFmt>
        <c:idx val="12"/>
        <c:spPr>
          <a:solidFill>
            <a:srgbClr val="FF9900"/>
          </a:solidFill>
          <a:ln>
            <a:noFill/>
          </a:ln>
          <a:effectLst/>
        </c:spPr>
        <c:marker>
          <c:symbol val="none"/>
        </c:marker>
      </c:pivotFmt>
      <c:pivotFmt>
        <c:idx val="13"/>
        <c:spPr>
          <a:solidFill>
            <a:srgbClr val="FF0000"/>
          </a:solidFill>
          <a:ln>
            <a:noFill/>
          </a:ln>
          <a:effectLst/>
        </c:spPr>
        <c:marker>
          <c:symbol val="none"/>
        </c:marker>
      </c:pivotFmt>
      <c:pivotFmt>
        <c:idx val="14"/>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B050"/>
          </a:solidFill>
          <a:ln>
            <a:noFill/>
          </a:ln>
          <a:effectLst/>
        </c:spPr>
        <c:marker>
          <c:symbol val="none"/>
        </c:marker>
      </c:pivotFmt>
      <c:pivotFmt>
        <c:idx val="16"/>
        <c:spPr>
          <a:solidFill>
            <a:srgbClr val="FF9900"/>
          </a:solidFill>
          <a:ln>
            <a:noFill/>
          </a:ln>
          <a:effectLst/>
        </c:spPr>
        <c:marker>
          <c:symbol val="none"/>
        </c:marker>
      </c:pivotFmt>
      <c:pivotFmt>
        <c:idx val="17"/>
        <c:spPr>
          <a:solidFill>
            <a:srgbClr val="FF0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00B050"/>
          </a:solidFill>
          <a:ln>
            <a:noFill/>
          </a:ln>
          <a:effectLst/>
        </c:spPr>
        <c:marker>
          <c:symbol val="none"/>
        </c:marker>
      </c:pivotFmt>
      <c:pivotFmt>
        <c:idx val="25"/>
        <c:spPr>
          <a:solidFill>
            <a:srgbClr val="FFFF00"/>
          </a:solidFill>
          <a:ln>
            <a:noFill/>
          </a:ln>
          <a:effectLst/>
        </c:spPr>
        <c:marker>
          <c:symbol val="none"/>
        </c:marker>
      </c:pivotFmt>
      <c:pivotFmt>
        <c:idx val="26"/>
        <c:spPr>
          <a:solidFill>
            <a:srgbClr val="FF9900"/>
          </a:solidFill>
          <a:ln>
            <a:noFill/>
          </a:ln>
          <a:effectLst/>
        </c:spPr>
        <c:marker>
          <c:symbol val="none"/>
        </c:marker>
      </c:pivotFmt>
      <c:pivotFmt>
        <c:idx val="27"/>
        <c:spPr>
          <a:solidFill>
            <a:srgbClr val="FF0000"/>
          </a:solidFill>
          <a:ln>
            <a:noFill/>
          </a:ln>
          <a:effectLst/>
        </c:spPr>
        <c:marker>
          <c:symbol val="none"/>
        </c:marker>
      </c:pivotFmt>
    </c:pivotFmts>
    <c:plotArea>
      <c:layout/>
      <c:areaChart>
        <c:grouping val="stacked"/>
        <c:varyColors val="0"/>
        <c:ser>
          <c:idx val="1"/>
          <c:order val="1"/>
          <c:tx>
            <c:strRef>
              <c:f>'PIVOT TABLES'!$J$3</c:f>
              <c:strCache>
                <c:ptCount val="1"/>
                <c:pt idx="0">
                  <c:v>LIGHT</c:v>
                </c:pt>
              </c:strCache>
            </c:strRef>
          </c:tx>
          <c:spPr>
            <a:solidFill>
              <a:srgbClr val="00B050"/>
            </a:solidFill>
            <a:ln>
              <a:noFill/>
            </a:ln>
            <a:effectLst/>
          </c:spPr>
          <c:cat>
            <c:strRef>
              <c:f>'PIVOT TABLES'!$H$4:$H$12</c:f>
              <c:strCache>
                <c:ptCount val="8"/>
                <c:pt idx="0">
                  <c:v>Frank Mpedi</c:v>
                </c:pt>
                <c:pt idx="1">
                  <c:v>Khomotso Marebane</c:v>
                </c:pt>
                <c:pt idx="2">
                  <c:v>Manelisi Sithole</c:v>
                </c:pt>
                <c:pt idx="3">
                  <c:v>Mdevulana Camagu</c:v>
                </c:pt>
                <c:pt idx="4">
                  <c:v>Samuel Julies</c:v>
                </c:pt>
                <c:pt idx="5">
                  <c:v>Tebogo Mohlamonyane</c:v>
                </c:pt>
                <c:pt idx="6">
                  <c:v>Thabiso Mokoena</c:v>
                </c:pt>
                <c:pt idx="7">
                  <c:v>Thulani Zandamela</c:v>
                </c:pt>
              </c:strCache>
            </c:strRef>
          </c:cat>
          <c:val>
            <c:numRef>
              <c:f>'PIVOT TABLES'!$J$4:$J$12</c:f>
              <c:numCache>
                <c:formatCode>0.00</c:formatCode>
                <c:ptCount val="8"/>
                <c:pt idx="0">
                  <c:v>65.603999999999999</c:v>
                </c:pt>
                <c:pt idx="1">
                  <c:v>65.603999999999999</c:v>
                </c:pt>
                <c:pt idx="2">
                  <c:v>65.603999999999999</c:v>
                </c:pt>
                <c:pt idx="3">
                  <c:v>65.603999999999999</c:v>
                </c:pt>
                <c:pt idx="4">
                  <c:v>65.603999999999999</c:v>
                </c:pt>
                <c:pt idx="5">
                  <c:v>65.603999999999999</c:v>
                </c:pt>
                <c:pt idx="6">
                  <c:v>65.603999999999999</c:v>
                </c:pt>
                <c:pt idx="7">
                  <c:v>65.603999999999999</c:v>
                </c:pt>
              </c:numCache>
            </c:numRef>
          </c:val>
          <c:extLst>
            <c:ext xmlns:c16="http://schemas.microsoft.com/office/drawing/2014/chart" uri="{C3380CC4-5D6E-409C-BE32-E72D297353CC}">
              <c16:uniqueId val="{00000000-C733-41D3-919B-7F7FFA15A6F4}"/>
            </c:ext>
          </c:extLst>
        </c:ser>
        <c:ser>
          <c:idx val="2"/>
          <c:order val="2"/>
          <c:tx>
            <c:strRef>
              <c:f>'PIVOT TABLES'!$K$3</c:f>
              <c:strCache>
                <c:ptCount val="1"/>
                <c:pt idx="0">
                  <c:v>MODERATE</c:v>
                </c:pt>
              </c:strCache>
            </c:strRef>
          </c:tx>
          <c:spPr>
            <a:solidFill>
              <a:srgbClr val="FFFF00"/>
            </a:solidFill>
            <a:ln>
              <a:noFill/>
            </a:ln>
            <a:effectLst/>
          </c:spPr>
          <c:cat>
            <c:strRef>
              <c:f>'PIVOT TABLES'!$H$4:$H$12</c:f>
              <c:strCache>
                <c:ptCount val="8"/>
                <c:pt idx="0">
                  <c:v>Frank Mpedi</c:v>
                </c:pt>
                <c:pt idx="1">
                  <c:v>Khomotso Marebane</c:v>
                </c:pt>
                <c:pt idx="2">
                  <c:v>Manelisi Sithole</c:v>
                </c:pt>
                <c:pt idx="3">
                  <c:v>Mdevulana Camagu</c:v>
                </c:pt>
                <c:pt idx="4">
                  <c:v>Samuel Julies</c:v>
                </c:pt>
                <c:pt idx="5">
                  <c:v>Tebogo Mohlamonyane</c:v>
                </c:pt>
                <c:pt idx="6">
                  <c:v>Thabiso Mokoena</c:v>
                </c:pt>
                <c:pt idx="7">
                  <c:v>Thulani Zandamela</c:v>
                </c:pt>
              </c:strCache>
            </c:strRef>
          </c:cat>
          <c:val>
            <c:numRef>
              <c:f>'PIVOT TABLES'!$K$4:$K$12</c:f>
              <c:numCache>
                <c:formatCode>0.00</c:formatCode>
                <c:ptCount val="8"/>
                <c:pt idx="0">
                  <c:v>32.802000000000007</c:v>
                </c:pt>
                <c:pt idx="1">
                  <c:v>32.802000000000007</c:v>
                </c:pt>
                <c:pt idx="2">
                  <c:v>32.802000000000007</c:v>
                </c:pt>
                <c:pt idx="3">
                  <c:v>32.802000000000007</c:v>
                </c:pt>
                <c:pt idx="4">
                  <c:v>32.802000000000007</c:v>
                </c:pt>
                <c:pt idx="5">
                  <c:v>32.802000000000007</c:v>
                </c:pt>
                <c:pt idx="6">
                  <c:v>32.802000000000007</c:v>
                </c:pt>
                <c:pt idx="7">
                  <c:v>32.802000000000007</c:v>
                </c:pt>
              </c:numCache>
            </c:numRef>
          </c:val>
          <c:extLst>
            <c:ext xmlns:c16="http://schemas.microsoft.com/office/drawing/2014/chart" uri="{C3380CC4-5D6E-409C-BE32-E72D297353CC}">
              <c16:uniqueId val="{00000001-C733-41D3-919B-7F7FFA15A6F4}"/>
            </c:ext>
          </c:extLst>
        </c:ser>
        <c:ser>
          <c:idx val="3"/>
          <c:order val="3"/>
          <c:tx>
            <c:strRef>
              <c:f>'PIVOT TABLES'!$L$3</c:f>
              <c:strCache>
                <c:ptCount val="1"/>
                <c:pt idx="0">
                  <c:v>VIGOROUS</c:v>
                </c:pt>
              </c:strCache>
            </c:strRef>
          </c:tx>
          <c:spPr>
            <a:solidFill>
              <a:srgbClr val="FF9900"/>
            </a:solidFill>
            <a:ln>
              <a:noFill/>
            </a:ln>
            <a:effectLst/>
          </c:spPr>
          <c:cat>
            <c:strRef>
              <c:f>'PIVOT TABLES'!$H$4:$H$12</c:f>
              <c:strCache>
                <c:ptCount val="8"/>
                <c:pt idx="0">
                  <c:v>Frank Mpedi</c:v>
                </c:pt>
                <c:pt idx="1">
                  <c:v>Khomotso Marebane</c:v>
                </c:pt>
                <c:pt idx="2">
                  <c:v>Manelisi Sithole</c:v>
                </c:pt>
                <c:pt idx="3">
                  <c:v>Mdevulana Camagu</c:v>
                </c:pt>
                <c:pt idx="4">
                  <c:v>Samuel Julies</c:v>
                </c:pt>
                <c:pt idx="5">
                  <c:v>Tebogo Mohlamonyane</c:v>
                </c:pt>
                <c:pt idx="6">
                  <c:v>Thabiso Mokoena</c:v>
                </c:pt>
                <c:pt idx="7">
                  <c:v>Thulani Zandamela</c:v>
                </c:pt>
              </c:strCache>
            </c:strRef>
          </c:cat>
          <c:val>
            <c:numRef>
              <c:f>'PIVOT TABLES'!$L$4:$L$12</c:f>
              <c:numCache>
                <c:formatCode>0.00</c:formatCode>
                <c:ptCount val="8"/>
                <c:pt idx="0">
                  <c:v>32.801999999999992</c:v>
                </c:pt>
                <c:pt idx="1">
                  <c:v>32.801999999999992</c:v>
                </c:pt>
                <c:pt idx="2">
                  <c:v>32.801999999999992</c:v>
                </c:pt>
                <c:pt idx="3">
                  <c:v>32.801999999999992</c:v>
                </c:pt>
                <c:pt idx="4">
                  <c:v>32.801999999999992</c:v>
                </c:pt>
                <c:pt idx="5">
                  <c:v>32.801999999999992</c:v>
                </c:pt>
                <c:pt idx="6">
                  <c:v>32.801999999999992</c:v>
                </c:pt>
                <c:pt idx="7">
                  <c:v>32.801999999999992</c:v>
                </c:pt>
              </c:numCache>
            </c:numRef>
          </c:val>
          <c:extLst>
            <c:ext xmlns:c16="http://schemas.microsoft.com/office/drawing/2014/chart" uri="{C3380CC4-5D6E-409C-BE32-E72D297353CC}">
              <c16:uniqueId val="{00000002-C733-41D3-919B-7F7FFA15A6F4}"/>
            </c:ext>
          </c:extLst>
        </c:ser>
        <c:ser>
          <c:idx val="4"/>
          <c:order val="4"/>
          <c:tx>
            <c:strRef>
              <c:f>'PIVOT TABLES'!$M$3</c:f>
              <c:strCache>
                <c:ptCount val="1"/>
                <c:pt idx="0">
                  <c:v>INTENSE</c:v>
                </c:pt>
              </c:strCache>
            </c:strRef>
          </c:tx>
          <c:spPr>
            <a:solidFill>
              <a:srgbClr val="FF0000"/>
            </a:solidFill>
            <a:ln>
              <a:noFill/>
            </a:ln>
            <a:effectLst/>
          </c:spPr>
          <c:cat>
            <c:strRef>
              <c:f>'PIVOT TABLES'!$H$4:$H$12</c:f>
              <c:strCache>
                <c:ptCount val="8"/>
                <c:pt idx="0">
                  <c:v>Frank Mpedi</c:v>
                </c:pt>
                <c:pt idx="1">
                  <c:v>Khomotso Marebane</c:v>
                </c:pt>
                <c:pt idx="2">
                  <c:v>Manelisi Sithole</c:v>
                </c:pt>
                <c:pt idx="3">
                  <c:v>Mdevulana Camagu</c:v>
                </c:pt>
                <c:pt idx="4">
                  <c:v>Samuel Julies</c:v>
                </c:pt>
                <c:pt idx="5">
                  <c:v>Tebogo Mohlamonyane</c:v>
                </c:pt>
                <c:pt idx="6">
                  <c:v>Thabiso Mokoena</c:v>
                </c:pt>
                <c:pt idx="7">
                  <c:v>Thulani Zandamela</c:v>
                </c:pt>
              </c:strCache>
            </c:strRef>
          </c:cat>
          <c:val>
            <c:numRef>
              <c:f>'PIVOT TABLES'!$M$4:$M$12</c:f>
              <c:numCache>
                <c:formatCode>0.00</c:formatCode>
                <c:ptCount val="8"/>
                <c:pt idx="0">
                  <c:v>68.792000000000002</c:v>
                </c:pt>
                <c:pt idx="1">
                  <c:v>68.792000000000002</c:v>
                </c:pt>
                <c:pt idx="2">
                  <c:v>68.792000000000002</c:v>
                </c:pt>
                <c:pt idx="3">
                  <c:v>68.792000000000002</c:v>
                </c:pt>
                <c:pt idx="4">
                  <c:v>68.792000000000002</c:v>
                </c:pt>
                <c:pt idx="5">
                  <c:v>68.792000000000002</c:v>
                </c:pt>
                <c:pt idx="6">
                  <c:v>68.792000000000002</c:v>
                </c:pt>
                <c:pt idx="7">
                  <c:v>68.792000000000002</c:v>
                </c:pt>
              </c:numCache>
            </c:numRef>
          </c:val>
          <c:extLst>
            <c:ext xmlns:c16="http://schemas.microsoft.com/office/drawing/2014/chart" uri="{C3380CC4-5D6E-409C-BE32-E72D297353CC}">
              <c16:uniqueId val="{00000003-C733-41D3-919B-7F7FFA15A6F4}"/>
            </c:ext>
          </c:extLst>
        </c:ser>
        <c:dLbls>
          <c:showLegendKey val="0"/>
          <c:showVal val="0"/>
          <c:showCatName val="0"/>
          <c:showSerName val="0"/>
          <c:showPercent val="0"/>
          <c:showBubbleSize val="0"/>
        </c:dLbls>
        <c:axId val="441181896"/>
        <c:axId val="441184192"/>
      </c:areaChart>
      <c:barChart>
        <c:barDir val="col"/>
        <c:grouping val="clustered"/>
        <c:varyColors val="0"/>
        <c:ser>
          <c:idx val="0"/>
          <c:order val="0"/>
          <c:tx>
            <c:strRef>
              <c:f>'PIVOT TABLES'!$I$3</c:f>
              <c:strCache>
                <c:ptCount val="1"/>
                <c:pt idx="0">
                  <c:v>MIDFIELDERS EXERCISE LOAD</c:v>
                </c:pt>
              </c:strCache>
            </c:strRef>
          </c:tx>
          <c:spPr>
            <a:solidFill>
              <a:srgbClr val="002060"/>
            </a:solidFill>
            <a:ln>
              <a:solidFill>
                <a:schemeClr val="bg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TABLES'!$H$4:$H$12</c:f>
              <c:strCache>
                <c:ptCount val="8"/>
                <c:pt idx="0">
                  <c:v>Frank Mpedi</c:v>
                </c:pt>
                <c:pt idx="1">
                  <c:v>Khomotso Marebane</c:v>
                </c:pt>
                <c:pt idx="2">
                  <c:v>Manelisi Sithole</c:v>
                </c:pt>
                <c:pt idx="3">
                  <c:v>Mdevulana Camagu</c:v>
                </c:pt>
                <c:pt idx="4">
                  <c:v>Samuel Julies</c:v>
                </c:pt>
                <c:pt idx="5">
                  <c:v>Tebogo Mohlamonyane</c:v>
                </c:pt>
                <c:pt idx="6">
                  <c:v>Thabiso Mokoena</c:v>
                </c:pt>
                <c:pt idx="7">
                  <c:v>Thulani Zandamela</c:v>
                </c:pt>
              </c:strCache>
            </c:strRef>
          </c:cat>
          <c:val>
            <c:numRef>
              <c:f>'PIVOT TABLES'!$I$4:$I$12</c:f>
              <c:numCache>
                <c:formatCode>0.00</c:formatCode>
                <c:ptCount val="8"/>
                <c:pt idx="0">
                  <c:v>86.17</c:v>
                </c:pt>
                <c:pt idx="1">
                  <c:v>78.67</c:v>
                </c:pt>
                <c:pt idx="2">
                  <c:v>83.05</c:v>
                </c:pt>
                <c:pt idx="3">
                  <c:v>83.63</c:v>
                </c:pt>
                <c:pt idx="4">
                  <c:v>88.4</c:v>
                </c:pt>
                <c:pt idx="5">
                  <c:v>89.28</c:v>
                </c:pt>
                <c:pt idx="6">
                  <c:v>63.51</c:v>
                </c:pt>
                <c:pt idx="7">
                  <c:v>78.02</c:v>
                </c:pt>
              </c:numCache>
            </c:numRef>
          </c:val>
          <c:extLst>
            <c:ext xmlns:c16="http://schemas.microsoft.com/office/drawing/2014/chart" uri="{C3380CC4-5D6E-409C-BE32-E72D297353CC}">
              <c16:uniqueId val="{00000000-9D34-4F52-B05A-E49D3842C531}"/>
            </c:ext>
          </c:extLst>
        </c:ser>
        <c:dLbls>
          <c:showLegendKey val="0"/>
          <c:showVal val="0"/>
          <c:showCatName val="0"/>
          <c:showSerName val="0"/>
          <c:showPercent val="0"/>
          <c:showBubbleSize val="0"/>
        </c:dLbls>
        <c:gapWidth val="150"/>
        <c:axId val="441181896"/>
        <c:axId val="441184192"/>
      </c:barChart>
      <c:catAx>
        <c:axId val="441181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41184192"/>
        <c:crosses val="autoZero"/>
        <c:auto val="1"/>
        <c:lblAlgn val="ctr"/>
        <c:lblOffset val="100"/>
        <c:noMultiLvlLbl val="0"/>
      </c:catAx>
      <c:valAx>
        <c:axId val="441184192"/>
        <c:scaling>
          <c:orientation val="minMax"/>
          <c:max val="20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41181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[ACUTE CHRONIC TL.xlsm]PIVOT TABLES!WINGERS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bg1"/>
                </a:solidFill>
              </a:rPr>
              <a:t>EXERCISE LOADS</a:t>
            </a:r>
          </a:p>
        </c:rich>
      </c:tx>
      <c:layout>
        <c:manualLayout>
          <c:xMode val="edge"/>
          <c:yMode val="edge"/>
          <c:x val="0.38854361379395824"/>
          <c:y val="2.52814718382465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rgbClr val="FF9900"/>
          </a:solidFill>
          <a:ln>
            <a:noFill/>
          </a:ln>
          <a:effectLst/>
        </c:spPr>
      </c:pivotFmt>
      <c:pivotFmt>
        <c:idx val="10"/>
        <c:spPr>
          <a:solidFill>
            <a:srgbClr val="FF0000"/>
          </a:solidFill>
          <a:ln>
            <a:noFill/>
          </a:ln>
          <a:effectLst/>
        </c:spPr>
      </c:pivotFmt>
      <c:pivotFmt>
        <c:idx val="11"/>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marker>
          <c:spPr>
            <a:solidFill>
              <a:srgbClr val="00B050"/>
            </a:solidFill>
            <a:ln w="9525">
              <a:solidFill>
                <a:schemeClr val="accent1"/>
              </a:solidFill>
            </a:ln>
            <a:effectLst/>
          </c:spPr>
        </c:marker>
      </c:pivotFmt>
      <c:pivotFmt>
        <c:idx val="13"/>
        <c:marker>
          <c:spPr>
            <a:solidFill>
              <a:srgbClr val="FF9900"/>
            </a:solidFill>
            <a:ln w="9525">
              <a:solidFill>
                <a:schemeClr val="accent1"/>
              </a:solidFill>
            </a:ln>
            <a:effectLst/>
          </c:spPr>
        </c:marker>
      </c:pivotFmt>
      <c:pivotFmt>
        <c:idx val="14"/>
        <c:marker>
          <c:spPr>
            <a:solidFill>
              <a:srgbClr val="FF0000"/>
            </a:solidFill>
            <a:ln w="9525">
              <a:solidFill>
                <a:schemeClr val="accent1"/>
              </a:solidFill>
            </a:ln>
            <a:effectLst/>
          </c:spPr>
        </c:marker>
      </c:pivotFmt>
      <c:pivotFmt>
        <c:idx val="15"/>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B050"/>
          </a:solidFill>
          <a:ln>
            <a:noFill/>
          </a:ln>
          <a:effectLst/>
        </c:spPr>
        <c:marker>
          <c:symbol val="none"/>
        </c:marker>
      </c:pivotFmt>
      <c:pivotFmt>
        <c:idx val="17"/>
        <c:spPr>
          <a:solidFill>
            <a:srgbClr val="FF9900"/>
          </a:solidFill>
          <a:ln>
            <a:noFill/>
          </a:ln>
          <a:effectLst/>
        </c:spPr>
        <c:marker>
          <c:symbol val="none"/>
        </c:marker>
      </c:pivotFmt>
      <c:pivotFmt>
        <c:idx val="18"/>
        <c:spPr>
          <a:solidFill>
            <a:srgbClr val="FF0000"/>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marker>
          <c:symbol val="none"/>
        </c:marker>
      </c:pivotFmt>
      <c:pivotFmt>
        <c:idx val="27"/>
        <c:spPr>
          <a:solidFill>
            <a:srgbClr val="00B050"/>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rgbClr val="FFFF00"/>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rgbClr val="FF9900"/>
          </a:solidFill>
          <a:ln>
            <a:noFill/>
          </a:ln>
          <a:effectLst/>
        </c:spPr>
      </c:pivotFmt>
      <c:pivotFmt>
        <c:idx val="34"/>
        <c:spPr>
          <a:solidFill>
            <a:srgbClr val="FF3300"/>
          </a:solidFill>
          <a:ln>
            <a:noFill/>
          </a:ln>
          <a:effectLst/>
        </c:spPr>
      </c:pivotFmt>
      <c:pivotFmt>
        <c:idx val="35"/>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50"/>
          </a:solidFill>
          <a:ln>
            <a:noFill/>
          </a:ln>
          <a:effectLst/>
        </c:spPr>
        <c:marker>
          <c:symbol val="none"/>
        </c:marker>
      </c:pivotFmt>
      <c:pivotFmt>
        <c:idx val="37"/>
        <c:spPr>
          <a:solidFill>
            <a:srgbClr val="FFFF00"/>
          </a:solidFill>
          <a:ln>
            <a:noFill/>
          </a:ln>
          <a:effectLst/>
        </c:spPr>
        <c:marker>
          <c:symbol val="none"/>
        </c:marker>
      </c:pivotFmt>
      <c:pivotFmt>
        <c:idx val="38"/>
        <c:spPr>
          <a:solidFill>
            <a:srgbClr val="FF9900"/>
          </a:solidFill>
          <a:ln>
            <a:noFill/>
          </a:ln>
          <a:effectLst/>
        </c:spPr>
        <c:marker>
          <c:symbol val="none"/>
        </c:marker>
      </c:pivotFmt>
      <c:pivotFmt>
        <c:idx val="39"/>
        <c:spPr>
          <a:solidFill>
            <a:srgbClr val="FF0000"/>
          </a:solidFill>
          <a:ln>
            <a:noFill/>
          </a:ln>
          <a:effectLst/>
        </c:spPr>
        <c:marker>
          <c:symbol val="none"/>
        </c:marker>
      </c:pivotFmt>
    </c:pivotFmts>
    <c:plotArea>
      <c:layout/>
      <c:areaChart>
        <c:grouping val="stacked"/>
        <c:varyColors val="0"/>
        <c:ser>
          <c:idx val="1"/>
          <c:order val="1"/>
          <c:tx>
            <c:strRef>
              <c:f>'PIVOT TABLES'!$Q$3</c:f>
              <c:strCache>
                <c:ptCount val="1"/>
                <c:pt idx="0">
                  <c:v>LIGHT</c:v>
                </c:pt>
              </c:strCache>
            </c:strRef>
          </c:tx>
          <c:spPr>
            <a:solidFill>
              <a:srgbClr val="00B050"/>
            </a:solidFill>
            <a:ln>
              <a:noFill/>
            </a:ln>
            <a:effectLst/>
          </c:spPr>
          <c:cat>
            <c:strRef>
              <c:f>'PIVOT TABLES'!$O$4:$O$6</c:f>
              <c:strCache>
                <c:ptCount val="2"/>
                <c:pt idx="0">
                  <c:v>Delano Abrahams</c:v>
                </c:pt>
                <c:pt idx="1">
                  <c:v>Malekgene Mampuru</c:v>
                </c:pt>
              </c:strCache>
            </c:strRef>
          </c:cat>
          <c:val>
            <c:numRef>
              <c:f>'PIVOT TABLES'!$Q$4:$Q$6</c:f>
              <c:numCache>
                <c:formatCode>0.00</c:formatCode>
                <c:ptCount val="2"/>
                <c:pt idx="0">
                  <c:v>62.64</c:v>
                </c:pt>
                <c:pt idx="1">
                  <c:v>62.64</c:v>
                </c:pt>
              </c:numCache>
            </c:numRef>
          </c:val>
          <c:extLst>
            <c:ext xmlns:c16="http://schemas.microsoft.com/office/drawing/2014/chart" uri="{C3380CC4-5D6E-409C-BE32-E72D297353CC}">
              <c16:uniqueId val="{00000000-BB3E-48A0-BE61-1819A58217EA}"/>
            </c:ext>
          </c:extLst>
        </c:ser>
        <c:ser>
          <c:idx val="2"/>
          <c:order val="2"/>
          <c:tx>
            <c:strRef>
              <c:f>'PIVOT TABLES'!$R$3</c:f>
              <c:strCache>
                <c:ptCount val="1"/>
                <c:pt idx="0">
                  <c:v>MODERATE</c:v>
                </c:pt>
              </c:strCache>
            </c:strRef>
          </c:tx>
          <c:spPr>
            <a:solidFill>
              <a:srgbClr val="FFFF00"/>
            </a:solidFill>
            <a:ln>
              <a:noFill/>
            </a:ln>
            <a:effectLst/>
          </c:spPr>
          <c:cat>
            <c:strRef>
              <c:f>'PIVOT TABLES'!$O$4:$O$6</c:f>
              <c:strCache>
                <c:ptCount val="2"/>
                <c:pt idx="0">
                  <c:v>Delano Abrahams</c:v>
                </c:pt>
                <c:pt idx="1">
                  <c:v>Malekgene Mampuru</c:v>
                </c:pt>
              </c:strCache>
            </c:strRef>
          </c:cat>
          <c:val>
            <c:numRef>
              <c:f>'PIVOT TABLES'!$R$4:$R$6</c:f>
              <c:numCache>
                <c:formatCode>0.00</c:formatCode>
                <c:ptCount val="2"/>
                <c:pt idx="0">
                  <c:v>31.319999999999993</c:v>
                </c:pt>
                <c:pt idx="1">
                  <c:v>31.319999999999993</c:v>
                </c:pt>
              </c:numCache>
            </c:numRef>
          </c:val>
          <c:extLst>
            <c:ext xmlns:c16="http://schemas.microsoft.com/office/drawing/2014/chart" uri="{C3380CC4-5D6E-409C-BE32-E72D297353CC}">
              <c16:uniqueId val="{00000004-BB3E-48A0-BE61-1819A58217EA}"/>
            </c:ext>
          </c:extLst>
        </c:ser>
        <c:ser>
          <c:idx val="3"/>
          <c:order val="3"/>
          <c:tx>
            <c:strRef>
              <c:f>'PIVOT TABLES'!$S$3</c:f>
              <c:strCache>
                <c:ptCount val="1"/>
                <c:pt idx="0">
                  <c:v>VIGOROUS</c:v>
                </c:pt>
              </c:strCache>
            </c:strRef>
          </c:tx>
          <c:spPr>
            <a:solidFill>
              <a:srgbClr val="FF9900"/>
            </a:solidFill>
            <a:ln>
              <a:noFill/>
            </a:ln>
            <a:effectLst/>
          </c:spPr>
          <c:cat>
            <c:strRef>
              <c:f>'PIVOT TABLES'!$O$4:$O$6</c:f>
              <c:strCache>
                <c:ptCount val="2"/>
                <c:pt idx="0">
                  <c:v>Delano Abrahams</c:v>
                </c:pt>
                <c:pt idx="1">
                  <c:v>Malekgene Mampuru</c:v>
                </c:pt>
              </c:strCache>
            </c:strRef>
          </c:cat>
          <c:val>
            <c:numRef>
              <c:f>'PIVOT TABLES'!$S$4:$S$6</c:f>
              <c:numCache>
                <c:formatCode>0.00</c:formatCode>
                <c:ptCount val="2"/>
                <c:pt idx="0">
                  <c:v>31.320000000000007</c:v>
                </c:pt>
                <c:pt idx="1">
                  <c:v>31.320000000000007</c:v>
                </c:pt>
              </c:numCache>
            </c:numRef>
          </c:val>
          <c:extLst>
            <c:ext xmlns:c16="http://schemas.microsoft.com/office/drawing/2014/chart" uri="{C3380CC4-5D6E-409C-BE32-E72D297353CC}">
              <c16:uniqueId val="{00000005-BB3E-48A0-BE61-1819A58217EA}"/>
            </c:ext>
          </c:extLst>
        </c:ser>
        <c:ser>
          <c:idx val="4"/>
          <c:order val="4"/>
          <c:tx>
            <c:strRef>
              <c:f>'PIVOT TABLES'!$T$3</c:f>
              <c:strCache>
                <c:ptCount val="1"/>
                <c:pt idx="0">
                  <c:v>INTENSE</c:v>
                </c:pt>
              </c:strCache>
            </c:strRef>
          </c:tx>
          <c:spPr>
            <a:solidFill>
              <a:srgbClr val="FF0000"/>
            </a:solidFill>
            <a:ln>
              <a:noFill/>
            </a:ln>
            <a:effectLst/>
          </c:spPr>
          <c:cat>
            <c:strRef>
              <c:f>'PIVOT TABLES'!$O$4:$O$6</c:f>
              <c:strCache>
                <c:ptCount val="2"/>
                <c:pt idx="0">
                  <c:v>Delano Abrahams</c:v>
                </c:pt>
                <c:pt idx="1">
                  <c:v>Malekgene Mampuru</c:v>
                </c:pt>
              </c:strCache>
            </c:strRef>
          </c:cat>
          <c:val>
            <c:numRef>
              <c:f>'PIVOT TABLES'!$T$4:$T$6</c:f>
              <c:numCache>
                <c:formatCode>0.00</c:formatCode>
                <c:ptCount val="2"/>
                <c:pt idx="0">
                  <c:v>74.72</c:v>
                </c:pt>
                <c:pt idx="1">
                  <c:v>74.72</c:v>
                </c:pt>
              </c:numCache>
            </c:numRef>
          </c:val>
          <c:extLst>
            <c:ext xmlns:c16="http://schemas.microsoft.com/office/drawing/2014/chart" uri="{C3380CC4-5D6E-409C-BE32-E72D297353CC}">
              <c16:uniqueId val="{00000006-BB3E-48A0-BE61-1819A58217EA}"/>
            </c:ext>
          </c:extLst>
        </c:ser>
        <c:dLbls>
          <c:showLegendKey val="0"/>
          <c:showVal val="0"/>
          <c:showCatName val="0"/>
          <c:showSerName val="0"/>
          <c:showPercent val="0"/>
          <c:showBubbleSize val="0"/>
        </c:dLbls>
        <c:axId val="401879168"/>
        <c:axId val="401878840"/>
      </c:areaChart>
      <c:barChart>
        <c:barDir val="col"/>
        <c:grouping val="clustered"/>
        <c:varyColors val="0"/>
        <c:ser>
          <c:idx val="0"/>
          <c:order val="0"/>
          <c:tx>
            <c:strRef>
              <c:f>'PIVOT TABLES'!$P$3</c:f>
              <c:strCache>
                <c:ptCount val="1"/>
                <c:pt idx="0">
                  <c:v>WINGERS EXERCISE LOAD</c:v>
                </c:pt>
              </c:strCache>
            </c:strRef>
          </c:tx>
          <c:spPr>
            <a:solidFill>
              <a:srgbClr val="002060"/>
            </a:solidFill>
            <a:ln>
              <a:solidFill>
                <a:schemeClr val="bg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TABLES'!$O$4:$O$6</c:f>
              <c:strCache>
                <c:ptCount val="2"/>
                <c:pt idx="0">
                  <c:v>Delano Abrahams</c:v>
                </c:pt>
                <c:pt idx="1">
                  <c:v>Malekgene Mampuru</c:v>
                </c:pt>
              </c:strCache>
            </c:strRef>
          </c:cat>
          <c:val>
            <c:numRef>
              <c:f>'PIVOT TABLES'!$P$4:$P$6</c:f>
              <c:numCache>
                <c:formatCode>0.00</c:formatCode>
                <c:ptCount val="2"/>
                <c:pt idx="0">
                  <c:v>82.83</c:v>
                </c:pt>
                <c:pt idx="1">
                  <c:v>79.25</c:v>
                </c:pt>
              </c:numCache>
            </c:numRef>
          </c:val>
          <c:extLst>
            <c:ext xmlns:c16="http://schemas.microsoft.com/office/drawing/2014/chart" uri="{C3380CC4-5D6E-409C-BE32-E72D297353CC}">
              <c16:uniqueId val="{00000000-1F00-42DD-9A7D-1F42762F735C}"/>
            </c:ext>
          </c:extLst>
        </c:ser>
        <c:dLbls>
          <c:showLegendKey val="0"/>
          <c:showVal val="0"/>
          <c:showCatName val="0"/>
          <c:showSerName val="0"/>
          <c:showPercent val="0"/>
          <c:showBubbleSize val="0"/>
        </c:dLbls>
        <c:gapWidth val="150"/>
        <c:axId val="401879168"/>
        <c:axId val="401878840"/>
      </c:barChart>
      <c:catAx>
        <c:axId val="40187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401878840"/>
        <c:crosses val="autoZero"/>
        <c:auto val="1"/>
        <c:lblAlgn val="ctr"/>
        <c:lblOffset val="100"/>
        <c:noMultiLvlLbl val="0"/>
      </c:catAx>
      <c:valAx>
        <c:axId val="401878840"/>
        <c:scaling>
          <c:orientation val="minMax"/>
          <c:max val="200"/>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1879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[ACUTE CHRONIC TL.xlsm]PIVOT TABLES!STRIKERS </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800" b="1">
                <a:solidFill>
                  <a:schemeClr val="bg1"/>
                </a:solidFill>
              </a:rPr>
              <a:t>EXERCISE LOADS</a:t>
            </a:r>
          </a:p>
        </c:rich>
      </c:tx>
      <c:layout>
        <c:manualLayout>
          <c:xMode val="edge"/>
          <c:yMode val="edge"/>
          <c:x val="0.3907156496477972"/>
          <c:y val="2.77611105250509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002060"/>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rgbClr val="FF9900"/>
          </a:solidFill>
          <a:ln>
            <a:noFill/>
          </a:ln>
          <a:effectLst/>
        </c:spPr>
      </c:pivotFmt>
      <c:pivotFmt>
        <c:idx val="8"/>
        <c:spPr>
          <a:solidFill>
            <a:srgbClr val="FF0000"/>
          </a:solidFill>
          <a:ln>
            <a:noFill/>
          </a:ln>
          <a:effectLst/>
        </c:spPr>
      </c:pivotFmt>
      <c:pivotFmt>
        <c:idx val="9"/>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50"/>
          </a:solidFill>
          <a:ln>
            <a:noFill/>
          </a:ln>
          <a:effectLst/>
        </c:spPr>
        <c:marker>
          <c:symbol val="none"/>
        </c:marker>
      </c:pivotFmt>
      <c:pivotFmt>
        <c:idx val="11"/>
        <c:spPr>
          <a:solidFill>
            <a:srgbClr val="FF9900"/>
          </a:solidFill>
          <a:ln>
            <a:noFill/>
          </a:ln>
          <a:effectLst/>
        </c:spPr>
        <c:marker>
          <c:symbol val="none"/>
        </c:marker>
      </c:pivotFmt>
      <c:pivotFmt>
        <c:idx val="12"/>
        <c:spPr>
          <a:solidFill>
            <a:srgbClr val="FF0000"/>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rgbClr val="00B050"/>
          </a:solidFill>
          <a:ln>
            <a:noFill/>
          </a:ln>
          <a:effectLst/>
        </c:spPr>
        <c:marker>
          <c:symbol val="none"/>
        </c:marker>
      </c:pivotFmt>
      <c:pivotFmt>
        <c:idx val="19"/>
        <c:spPr>
          <a:solidFill>
            <a:srgbClr val="FFFF00"/>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rgbClr val="FF9900"/>
          </a:solidFill>
          <a:ln>
            <a:noFill/>
          </a:ln>
          <a:effectLst/>
        </c:spPr>
      </c:pivotFmt>
      <c:pivotFmt>
        <c:idx val="23"/>
        <c:spPr>
          <a:solidFill>
            <a:srgbClr val="FF0000"/>
          </a:solidFill>
          <a:ln>
            <a:noFill/>
          </a:ln>
          <a:effectLst/>
        </c:spPr>
      </c:pivotFmt>
      <c:pivotFmt>
        <c:idx val="24"/>
        <c:spPr>
          <a:solidFill>
            <a:srgbClr val="00B050"/>
          </a:solidFill>
          <a:ln>
            <a:noFill/>
          </a:ln>
          <a:effectLst/>
        </c:spPr>
        <c:marker>
          <c:symbol val="none"/>
        </c:marker>
      </c:pivotFmt>
      <c:pivotFmt>
        <c:idx val="25"/>
        <c:spPr>
          <a:solidFill>
            <a:srgbClr val="002060"/>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FFF00"/>
          </a:solidFill>
          <a:ln>
            <a:noFill/>
          </a:ln>
          <a:effectLst/>
        </c:spPr>
        <c:marker>
          <c:symbol val="none"/>
        </c:marker>
      </c:pivotFmt>
      <c:pivotFmt>
        <c:idx val="27"/>
        <c:spPr>
          <a:solidFill>
            <a:srgbClr val="FF9900"/>
          </a:solidFill>
          <a:ln>
            <a:noFill/>
          </a:ln>
          <a:effectLst/>
        </c:spPr>
        <c:marker>
          <c:symbol val="none"/>
        </c:marker>
      </c:pivotFmt>
      <c:pivotFmt>
        <c:idx val="28"/>
        <c:spPr>
          <a:solidFill>
            <a:srgbClr val="FF0000"/>
          </a:solidFill>
          <a:ln>
            <a:noFill/>
          </a:ln>
          <a:effectLst/>
        </c:spPr>
        <c:marker>
          <c:symbol val="none"/>
        </c:marker>
      </c:pivotFmt>
    </c:pivotFmts>
    <c:plotArea>
      <c:layout/>
      <c:areaChart>
        <c:grouping val="stacked"/>
        <c:varyColors val="0"/>
        <c:ser>
          <c:idx val="1"/>
          <c:order val="1"/>
          <c:tx>
            <c:strRef>
              <c:f>'PIVOT TABLES'!$X$3</c:f>
              <c:strCache>
                <c:ptCount val="1"/>
                <c:pt idx="0">
                  <c:v>LIGHT</c:v>
                </c:pt>
              </c:strCache>
            </c:strRef>
          </c:tx>
          <c:spPr>
            <a:solidFill>
              <a:srgbClr val="00B050"/>
            </a:solidFill>
            <a:ln>
              <a:noFill/>
            </a:ln>
            <a:effectLst/>
          </c:spPr>
          <c:cat>
            <c:strRef>
              <c:f>'PIVOT TABLES'!$V$4:$V$8</c:f>
              <c:strCache>
                <c:ptCount val="4"/>
                <c:pt idx="0">
                  <c:v>Kamohelo Pheeane</c:v>
                </c:pt>
                <c:pt idx="1">
                  <c:v>Neo Dikgale</c:v>
                </c:pt>
                <c:pt idx="2">
                  <c:v>Tebogo Makungo</c:v>
                </c:pt>
                <c:pt idx="3">
                  <c:v>Thabang Sibanyoni</c:v>
                </c:pt>
              </c:strCache>
            </c:strRef>
          </c:cat>
          <c:val>
            <c:numRef>
              <c:f>'PIVOT TABLES'!$X$4:$X$8</c:f>
              <c:numCache>
                <c:formatCode>0.00</c:formatCode>
                <c:ptCount val="4"/>
                <c:pt idx="0">
                  <c:v>55.896000000000001</c:v>
                </c:pt>
                <c:pt idx="1">
                  <c:v>55.896000000000001</c:v>
                </c:pt>
                <c:pt idx="2">
                  <c:v>55.896000000000001</c:v>
                </c:pt>
                <c:pt idx="3">
                  <c:v>55.896000000000001</c:v>
                </c:pt>
              </c:numCache>
            </c:numRef>
          </c:val>
          <c:extLst>
            <c:ext xmlns:c16="http://schemas.microsoft.com/office/drawing/2014/chart" uri="{C3380CC4-5D6E-409C-BE32-E72D297353CC}">
              <c16:uniqueId val="{00000000-8788-4647-80B9-E34BD1A89FF9}"/>
            </c:ext>
          </c:extLst>
        </c:ser>
        <c:ser>
          <c:idx val="2"/>
          <c:order val="2"/>
          <c:tx>
            <c:strRef>
              <c:f>'PIVOT TABLES'!$Y$3</c:f>
              <c:strCache>
                <c:ptCount val="1"/>
                <c:pt idx="0">
                  <c:v>MODERATE</c:v>
                </c:pt>
              </c:strCache>
            </c:strRef>
          </c:tx>
          <c:spPr>
            <a:solidFill>
              <a:srgbClr val="FFFF00"/>
            </a:solidFill>
            <a:ln>
              <a:noFill/>
            </a:ln>
            <a:effectLst/>
          </c:spPr>
          <c:cat>
            <c:strRef>
              <c:f>'PIVOT TABLES'!$V$4:$V$8</c:f>
              <c:strCache>
                <c:ptCount val="4"/>
                <c:pt idx="0">
                  <c:v>Kamohelo Pheeane</c:v>
                </c:pt>
                <c:pt idx="1">
                  <c:v>Neo Dikgale</c:v>
                </c:pt>
                <c:pt idx="2">
                  <c:v>Tebogo Makungo</c:v>
                </c:pt>
                <c:pt idx="3">
                  <c:v>Thabang Sibanyoni</c:v>
                </c:pt>
              </c:strCache>
            </c:strRef>
          </c:cat>
          <c:val>
            <c:numRef>
              <c:f>'PIVOT TABLES'!$Y$4:$Y$8</c:f>
              <c:numCache>
                <c:formatCode>0.00</c:formatCode>
                <c:ptCount val="4"/>
                <c:pt idx="0">
                  <c:v>27.947999999999993</c:v>
                </c:pt>
                <c:pt idx="1">
                  <c:v>27.947999999999993</c:v>
                </c:pt>
                <c:pt idx="2">
                  <c:v>27.947999999999993</c:v>
                </c:pt>
                <c:pt idx="3">
                  <c:v>27.947999999999993</c:v>
                </c:pt>
              </c:numCache>
            </c:numRef>
          </c:val>
          <c:extLst>
            <c:ext xmlns:c16="http://schemas.microsoft.com/office/drawing/2014/chart" uri="{C3380CC4-5D6E-409C-BE32-E72D297353CC}">
              <c16:uniqueId val="{00000001-8788-4647-80B9-E34BD1A89FF9}"/>
            </c:ext>
          </c:extLst>
        </c:ser>
        <c:ser>
          <c:idx val="3"/>
          <c:order val="3"/>
          <c:tx>
            <c:strRef>
              <c:f>'PIVOT TABLES'!$Z$3</c:f>
              <c:strCache>
                <c:ptCount val="1"/>
                <c:pt idx="0">
                  <c:v>VIGOROUS</c:v>
                </c:pt>
              </c:strCache>
            </c:strRef>
          </c:tx>
          <c:spPr>
            <a:solidFill>
              <a:srgbClr val="FF9900"/>
            </a:solidFill>
            <a:ln>
              <a:noFill/>
            </a:ln>
            <a:effectLst/>
          </c:spPr>
          <c:cat>
            <c:strRef>
              <c:f>'PIVOT TABLES'!$V$4:$V$8</c:f>
              <c:strCache>
                <c:ptCount val="4"/>
                <c:pt idx="0">
                  <c:v>Kamohelo Pheeane</c:v>
                </c:pt>
                <c:pt idx="1">
                  <c:v>Neo Dikgale</c:v>
                </c:pt>
                <c:pt idx="2">
                  <c:v>Tebogo Makungo</c:v>
                </c:pt>
                <c:pt idx="3">
                  <c:v>Thabang Sibanyoni</c:v>
                </c:pt>
              </c:strCache>
            </c:strRef>
          </c:cat>
          <c:val>
            <c:numRef>
              <c:f>'PIVOT TABLES'!$Z$4:$Z$8</c:f>
              <c:numCache>
                <c:formatCode>0.00</c:formatCode>
                <c:ptCount val="4"/>
                <c:pt idx="0">
                  <c:v>27.948000000000008</c:v>
                </c:pt>
                <c:pt idx="1">
                  <c:v>27.948000000000008</c:v>
                </c:pt>
                <c:pt idx="2">
                  <c:v>27.948000000000008</c:v>
                </c:pt>
                <c:pt idx="3">
                  <c:v>27.948000000000008</c:v>
                </c:pt>
              </c:numCache>
            </c:numRef>
          </c:val>
          <c:extLst>
            <c:ext xmlns:c16="http://schemas.microsoft.com/office/drawing/2014/chart" uri="{C3380CC4-5D6E-409C-BE32-E72D297353CC}">
              <c16:uniqueId val="{00000002-8788-4647-80B9-E34BD1A89FF9}"/>
            </c:ext>
          </c:extLst>
        </c:ser>
        <c:ser>
          <c:idx val="4"/>
          <c:order val="4"/>
          <c:tx>
            <c:strRef>
              <c:f>'PIVOT TABLES'!$AA$3</c:f>
              <c:strCache>
                <c:ptCount val="1"/>
                <c:pt idx="0">
                  <c:v>INTENSE</c:v>
                </c:pt>
              </c:strCache>
            </c:strRef>
          </c:tx>
          <c:spPr>
            <a:solidFill>
              <a:srgbClr val="FF0000"/>
            </a:solidFill>
            <a:ln>
              <a:noFill/>
            </a:ln>
            <a:effectLst/>
          </c:spPr>
          <c:cat>
            <c:strRef>
              <c:f>'PIVOT TABLES'!$V$4:$V$8</c:f>
              <c:strCache>
                <c:ptCount val="4"/>
                <c:pt idx="0">
                  <c:v>Kamohelo Pheeane</c:v>
                </c:pt>
                <c:pt idx="1">
                  <c:v>Neo Dikgale</c:v>
                </c:pt>
                <c:pt idx="2">
                  <c:v>Tebogo Makungo</c:v>
                </c:pt>
                <c:pt idx="3">
                  <c:v>Thabang Sibanyoni</c:v>
                </c:pt>
              </c:strCache>
            </c:strRef>
          </c:cat>
          <c:val>
            <c:numRef>
              <c:f>'PIVOT TABLES'!$AA$4:$AA$8</c:f>
              <c:numCache>
                <c:formatCode>0.00</c:formatCode>
                <c:ptCount val="4"/>
                <c:pt idx="0">
                  <c:v>88.207999999999998</c:v>
                </c:pt>
                <c:pt idx="1">
                  <c:v>88.207999999999998</c:v>
                </c:pt>
                <c:pt idx="2">
                  <c:v>88.207999999999998</c:v>
                </c:pt>
                <c:pt idx="3">
                  <c:v>88.207999999999998</c:v>
                </c:pt>
              </c:numCache>
            </c:numRef>
          </c:val>
          <c:extLst>
            <c:ext xmlns:c16="http://schemas.microsoft.com/office/drawing/2014/chart" uri="{C3380CC4-5D6E-409C-BE32-E72D297353CC}">
              <c16:uniqueId val="{00000003-8788-4647-80B9-E34BD1A89FF9}"/>
            </c:ext>
          </c:extLst>
        </c:ser>
        <c:dLbls>
          <c:showLegendKey val="0"/>
          <c:showVal val="0"/>
          <c:showCatName val="0"/>
          <c:showSerName val="0"/>
          <c:showPercent val="0"/>
          <c:showBubbleSize val="0"/>
        </c:dLbls>
        <c:axId val="404826928"/>
        <c:axId val="404824960"/>
      </c:areaChart>
      <c:barChart>
        <c:barDir val="col"/>
        <c:grouping val="clustered"/>
        <c:varyColors val="0"/>
        <c:ser>
          <c:idx val="0"/>
          <c:order val="0"/>
          <c:tx>
            <c:strRef>
              <c:f>'PIVOT TABLES'!$W$3</c:f>
              <c:strCache>
                <c:ptCount val="1"/>
                <c:pt idx="0">
                  <c:v>STRIKERS EXERCISE LOAD</c:v>
                </c:pt>
              </c:strCache>
            </c:strRef>
          </c:tx>
          <c:spPr>
            <a:solidFill>
              <a:srgbClr val="002060"/>
            </a:solidFill>
            <a:ln>
              <a:solidFill>
                <a:schemeClr val="bg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TABLES'!$V$4:$V$8</c:f>
              <c:strCache>
                <c:ptCount val="4"/>
                <c:pt idx="0">
                  <c:v>Kamohelo Pheeane</c:v>
                </c:pt>
                <c:pt idx="1">
                  <c:v>Neo Dikgale</c:v>
                </c:pt>
                <c:pt idx="2">
                  <c:v>Tebogo Makungo</c:v>
                </c:pt>
                <c:pt idx="3">
                  <c:v>Thabang Sibanyoni</c:v>
                </c:pt>
              </c:strCache>
            </c:strRef>
          </c:cat>
          <c:val>
            <c:numRef>
              <c:f>'PIVOT TABLES'!$W$4:$W$8</c:f>
              <c:numCache>
                <c:formatCode>0.00</c:formatCode>
                <c:ptCount val="4"/>
                <c:pt idx="0">
                  <c:v>42.99</c:v>
                </c:pt>
                <c:pt idx="1">
                  <c:v>83.09</c:v>
                </c:pt>
                <c:pt idx="2">
                  <c:v>36.9</c:v>
                </c:pt>
                <c:pt idx="3">
                  <c:v>71.790000000000006</c:v>
                </c:pt>
              </c:numCache>
            </c:numRef>
          </c:val>
          <c:extLst>
            <c:ext xmlns:c16="http://schemas.microsoft.com/office/drawing/2014/chart" uri="{C3380CC4-5D6E-409C-BE32-E72D297353CC}">
              <c16:uniqueId val="{00000000-6EDB-4212-9699-FC1EE5EE6F5F}"/>
            </c:ext>
          </c:extLst>
        </c:ser>
        <c:dLbls>
          <c:showLegendKey val="0"/>
          <c:showVal val="0"/>
          <c:showCatName val="0"/>
          <c:showSerName val="0"/>
          <c:showPercent val="0"/>
          <c:showBubbleSize val="0"/>
        </c:dLbls>
        <c:gapWidth val="150"/>
        <c:axId val="404826928"/>
        <c:axId val="404824960"/>
      </c:barChart>
      <c:catAx>
        <c:axId val="40482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404824960"/>
        <c:crosses val="autoZero"/>
        <c:auto val="1"/>
        <c:lblAlgn val="ctr"/>
        <c:lblOffset val="100"/>
        <c:noMultiLvlLbl val="0"/>
      </c:catAx>
      <c:valAx>
        <c:axId val="404824960"/>
        <c:scaling>
          <c:orientation val="minMax"/>
          <c:max val="200"/>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482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baseline="0">
                <a:solidFill>
                  <a:schemeClr val="bg1"/>
                </a:solidFill>
              </a:rPr>
              <a:t>EXERCISE LOAD : FATIGUE : FITNESS  </a:t>
            </a:r>
          </a:p>
        </c:rich>
      </c:tx>
      <c:layout>
        <c:manualLayout>
          <c:xMode val="edge"/>
          <c:yMode val="edge"/>
          <c:x val="0.38968982638479571"/>
          <c:y val="7.75900565813592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2829834411034202E-2"/>
          <c:y val="9.8340037842049213E-2"/>
          <c:w val="0.95451194118175264"/>
          <c:h val="0.5238809224737706"/>
        </c:manualLayout>
      </c:layout>
      <c:barChart>
        <c:barDir val="col"/>
        <c:grouping val="clustered"/>
        <c:varyColors val="0"/>
        <c:ser>
          <c:idx val="0"/>
          <c:order val="0"/>
          <c:tx>
            <c:strRef>
              <c:f>'DAILY LOAD INPUT'!$D$3</c:f>
              <c:strCache>
                <c:ptCount val="1"/>
                <c:pt idx="0">
                  <c:v>EXERCISE LOAD</c:v>
                </c:pt>
              </c:strCache>
            </c:strRef>
          </c:tx>
          <c:spPr>
            <a:solidFill>
              <a:schemeClr val="bg1"/>
            </a:solidFill>
            <a:ln>
              <a:noFill/>
            </a:ln>
            <a:effectLst/>
          </c:spPr>
          <c:invertIfNegative val="0"/>
          <c:dPt>
            <c:idx val="39"/>
            <c:invertIfNegative val="0"/>
            <c:bubble3D val="0"/>
            <c:spPr>
              <a:solidFill>
                <a:srgbClr val="00B050"/>
              </a:solidFill>
              <a:ln>
                <a:noFill/>
              </a:ln>
              <a:effectLst/>
            </c:spPr>
            <c:extLst>
              <c:ext xmlns:c16="http://schemas.microsoft.com/office/drawing/2014/chart" uri="{C3380CC4-5D6E-409C-BE32-E72D297353CC}">
                <c16:uniqueId val="{00000001-D729-4B3E-90F1-3BCE666FFD0F}"/>
              </c:ext>
            </c:extLst>
          </c:dPt>
          <c:dPt>
            <c:idx val="44"/>
            <c:invertIfNegative val="0"/>
            <c:bubble3D val="0"/>
            <c:spPr>
              <a:solidFill>
                <a:srgbClr val="00B050"/>
              </a:solidFill>
              <a:ln>
                <a:noFill/>
              </a:ln>
              <a:effectLst/>
            </c:spPr>
            <c:extLst>
              <c:ext xmlns:c16="http://schemas.microsoft.com/office/drawing/2014/chart" uri="{C3380CC4-5D6E-409C-BE32-E72D297353CC}">
                <c16:uniqueId val="{00000004-D729-4B3E-90F1-3BCE666FFD0F}"/>
              </c:ext>
            </c:extLst>
          </c:dPt>
          <c:dPt>
            <c:idx val="55"/>
            <c:invertIfNegative val="0"/>
            <c:bubble3D val="0"/>
            <c:spPr>
              <a:solidFill>
                <a:srgbClr val="00B050"/>
              </a:solidFill>
              <a:ln>
                <a:noFill/>
              </a:ln>
              <a:effectLst/>
            </c:spPr>
            <c:extLst>
              <c:ext xmlns:c16="http://schemas.microsoft.com/office/drawing/2014/chart" uri="{C3380CC4-5D6E-409C-BE32-E72D297353CC}">
                <c16:uniqueId val="{00000005-D729-4B3E-90F1-3BCE666FFD0F}"/>
              </c:ext>
            </c:extLst>
          </c:dPt>
          <c:dPt>
            <c:idx val="60"/>
            <c:invertIfNegative val="0"/>
            <c:bubble3D val="0"/>
            <c:spPr>
              <a:solidFill>
                <a:srgbClr val="00B050"/>
              </a:solidFill>
              <a:ln>
                <a:noFill/>
              </a:ln>
              <a:effectLst/>
            </c:spPr>
            <c:extLst>
              <c:ext xmlns:c16="http://schemas.microsoft.com/office/drawing/2014/chart" uri="{C3380CC4-5D6E-409C-BE32-E72D297353CC}">
                <c16:uniqueId val="{00000006-D729-4B3E-90F1-3BCE666FFD0F}"/>
              </c:ext>
            </c:extLst>
          </c:dPt>
          <c:dPt>
            <c:idx val="65"/>
            <c:invertIfNegative val="0"/>
            <c:bubble3D val="0"/>
            <c:spPr>
              <a:solidFill>
                <a:srgbClr val="00B050"/>
              </a:solidFill>
              <a:ln>
                <a:noFill/>
              </a:ln>
              <a:effectLst/>
            </c:spPr>
            <c:extLst>
              <c:ext xmlns:c16="http://schemas.microsoft.com/office/drawing/2014/chart" uri="{C3380CC4-5D6E-409C-BE32-E72D297353CC}">
                <c16:uniqueId val="{0000000B-F20A-4EBC-9DD5-C41B40560A4B}"/>
              </c:ext>
            </c:extLst>
          </c:dPt>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INPUT'!$D$4:$D$87</c:f>
              <c:numCache>
                <c:formatCode>General</c:formatCode>
                <c:ptCount val="84"/>
                <c:pt idx="0">
                  <c:v>79</c:v>
                </c:pt>
                <c:pt idx="1">
                  <c:v>83</c:v>
                </c:pt>
                <c:pt idx="2">
                  <c:v>0</c:v>
                </c:pt>
                <c:pt idx="3">
                  <c:v>107</c:v>
                </c:pt>
                <c:pt idx="4">
                  <c:v>108</c:v>
                </c:pt>
                <c:pt idx="5">
                  <c:v>0</c:v>
                </c:pt>
                <c:pt idx="6">
                  <c:v>0</c:v>
                </c:pt>
                <c:pt idx="7">
                  <c:v>30</c:v>
                </c:pt>
                <c:pt idx="8">
                  <c:v>59</c:v>
                </c:pt>
                <c:pt idx="9">
                  <c:v>0</c:v>
                </c:pt>
                <c:pt idx="10">
                  <c:v>133</c:v>
                </c:pt>
                <c:pt idx="11">
                  <c:v>80</c:v>
                </c:pt>
                <c:pt idx="12">
                  <c:v>97.73</c:v>
                </c:pt>
                <c:pt idx="13">
                  <c:v>0</c:v>
                </c:pt>
                <c:pt idx="14">
                  <c:v>135</c:v>
                </c:pt>
                <c:pt idx="15">
                  <c:v>97.2</c:v>
                </c:pt>
                <c:pt idx="16">
                  <c:v>0</c:v>
                </c:pt>
                <c:pt idx="17">
                  <c:v>67</c:v>
                </c:pt>
                <c:pt idx="18">
                  <c:v>37.28</c:v>
                </c:pt>
                <c:pt idx="19">
                  <c:v>107.44</c:v>
                </c:pt>
                <c:pt idx="20">
                  <c:v>0</c:v>
                </c:pt>
                <c:pt idx="21">
                  <c:v>0</c:v>
                </c:pt>
                <c:pt idx="22">
                  <c:v>52.63</c:v>
                </c:pt>
                <c:pt idx="23">
                  <c:v>68.12</c:v>
                </c:pt>
                <c:pt idx="24">
                  <c:v>69.78</c:v>
                </c:pt>
                <c:pt idx="25">
                  <c:v>96</c:v>
                </c:pt>
                <c:pt idx="26">
                  <c:v>96</c:v>
                </c:pt>
                <c:pt idx="27">
                  <c:v>0</c:v>
                </c:pt>
                <c:pt idx="28">
                  <c:v>0</c:v>
                </c:pt>
                <c:pt idx="29">
                  <c:v>98</c:v>
                </c:pt>
                <c:pt idx="30">
                  <c:v>83.65</c:v>
                </c:pt>
                <c:pt idx="31">
                  <c:v>0</c:v>
                </c:pt>
                <c:pt idx="32">
                  <c:v>50</c:v>
                </c:pt>
                <c:pt idx="33">
                  <c:v>60</c:v>
                </c:pt>
                <c:pt idx="34">
                  <c:v>60</c:v>
                </c:pt>
                <c:pt idx="35">
                  <c:v>100</c:v>
                </c:pt>
                <c:pt idx="36">
                  <c:v>0</c:v>
                </c:pt>
                <c:pt idx="37">
                  <c:v>65</c:v>
                </c:pt>
                <c:pt idx="38">
                  <c:v>36</c:v>
                </c:pt>
                <c:pt idx="39">
                  <c:v>116.28</c:v>
                </c:pt>
                <c:pt idx="40">
                  <c:v>64</c:v>
                </c:pt>
                <c:pt idx="41">
                  <c:v>0</c:v>
                </c:pt>
                <c:pt idx="42">
                  <c:v>80</c:v>
                </c:pt>
                <c:pt idx="43">
                  <c:v>38.89</c:v>
                </c:pt>
                <c:pt idx="44">
                  <c:v>112</c:v>
                </c:pt>
                <c:pt idx="45">
                  <c:v>53.44</c:v>
                </c:pt>
                <c:pt idx="46">
                  <c:v>75</c:v>
                </c:pt>
                <c:pt idx="47">
                  <c:v>0</c:v>
                </c:pt>
                <c:pt idx="48">
                  <c:v>0</c:v>
                </c:pt>
                <c:pt idx="49">
                  <c:v>99.248000000000005</c:v>
                </c:pt>
                <c:pt idx="50">
                  <c:v>87.67</c:v>
                </c:pt>
                <c:pt idx="51">
                  <c:v>100.87</c:v>
                </c:pt>
                <c:pt idx="52">
                  <c:v>0</c:v>
                </c:pt>
                <c:pt idx="53">
                  <c:v>73.48</c:v>
                </c:pt>
                <c:pt idx="54">
                  <c:v>33.53</c:v>
                </c:pt>
                <c:pt idx="55">
                  <c:v>120.8</c:v>
                </c:pt>
                <c:pt idx="56">
                  <c:v>0</c:v>
                </c:pt>
                <c:pt idx="57">
                  <c:v>73.66</c:v>
                </c:pt>
                <c:pt idx="58">
                  <c:v>68.2</c:v>
                </c:pt>
                <c:pt idx="59">
                  <c:v>30.95</c:v>
                </c:pt>
                <c:pt idx="60" formatCode="0.00">
                  <c:v>110.29538461538462</c:v>
                </c:pt>
                <c:pt idx="61">
                  <c:v>95.23</c:v>
                </c:pt>
                <c:pt idx="62">
                  <c:v>0</c:v>
                </c:pt>
                <c:pt idx="63">
                  <c:v>64.900000000000006</c:v>
                </c:pt>
                <c:pt idx="64">
                  <c:v>36.5</c:v>
                </c:pt>
                <c:pt idx="65">
                  <c:v>108</c:v>
                </c:pt>
                <c:pt idx="66">
                  <c:v>68.400000000000006</c:v>
                </c:pt>
                <c:pt idx="67">
                  <c:v>89.5</c:v>
                </c:pt>
                <c:pt idx="68">
                  <c:v>0</c:v>
                </c:pt>
                <c:pt idx="69">
                  <c:v>0</c:v>
                </c:pt>
                <c:pt idx="70">
                  <c:v>70</c:v>
                </c:pt>
                <c:pt idx="71">
                  <c:v>83</c:v>
                </c:pt>
                <c:pt idx="72">
                  <c:v>86.4</c:v>
                </c:pt>
                <c:pt idx="73">
                  <c:v>0</c:v>
                </c:pt>
                <c:pt idx="74">
                  <c:v>67.599999999999994</c:v>
                </c:pt>
                <c:pt idx="75">
                  <c:v>109.64</c:v>
                </c:pt>
                <c:pt idx="76">
                  <c:v>0</c:v>
                </c:pt>
                <c:pt idx="77">
                  <c:v>88</c:v>
                </c:pt>
                <c:pt idx="78">
                  <c:v>87.1</c:v>
                </c:pt>
                <c:pt idx="79">
                  <c:v>80.8</c:v>
                </c:pt>
                <c:pt idx="80">
                  <c:v>0</c:v>
                </c:pt>
                <c:pt idx="81">
                  <c:v>0</c:v>
                </c:pt>
                <c:pt idx="82">
                  <c:v>77.5</c:v>
                </c:pt>
                <c:pt idx="83">
                  <c:v>75.75</c:v>
                </c:pt>
              </c:numCache>
            </c:numRef>
          </c:val>
          <c:extLst>
            <c:ext xmlns:c16="http://schemas.microsoft.com/office/drawing/2014/chart" uri="{C3380CC4-5D6E-409C-BE32-E72D297353CC}">
              <c16:uniqueId val="{00000000-82E7-4C1C-BE26-87DDE75897BA}"/>
            </c:ext>
          </c:extLst>
        </c:ser>
        <c:dLbls>
          <c:showLegendKey val="0"/>
          <c:showVal val="0"/>
          <c:showCatName val="0"/>
          <c:showSerName val="0"/>
          <c:showPercent val="0"/>
          <c:showBubbleSize val="0"/>
        </c:dLbls>
        <c:gapWidth val="219"/>
        <c:axId val="327502472"/>
        <c:axId val="327504112"/>
      </c:barChart>
      <c:lineChart>
        <c:grouping val="standard"/>
        <c:varyColors val="0"/>
        <c:ser>
          <c:idx val="1"/>
          <c:order val="1"/>
          <c:tx>
            <c:strRef>
              <c:f>'DAILY LOAD INPUT'!$K$3</c:f>
              <c:strCache>
                <c:ptCount val="1"/>
                <c:pt idx="0">
                  <c:v>FATIGUE</c:v>
                </c:pt>
              </c:strCache>
            </c:strRef>
          </c:tx>
          <c:spPr>
            <a:ln w="28575" cap="rnd">
              <a:solidFill>
                <a:srgbClr val="FF0000"/>
              </a:solidFill>
              <a:round/>
            </a:ln>
            <a:effectLst/>
          </c:spPr>
          <c:marker>
            <c:symbol val="none"/>
          </c:marker>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INPUT'!$K$4:$K$87</c:f>
              <c:numCache>
                <c:formatCode>0.0</c:formatCode>
                <c:ptCount val="84"/>
                <c:pt idx="0" formatCode="General">
                  <c:v>54</c:v>
                </c:pt>
                <c:pt idx="1">
                  <c:v>61.25</c:v>
                </c:pt>
                <c:pt idx="2">
                  <c:v>45.9375</c:v>
                </c:pt>
                <c:pt idx="3">
                  <c:v>61.203125</c:v>
                </c:pt>
                <c:pt idx="4">
                  <c:v>72.90234375</c:v>
                </c:pt>
                <c:pt idx="5">
                  <c:v>54.6767578125</c:v>
                </c:pt>
                <c:pt idx="6">
                  <c:v>41.007568359375</c:v>
                </c:pt>
                <c:pt idx="7">
                  <c:v>38.25567626953125</c:v>
                </c:pt>
                <c:pt idx="8">
                  <c:v>43.441757202148438</c:v>
                </c:pt>
                <c:pt idx="9">
                  <c:v>32.581317901611328</c:v>
                </c:pt>
                <c:pt idx="10">
                  <c:v>57.685988426208496</c:v>
                </c:pt>
                <c:pt idx="11">
                  <c:v>63.264491319656372</c:v>
                </c:pt>
                <c:pt idx="12">
                  <c:v>71.880868489742284</c:v>
                </c:pt>
                <c:pt idx="13">
                  <c:v>53.910651367306713</c:v>
                </c:pt>
                <c:pt idx="14">
                  <c:v>74.182988525480027</c:v>
                </c:pt>
                <c:pt idx="15">
                  <c:v>79.937241394110018</c:v>
                </c:pt>
                <c:pt idx="16">
                  <c:v>59.952931045582517</c:v>
                </c:pt>
                <c:pt idx="17">
                  <c:v>61.714698284186888</c:v>
                </c:pt>
                <c:pt idx="18">
                  <c:v>55.606023713140168</c:v>
                </c:pt>
                <c:pt idx="19">
                  <c:v>68.564517784855127</c:v>
                </c:pt>
                <c:pt idx="20">
                  <c:v>51.423388338641345</c:v>
                </c:pt>
                <c:pt idx="21">
                  <c:v>38.567541253981005</c:v>
                </c:pt>
                <c:pt idx="22">
                  <c:v>42.083155940485753</c:v>
                </c:pt>
                <c:pt idx="23">
                  <c:v>48.592366955364312</c:v>
                </c:pt>
                <c:pt idx="24">
                  <c:v>53.889275216523231</c:v>
                </c:pt>
                <c:pt idx="25">
                  <c:v>64.416956412392423</c:v>
                </c:pt>
                <c:pt idx="26">
                  <c:v>72.312717309294314</c:v>
                </c:pt>
                <c:pt idx="27">
                  <c:v>54.234537981970732</c:v>
                </c:pt>
                <c:pt idx="28">
                  <c:v>40.675903486478049</c:v>
                </c:pt>
                <c:pt idx="29">
                  <c:v>55.00692761485854</c:v>
                </c:pt>
                <c:pt idx="30">
                  <c:v>62.167695711143907</c:v>
                </c:pt>
                <c:pt idx="31">
                  <c:v>46.625771783357933</c:v>
                </c:pt>
                <c:pt idx="32">
                  <c:v>47.469328837518447</c:v>
                </c:pt>
                <c:pt idx="33">
                  <c:v>50.601996628138835</c:v>
                </c:pt>
                <c:pt idx="34">
                  <c:v>52.951497471104126</c:v>
                </c:pt>
                <c:pt idx="35">
                  <c:v>64.713623103328089</c:v>
                </c:pt>
                <c:pt idx="36">
                  <c:v>48.535217327496071</c:v>
                </c:pt>
                <c:pt idx="37">
                  <c:v>52.651412995622053</c:v>
                </c:pt>
                <c:pt idx="38">
                  <c:v>48.48855974671654</c:v>
                </c:pt>
                <c:pt idx="39">
                  <c:v>65.436419810037407</c:v>
                </c:pt>
                <c:pt idx="40">
                  <c:v>65.077314857528052</c:v>
                </c:pt>
                <c:pt idx="41">
                  <c:v>48.807986143146039</c:v>
                </c:pt>
                <c:pt idx="42">
                  <c:v>56.605989607359533</c:v>
                </c:pt>
                <c:pt idx="43">
                  <c:v>52.176992205519653</c:v>
                </c:pt>
                <c:pt idx="44">
                  <c:v>67.132744154139743</c:v>
                </c:pt>
                <c:pt idx="45">
                  <c:v>63.709558115604807</c:v>
                </c:pt>
                <c:pt idx="46">
                  <c:v>66.532168586703605</c:v>
                </c:pt>
                <c:pt idx="47">
                  <c:v>49.8991264400277</c:v>
                </c:pt>
                <c:pt idx="48">
                  <c:v>37.424344830020772</c:v>
                </c:pt>
                <c:pt idx="49">
                  <c:v>52.880258622515584</c:v>
                </c:pt>
                <c:pt idx="50">
                  <c:v>61.577693966886685</c:v>
                </c:pt>
                <c:pt idx="51">
                  <c:v>71.400770475165018</c:v>
                </c:pt>
                <c:pt idx="52">
                  <c:v>53.550577856373764</c:v>
                </c:pt>
                <c:pt idx="53">
                  <c:v>58.532933392280327</c:v>
                </c:pt>
                <c:pt idx="54">
                  <c:v>52.282200044210242</c:v>
                </c:pt>
                <c:pt idx="55">
                  <c:v>69.411650033157684</c:v>
                </c:pt>
                <c:pt idx="56">
                  <c:v>52.058737524868263</c:v>
                </c:pt>
                <c:pt idx="57">
                  <c:v>57.459053143651197</c:v>
                </c:pt>
                <c:pt idx="58">
                  <c:v>60.1442898577384</c:v>
                </c:pt>
                <c:pt idx="59">
                  <c:v>52.845717393303801</c:v>
                </c:pt>
                <c:pt idx="60">
                  <c:v>67.208134198824013</c:v>
                </c:pt>
                <c:pt idx="61">
                  <c:v>74.213600649118007</c:v>
                </c:pt>
                <c:pt idx="62">
                  <c:v>55.660200486838505</c:v>
                </c:pt>
                <c:pt idx="63">
                  <c:v>57.97015036512888</c:v>
                </c:pt>
                <c:pt idx="64">
                  <c:v>52.602612773846658</c:v>
                </c:pt>
                <c:pt idx="65">
                  <c:v>66.451959580384994</c:v>
                </c:pt>
                <c:pt idx="66">
                  <c:v>66.938969685288754</c:v>
                </c:pt>
                <c:pt idx="67">
                  <c:v>72.579227263966573</c:v>
                </c:pt>
                <c:pt idx="68">
                  <c:v>54.434420447974929</c:v>
                </c:pt>
                <c:pt idx="69">
                  <c:v>40.825815335981197</c:v>
                </c:pt>
                <c:pt idx="70">
                  <c:v>48.1193615019859</c:v>
                </c:pt>
                <c:pt idx="71">
                  <c:v>56.839521126489423</c:v>
                </c:pt>
                <c:pt idx="72">
                  <c:v>64.229640844867063</c:v>
                </c:pt>
                <c:pt idx="73">
                  <c:v>48.172230633650301</c:v>
                </c:pt>
                <c:pt idx="74">
                  <c:v>53.029172975237728</c:v>
                </c:pt>
                <c:pt idx="75">
                  <c:v>67.181879731428296</c:v>
                </c:pt>
                <c:pt idx="76">
                  <c:v>50.386409798571222</c:v>
                </c:pt>
                <c:pt idx="77">
                  <c:v>59.78980734892842</c:v>
                </c:pt>
                <c:pt idx="78">
                  <c:v>66.617355511696317</c:v>
                </c:pt>
                <c:pt idx="79">
                  <c:v>70.16301663377223</c:v>
                </c:pt>
                <c:pt idx="80">
                  <c:v>52.622262475329173</c:v>
                </c:pt>
                <c:pt idx="81">
                  <c:v>39.466696856496881</c:v>
                </c:pt>
                <c:pt idx="82">
                  <c:v>48.975022642372664</c:v>
                </c:pt>
                <c:pt idx="83">
                  <c:v>55.668766981779498</c:v>
                </c:pt>
              </c:numCache>
            </c:numRef>
          </c:val>
          <c:smooth val="0"/>
          <c:extLst>
            <c:ext xmlns:c16="http://schemas.microsoft.com/office/drawing/2014/chart" uri="{C3380CC4-5D6E-409C-BE32-E72D297353CC}">
              <c16:uniqueId val="{00000001-82E7-4C1C-BE26-87DDE75897BA}"/>
            </c:ext>
          </c:extLst>
        </c:ser>
        <c:ser>
          <c:idx val="2"/>
          <c:order val="2"/>
          <c:tx>
            <c:strRef>
              <c:f>'DAILY LOAD INPUT'!$L$3</c:f>
              <c:strCache>
                <c:ptCount val="1"/>
                <c:pt idx="0">
                  <c:v>FITNESS</c:v>
                </c:pt>
              </c:strCache>
            </c:strRef>
          </c:tx>
          <c:spPr>
            <a:ln w="28575" cap="rnd">
              <a:solidFill>
                <a:srgbClr val="0070C0"/>
              </a:solidFill>
              <a:round/>
            </a:ln>
            <a:effectLst/>
          </c:spPr>
          <c:marker>
            <c:symbol val="none"/>
          </c:marker>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INPUT'!$L$4:$L$87</c:f>
              <c:numCache>
                <c:formatCode>0.0</c:formatCode>
                <c:ptCount val="84"/>
                <c:pt idx="0" formatCode="General">
                  <c:v>54</c:v>
                </c:pt>
                <c:pt idx="1">
                  <c:v>56</c:v>
                </c:pt>
                <c:pt idx="2">
                  <c:v>52.137931034482762</c:v>
                </c:pt>
                <c:pt idx="3">
                  <c:v>55.92152199762188</c:v>
                </c:pt>
                <c:pt idx="4">
                  <c:v>59.513141170199681</c:v>
                </c:pt>
                <c:pt idx="5">
                  <c:v>55.408786606737635</c:v>
                </c:pt>
                <c:pt idx="6">
                  <c:v>51.587490978686766</c:v>
                </c:pt>
                <c:pt idx="7">
                  <c:v>50.098698497398026</c:v>
                </c:pt>
                <c:pt idx="8">
                  <c:v>50.712581359646435</c:v>
                </c:pt>
                <c:pt idx="9">
                  <c:v>47.215161955532885</c:v>
                </c:pt>
                <c:pt idx="10">
                  <c:v>53.131357682737516</c:v>
                </c:pt>
                <c:pt idx="11">
                  <c:v>54.984367497721138</c:v>
                </c:pt>
                <c:pt idx="12">
                  <c:v>57.932342153050712</c:v>
                </c:pt>
                <c:pt idx="13">
                  <c:v>53.937008211461006</c:v>
                </c:pt>
                <c:pt idx="14">
                  <c:v>59.527559369291282</c:v>
                </c:pt>
                <c:pt idx="15">
                  <c:v>62.125658723133263</c:v>
                </c:pt>
                <c:pt idx="16">
                  <c:v>57.841130535330969</c:v>
                </c:pt>
                <c:pt idx="17">
                  <c:v>58.472776705308142</c:v>
                </c:pt>
                <c:pt idx="18">
                  <c:v>57.01120589804551</c:v>
                </c:pt>
                <c:pt idx="19">
                  <c:v>60.489053767145819</c:v>
                </c:pt>
                <c:pt idx="20">
                  <c:v>56.317394886653005</c:v>
                </c:pt>
                <c:pt idx="21">
                  <c:v>52.433436618607971</c:v>
                </c:pt>
                <c:pt idx="22">
                  <c:v>52.446992713876384</c:v>
                </c:pt>
                <c:pt idx="23">
                  <c:v>53.527889768091804</c:v>
                </c:pt>
                <c:pt idx="24">
                  <c:v>54.648724956499265</c:v>
                </c:pt>
                <c:pt idx="25">
                  <c:v>57.500537028464834</c:v>
                </c:pt>
                <c:pt idx="26">
                  <c:v>60.155672405812084</c:v>
                </c:pt>
                <c:pt idx="27">
                  <c:v>56.007005343342286</c:v>
                </c:pt>
                <c:pt idx="28">
                  <c:v>52.144453250697993</c:v>
                </c:pt>
                <c:pt idx="29">
                  <c:v>55.306904750649856</c:v>
                </c:pt>
                <c:pt idx="30">
                  <c:v>57.261600974742969</c:v>
                </c:pt>
                <c:pt idx="31">
                  <c:v>53.31252504545035</c:v>
                </c:pt>
                <c:pt idx="32">
                  <c:v>53.084075042315845</c:v>
                </c:pt>
                <c:pt idx="33">
                  <c:v>53.5610353842251</c:v>
                </c:pt>
                <c:pt idx="34">
                  <c:v>54.005101909450957</c:v>
                </c:pt>
                <c:pt idx="35">
                  <c:v>57.177163846730203</c:v>
                </c:pt>
                <c:pt idx="36">
                  <c:v>53.23391116764536</c:v>
                </c:pt>
                <c:pt idx="37">
                  <c:v>54.045365569876715</c:v>
                </c:pt>
                <c:pt idx="38">
                  <c:v>52.800857599540393</c:v>
                </c:pt>
                <c:pt idx="39">
                  <c:v>57.178729489227266</c:v>
                </c:pt>
                <c:pt idx="40">
                  <c:v>57.649161938246074</c:v>
                </c:pt>
                <c:pt idx="41">
                  <c:v>53.6733576666429</c:v>
                </c:pt>
                <c:pt idx="42">
                  <c:v>55.488988172391664</c:v>
                </c:pt>
                <c:pt idx="43">
                  <c:v>54.344230367399135</c:v>
                </c:pt>
                <c:pt idx="44">
                  <c:v>58.320490342061262</c:v>
                </c:pt>
                <c:pt idx="45">
                  <c:v>57.98390480122945</c:v>
                </c:pt>
                <c:pt idx="46">
                  <c:v>59.157428608041215</c:v>
                </c:pt>
                <c:pt idx="47">
                  <c:v>55.07760594541768</c:v>
                </c:pt>
                <c:pt idx="48">
                  <c:v>51.279150362975081</c:v>
                </c:pt>
                <c:pt idx="49">
                  <c:v>54.587346889666456</c:v>
                </c:pt>
                <c:pt idx="50">
                  <c:v>56.868909173137737</c:v>
                </c:pt>
                <c:pt idx="51">
                  <c:v>59.903467161197206</c:v>
                </c:pt>
                <c:pt idx="52">
                  <c:v>55.772193563873259</c:v>
                </c:pt>
                <c:pt idx="53">
                  <c:v>56.993421593950963</c:v>
                </c:pt>
                <c:pt idx="54">
                  <c:v>55.375254587471588</c:v>
                </c:pt>
                <c:pt idx="55">
                  <c:v>59.887305995232168</c:v>
                </c:pt>
                <c:pt idx="56">
                  <c:v>55.757146961078227</c:v>
                </c:pt>
                <c:pt idx="57">
                  <c:v>56.991826481003869</c:v>
                </c:pt>
                <c:pt idx="58">
                  <c:v>57.764803965072566</c:v>
                </c:pt>
                <c:pt idx="59">
                  <c:v>55.915507139895148</c:v>
                </c:pt>
                <c:pt idx="60">
                  <c:v>59.665843517515114</c:v>
                </c:pt>
                <c:pt idx="61">
                  <c:v>62.11854396458304</c:v>
                </c:pt>
                <c:pt idx="62">
                  <c:v>57.834506449784207</c:v>
                </c:pt>
                <c:pt idx="63">
                  <c:v>58.321781867040471</c:v>
                </c:pt>
                <c:pt idx="64">
                  <c:v>56.816831393451473</c:v>
                </c:pt>
                <c:pt idx="65">
                  <c:v>60.346705090454819</c:v>
                </c:pt>
                <c:pt idx="66">
                  <c:v>60.902104739388967</c:v>
                </c:pt>
                <c:pt idx="67">
                  <c:v>62.8743733780518</c:v>
                </c:pt>
                <c:pt idx="68">
                  <c:v>58.538209696806845</c:v>
                </c:pt>
                <c:pt idx="69">
                  <c:v>54.501091786682238</c:v>
                </c:pt>
                <c:pt idx="70">
                  <c:v>55.56998200829036</c:v>
                </c:pt>
                <c:pt idx="71">
                  <c:v>57.461707387028959</c:v>
                </c:pt>
                <c:pt idx="72">
                  <c:v>59.457451705164893</c:v>
                </c:pt>
                <c:pt idx="73">
                  <c:v>55.356937794463867</c:v>
                </c:pt>
                <c:pt idx="74">
                  <c:v>56.201286912087049</c:v>
                </c:pt>
                <c:pt idx="75">
                  <c:v>59.886715400908635</c:v>
                </c:pt>
                <c:pt idx="76">
                  <c:v>55.756597097397695</c:v>
                </c:pt>
                <c:pt idx="77">
                  <c:v>57.980280056197856</c:v>
                </c:pt>
                <c:pt idx="78">
                  <c:v>59.988536604046281</c:v>
                </c:pt>
                <c:pt idx="79">
                  <c:v>61.423809941698259</c:v>
                </c:pt>
                <c:pt idx="80">
                  <c:v>57.187685118132862</c:v>
                </c:pt>
                <c:pt idx="81">
                  <c:v>53.243706834123699</c:v>
                </c:pt>
                <c:pt idx="82">
                  <c:v>54.916554638666895</c:v>
                </c:pt>
                <c:pt idx="83">
                  <c:v>56.353343973931246</c:v>
                </c:pt>
              </c:numCache>
            </c:numRef>
          </c:val>
          <c:smooth val="0"/>
          <c:extLst>
            <c:ext xmlns:c16="http://schemas.microsoft.com/office/drawing/2014/chart" uri="{C3380CC4-5D6E-409C-BE32-E72D297353CC}">
              <c16:uniqueId val="{00000002-82E7-4C1C-BE26-87DDE75897BA}"/>
            </c:ext>
          </c:extLst>
        </c:ser>
        <c:dLbls>
          <c:showLegendKey val="0"/>
          <c:showVal val="0"/>
          <c:showCatName val="0"/>
          <c:showSerName val="0"/>
          <c:showPercent val="0"/>
          <c:showBubbleSize val="0"/>
        </c:dLbls>
        <c:marker val="1"/>
        <c:smooth val="0"/>
        <c:axId val="327502472"/>
        <c:axId val="327504112"/>
      </c:lineChart>
      <c:catAx>
        <c:axId val="327502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327504112"/>
        <c:crosses val="autoZero"/>
        <c:auto val="1"/>
        <c:lblAlgn val="ctr"/>
        <c:lblOffset val="100"/>
        <c:noMultiLvlLbl val="0"/>
      </c:catAx>
      <c:valAx>
        <c:axId val="327504112"/>
        <c:scaling>
          <c:orientation val="minMax"/>
          <c:max val="16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2750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solidFill>
                  <a:schemeClr val="bg1"/>
                </a:solidFill>
              </a:rPr>
              <a:t>ACUTE : CHRONIC WORK RATIO</a:t>
            </a:r>
          </a:p>
        </c:rich>
      </c:tx>
      <c:layout>
        <c:manualLayout>
          <c:xMode val="edge"/>
          <c:yMode val="edge"/>
          <c:x val="0.41039259538617989"/>
          <c:y val="6.7401447235635126E-2"/>
        </c:manualLayout>
      </c:layout>
      <c:overlay val="0"/>
      <c:spPr>
        <a:noFill/>
        <a:ln>
          <a:solidFill>
            <a:schemeClr val="tx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3"/>
          <c:tx>
            <c:strRef>
              <c:f>'DAILY LOAD INPUT'!$M$3</c:f>
              <c:strCache>
                <c:ptCount val="1"/>
                <c:pt idx="0">
                  <c:v>ACWR</c:v>
                </c:pt>
              </c:strCache>
            </c:strRef>
          </c:tx>
          <c:spPr>
            <a:ln w="28575" cap="rnd">
              <a:solidFill>
                <a:schemeClr val="bg1"/>
              </a:solidFill>
              <a:round/>
            </a:ln>
            <a:effectLst/>
          </c:spPr>
          <c:marker>
            <c:symbol val="none"/>
          </c:marker>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INPUT'!$M$4:$M$87</c:f>
              <c:numCache>
                <c:formatCode>0.0</c:formatCode>
                <c:ptCount val="84"/>
                <c:pt idx="0" formatCode="General">
                  <c:v>1</c:v>
                </c:pt>
                <c:pt idx="1">
                  <c:v>1.09375</c:v>
                </c:pt>
                <c:pt idx="2">
                  <c:v>0.88107638888888884</c:v>
                </c:pt>
                <c:pt idx="3">
                  <c:v>1.0944466962577077</c:v>
                </c:pt>
                <c:pt idx="4">
                  <c:v>1.2249789259402217</c:v>
                </c:pt>
                <c:pt idx="5">
                  <c:v>0.98678857922962304</c:v>
                </c:pt>
                <c:pt idx="6">
                  <c:v>0.79491302215719639</c:v>
                </c:pt>
                <c:pt idx="7">
                  <c:v>0.76360618972004102</c:v>
                </c:pt>
                <c:pt idx="8">
                  <c:v>0.85662681798951734</c:v>
                </c:pt>
                <c:pt idx="9">
                  <c:v>0.69006049226933353</c:v>
                </c:pt>
                <c:pt idx="10">
                  <c:v>1.0857239668270473</c:v>
                </c:pt>
                <c:pt idx="11">
                  <c:v>1.1505905077889349</c:v>
                </c:pt>
                <c:pt idx="12">
                  <c:v>1.240772698259655</c:v>
                </c:pt>
                <c:pt idx="13">
                  <c:v>0.9995113402647221</c:v>
                </c:pt>
                <c:pt idx="14">
                  <c:v>1.2461957001339634</c:v>
                </c:pt>
                <c:pt idx="15">
                  <c:v>1.2867025161110186</c:v>
                </c:pt>
                <c:pt idx="16">
                  <c:v>1.0365103602005428</c:v>
                </c:pt>
                <c:pt idx="17">
                  <c:v>1.0554432637125721</c:v>
                </c:pt>
                <c:pt idx="18">
                  <c:v>0.97535252652928861</c:v>
                </c:pt>
                <c:pt idx="19">
                  <c:v>1.1335028987028961</c:v>
                </c:pt>
                <c:pt idx="20">
                  <c:v>0.91309955728844416</c:v>
                </c:pt>
                <c:pt idx="21">
                  <c:v>0.7355524211490243</c:v>
                </c:pt>
                <c:pt idx="22">
                  <c:v>0.80239406995305995</c:v>
                </c:pt>
                <c:pt idx="23">
                  <c:v>0.9077953038292651</c:v>
                </c:pt>
                <c:pt idx="24">
                  <c:v>0.98610306570591422</c:v>
                </c:pt>
                <c:pt idx="25">
                  <c:v>1.1202844310915516</c:v>
                </c:pt>
                <c:pt idx="26">
                  <c:v>1.2020930764678419</c:v>
                </c:pt>
                <c:pt idx="27">
                  <c:v>0.96835275604353921</c:v>
                </c:pt>
                <c:pt idx="28">
                  <c:v>0.78006194236840654</c:v>
                </c:pt>
                <c:pt idx="29">
                  <c:v>0.99457613588857019</c:v>
                </c:pt>
                <c:pt idx="30">
                  <c:v>1.0856786162609202</c:v>
                </c:pt>
                <c:pt idx="31">
                  <c:v>0.87457444087685243</c:v>
                </c:pt>
                <c:pt idx="32">
                  <c:v>0.89422917889552345</c:v>
                </c:pt>
                <c:pt idx="33">
                  <c:v>0.94475389180102054</c:v>
                </c:pt>
                <c:pt idx="34">
                  <c:v>0.98049064993686363</c:v>
                </c:pt>
                <c:pt idx="35">
                  <c:v>1.1318089032327698</c:v>
                </c:pt>
                <c:pt idx="36">
                  <c:v>0.91173494982639802</c:v>
                </c:pt>
                <c:pt idx="37">
                  <c:v>0.97420773160554563</c:v>
                </c:pt>
                <c:pt idx="38">
                  <c:v>0.91832901871538186</c:v>
                </c:pt>
                <c:pt idx="39">
                  <c:v>1.1444189193179943</c:v>
                </c:pt>
                <c:pt idx="40">
                  <c:v>1.1288510130856548</c:v>
                </c:pt>
                <c:pt idx="41">
                  <c:v>0.90935220498566627</c:v>
                </c:pt>
                <c:pt idx="42">
                  <c:v>1.0201301460300123</c:v>
                </c:pt>
                <c:pt idx="43">
                  <c:v>0.96012017932303628</c:v>
                </c:pt>
                <c:pt idx="44">
                  <c:v>1.1511004753285314</c:v>
                </c:pt>
                <c:pt idx="45">
                  <c:v>1.0987455628247713</c:v>
                </c:pt>
                <c:pt idx="46">
                  <c:v>1.1246629569977615</c:v>
                </c:pt>
                <c:pt idx="47">
                  <c:v>0.90597849313708567</c:v>
                </c:pt>
                <c:pt idx="48">
                  <c:v>0.72981600836043004</c:v>
                </c:pt>
                <c:pt idx="49">
                  <c:v>0.96872739994853951</c:v>
                </c:pt>
                <c:pt idx="50">
                  <c:v>1.0828006877960861</c:v>
                </c:pt>
                <c:pt idx="51">
                  <c:v>1.1919305151908679</c:v>
                </c:pt>
                <c:pt idx="52">
                  <c:v>0.96016624834819908</c:v>
                </c:pt>
                <c:pt idx="53">
                  <c:v>1.0270120964011882</c:v>
                </c:pt>
                <c:pt idx="54">
                  <c:v>0.94414374134613666</c:v>
                </c:pt>
                <c:pt idx="55">
                  <c:v>1.1590377773661047</c:v>
                </c:pt>
                <c:pt idx="56">
                  <c:v>0.9336693206560287</c:v>
                </c:pt>
                <c:pt idx="57">
                  <c:v>1.0081981345658937</c:v>
                </c:pt>
                <c:pt idx="58">
                  <c:v>1.0411926593588821</c:v>
                </c:pt>
                <c:pt idx="59">
                  <c:v>0.94509949200834342</c:v>
                </c:pt>
                <c:pt idx="60">
                  <c:v>1.1264088503013425</c:v>
                </c:pt>
                <c:pt idx="61">
                  <c:v>1.1947092754046356</c:v>
                </c:pt>
                <c:pt idx="62">
                  <c:v>0.96240469407595652</c:v>
                </c:pt>
                <c:pt idx="63">
                  <c:v>0.99397083747006865</c:v>
                </c:pt>
                <c:pt idx="64">
                  <c:v>0.92582798941352906</c:v>
                </c:pt>
                <c:pt idx="65">
                  <c:v>1.1011696410065619</c:v>
                </c:pt>
                <c:pt idx="66">
                  <c:v>1.0991240774310282</c:v>
                </c:pt>
                <c:pt idx="67">
                  <c:v>1.1543530911642064</c:v>
                </c:pt>
                <c:pt idx="68">
                  <c:v>0.92989554566005506</c:v>
                </c:pt>
                <c:pt idx="69">
                  <c:v>0.74908252289282207</c:v>
                </c:pt>
                <c:pt idx="70">
                  <c:v>0.86592364731748661</c:v>
                </c:pt>
                <c:pt idx="71">
                  <c:v>0.98917215848897688</c:v>
                </c:pt>
                <c:pt idx="72">
                  <c:v>1.0802622548199055</c:v>
                </c:pt>
                <c:pt idx="73">
                  <c:v>0.87021126082714617</c:v>
                </c:pt>
                <c:pt idx="74">
                  <c:v>0.94355798396909829</c:v>
                </c:pt>
                <c:pt idx="75">
                  <c:v>1.1218160702533533</c:v>
                </c:pt>
                <c:pt idx="76">
                  <c:v>0.90368516770409013</c:v>
                </c:pt>
                <c:pt idx="77">
                  <c:v>1.0312093575777259</c:v>
                </c:pt>
                <c:pt idx="78">
                  <c:v>1.1105014271543827</c:v>
                </c:pt>
                <c:pt idx="79">
                  <c:v>1.1422771837235264</c:v>
                </c:pt>
                <c:pt idx="80">
                  <c:v>0.92016773133284069</c:v>
                </c:pt>
                <c:pt idx="81">
                  <c:v>0.74124622801812168</c:v>
                </c:pt>
                <c:pt idx="82">
                  <c:v>0.89180799787263454</c:v>
                </c:pt>
                <c:pt idx="83">
                  <c:v>0.98785206087382449</c:v>
                </c:pt>
              </c:numCache>
            </c:numRef>
          </c:val>
          <c:smooth val="0"/>
          <c:extLst>
            <c:ext xmlns:c16="http://schemas.microsoft.com/office/drawing/2014/chart" uri="{C3380CC4-5D6E-409C-BE32-E72D297353CC}">
              <c16:uniqueId val="{00000000-7563-4C80-BE43-D2BE992C027B}"/>
            </c:ext>
          </c:extLst>
        </c:ser>
        <c:ser>
          <c:idx val="4"/>
          <c:order val="4"/>
          <c:tx>
            <c:strRef>
              <c:f>'DAILY LOAD INPUT'!$N$3</c:f>
              <c:strCache>
                <c:ptCount val="1"/>
                <c:pt idx="0">
                  <c:v>LOWER</c:v>
                </c:pt>
              </c:strCache>
            </c:strRef>
          </c:tx>
          <c:spPr>
            <a:ln w="28575" cap="rnd">
              <a:solidFill>
                <a:srgbClr val="00B050"/>
              </a:solidFill>
              <a:prstDash val="dash"/>
              <a:round/>
            </a:ln>
            <a:effectLst/>
          </c:spPr>
          <c:marker>
            <c:symbol val="none"/>
          </c:marker>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INPUT'!$N$4:$N$87</c:f>
              <c:numCache>
                <c:formatCode>General</c:formatCode>
                <c:ptCount val="84"/>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pt idx="41">
                  <c:v>0.8</c:v>
                </c:pt>
                <c:pt idx="42">
                  <c:v>0.8</c:v>
                </c:pt>
                <c:pt idx="43">
                  <c:v>0.8</c:v>
                </c:pt>
                <c:pt idx="44">
                  <c:v>0.8</c:v>
                </c:pt>
                <c:pt idx="45">
                  <c:v>0.8</c:v>
                </c:pt>
                <c:pt idx="46">
                  <c:v>0.8</c:v>
                </c:pt>
                <c:pt idx="47">
                  <c:v>0.8</c:v>
                </c:pt>
                <c:pt idx="48">
                  <c:v>0.8</c:v>
                </c:pt>
                <c:pt idx="49">
                  <c:v>0.8</c:v>
                </c:pt>
                <c:pt idx="50">
                  <c:v>0.8</c:v>
                </c:pt>
                <c:pt idx="51">
                  <c:v>0.8</c:v>
                </c:pt>
                <c:pt idx="52">
                  <c:v>0.8</c:v>
                </c:pt>
                <c:pt idx="53">
                  <c:v>0.8</c:v>
                </c:pt>
                <c:pt idx="54">
                  <c:v>0.8</c:v>
                </c:pt>
                <c:pt idx="55">
                  <c:v>0.8</c:v>
                </c:pt>
                <c:pt idx="56">
                  <c:v>0.8</c:v>
                </c:pt>
                <c:pt idx="57">
                  <c:v>0.8</c:v>
                </c:pt>
                <c:pt idx="58">
                  <c:v>0.8</c:v>
                </c:pt>
                <c:pt idx="59">
                  <c:v>0.8</c:v>
                </c:pt>
                <c:pt idx="60">
                  <c:v>0.8</c:v>
                </c:pt>
                <c:pt idx="61">
                  <c:v>0.8</c:v>
                </c:pt>
                <c:pt idx="62">
                  <c:v>0.8</c:v>
                </c:pt>
                <c:pt idx="63">
                  <c:v>0.8</c:v>
                </c:pt>
                <c:pt idx="64">
                  <c:v>0.8</c:v>
                </c:pt>
                <c:pt idx="65">
                  <c:v>0.8</c:v>
                </c:pt>
                <c:pt idx="66">
                  <c:v>0.8</c:v>
                </c:pt>
                <c:pt idx="67">
                  <c:v>0.8</c:v>
                </c:pt>
                <c:pt idx="68">
                  <c:v>0.8</c:v>
                </c:pt>
                <c:pt idx="69">
                  <c:v>0.8</c:v>
                </c:pt>
                <c:pt idx="70">
                  <c:v>0.8</c:v>
                </c:pt>
                <c:pt idx="71">
                  <c:v>0.8</c:v>
                </c:pt>
                <c:pt idx="72">
                  <c:v>0.8</c:v>
                </c:pt>
                <c:pt idx="73">
                  <c:v>0.8</c:v>
                </c:pt>
                <c:pt idx="74">
                  <c:v>0.8</c:v>
                </c:pt>
                <c:pt idx="75">
                  <c:v>0.8</c:v>
                </c:pt>
                <c:pt idx="76">
                  <c:v>0.8</c:v>
                </c:pt>
                <c:pt idx="77">
                  <c:v>0.8</c:v>
                </c:pt>
                <c:pt idx="78">
                  <c:v>0.8</c:v>
                </c:pt>
                <c:pt idx="79">
                  <c:v>0.8</c:v>
                </c:pt>
                <c:pt idx="80">
                  <c:v>0.8</c:v>
                </c:pt>
                <c:pt idx="81">
                  <c:v>0.8</c:v>
                </c:pt>
                <c:pt idx="82">
                  <c:v>0.8</c:v>
                </c:pt>
                <c:pt idx="83">
                  <c:v>0.8</c:v>
                </c:pt>
              </c:numCache>
            </c:numRef>
          </c:val>
          <c:smooth val="0"/>
          <c:extLst>
            <c:ext xmlns:c16="http://schemas.microsoft.com/office/drawing/2014/chart" uri="{C3380CC4-5D6E-409C-BE32-E72D297353CC}">
              <c16:uniqueId val="{00000001-7563-4C80-BE43-D2BE992C027B}"/>
            </c:ext>
          </c:extLst>
        </c:ser>
        <c:ser>
          <c:idx val="5"/>
          <c:order val="5"/>
          <c:tx>
            <c:strRef>
              <c:f>'DAILY LOAD INPUT'!$O$3</c:f>
              <c:strCache>
                <c:ptCount val="1"/>
                <c:pt idx="0">
                  <c:v>UPPER</c:v>
                </c:pt>
              </c:strCache>
            </c:strRef>
          </c:tx>
          <c:spPr>
            <a:ln w="28575" cap="rnd">
              <a:solidFill>
                <a:schemeClr val="accent2"/>
              </a:solidFill>
              <a:prstDash val="dash"/>
              <a:round/>
            </a:ln>
            <a:effectLst/>
          </c:spPr>
          <c:marker>
            <c:symbol val="none"/>
          </c:marker>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INPUT'!$O$4:$O$87</c:f>
              <c:numCache>
                <c:formatCode>General</c:formatCode>
                <c:ptCount val="84"/>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pt idx="41">
                  <c:v>1.3</c:v>
                </c:pt>
                <c:pt idx="42">
                  <c:v>1.3</c:v>
                </c:pt>
                <c:pt idx="43">
                  <c:v>1.3</c:v>
                </c:pt>
                <c:pt idx="44">
                  <c:v>1.3</c:v>
                </c:pt>
                <c:pt idx="45">
                  <c:v>1.3</c:v>
                </c:pt>
                <c:pt idx="46">
                  <c:v>1.3</c:v>
                </c:pt>
                <c:pt idx="47">
                  <c:v>1.3</c:v>
                </c:pt>
                <c:pt idx="48">
                  <c:v>1.3</c:v>
                </c:pt>
                <c:pt idx="49">
                  <c:v>1.3</c:v>
                </c:pt>
                <c:pt idx="50">
                  <c:v>1.3</c:v>
                </c:pt>
                <c:pt idx="51">
                  <c:v>1.3</c:v>
                </c:pt>
                <c:pt idx="52">
                  <c:v>1.3</c:v>
                </c:pt>
                <c:pt idx="53">
                  <c:v>1.3</c:v>
                </c:pt>
                <c:pt idx="54">
                  <c:v>1.3</c:v>
                </c:pt>
                <c:pt idx="55">
                  <c:v>1.3</c:v>
                </c:pt>
                <c:pt idx="56">
                  <c:v>1.3</c:v>
                </c:pt>
                <c:pt idx="57">
                  <c:v>1.3</c:v>
                </c:pt>
                <c:pt idx="58">
                  <c:v>1.3</c:v>
                </c:pt>
                <c:pt idx="59">
                  <c:v>1.3</c:v>
                </c:pt>
                <c:pt idx="60">
                  <c:v>1.3</c:v>
                </c:pt>
                <c:pt idx="61">
                  <c:v>1.3</c:v>
                </c:pt>
                <c:pt idx="62">
                  <c:v>1.3</c:v>
                </c:pt>
                <c:pt idx="63">
                  <c:v>1.3</c:v>
                </c:pt>
                <c:pt idx="64">
                  <c:v>1.3</c:v>
                </c:pt>
                <c:pt idx="65">
                  <c:v>1.3</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numCache>
            </c:numRef>
          </c:val>
          <c:smooth val="0"/>
          <c:extLst>
            <c:ext xmlns:c16="http://schemas.microsoft.com/office/drawing/2014/chart" uri="{C3380CC4-5D6E-409C-BE32-E72D297353CC}">
              <c16:uniqueId val="{00000002-7563-4C80-BE43-D2BE992C027B}"/>
            </c:ext>
          </c:extLst>
        </c:ser>
        <c:ser>
          <c:idx val="6"/>
          <c:order val="6"/>
          <c:tx>
            <c:strRef>
              <c:f>'DAILY LOAD INPUT'!$P$3</c:f>
              <c:strCache>
                <c:ptCount val="1"/>
                <c:pt idx="0">
                  <c:v>INCREASED INJURY RISK </c:v>
                </c:pt>
              </c:strCache>
            </c:strRef>
          </c:tx>
          <c:spPr>
            <a:ln w="28575" cap="rnd">
              <a:solidFill>
                <a:srgbClr val="FF0000"/>
              </a:solidFill>
              <a:prstDash val="dash"/>
              <a:round/>
            </a:ln>
            <a:effectLst/>
          </c:spPr>
          <c:marker>
            <c:symbol val="none"/>
          </c:marker>
          <c:cat>
            <c:strRef>
              <c:f>'DAILY LOAD INPUT'!$C$4:$C$87</c:f>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f>'DAILY LOAD INPUT'!$P$4:$P$87</c:f>
              <c:numCache>
                <c:formatCode>General</c:formatCode>
                <c:ptCount val="8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numCache>
            </c:numRef>
          </c:val>
          <c:smooth val="0"/>
          <c:extLst>
            <c:ext xmlns:c16="http://schemas.microsoft.com/office/drawing/2014/chart" uri="{C3380CC4-5D6E-409C-BE32-E72D297353CC}">
              <c16:uniqueId val="{00000003-7563-4C80-BE43-D2BE992C027B}"/>
            </c:ext>
          </c:extLst>
        </c:ser>
        <c:dLbls>
          <c:showLegendKey val="0"/>
          <c:showVal val="0"/>
          <c:showCatName val="0"/>
          <c:showSerName val="0"/>
          <c:showPercent val="0"/>
          <c:showBubbleSize val="0"/>
        </c:dLbls>
        <c:smooth val="0"/>
        <c:axId val="435692464"/>
        <c:axId val="435691152"/>
        <c:extLst>
          <c:ext xmlns:c15="http://schemas.microsoft.com/office/drawing/2012/chart" uri="{02D57815-91ED-43cb-92C2-25804820EDAC}">
            <c15:filteredLineSeries>
              <c15:ser>
                <c:idx val="0"/>
                <c:order val="0"/>
                <c:tx>
                  <c:strRef>
                    <c:extLst>
                      <c:ext uri="{02D57815-91ED-43cb-92C2-25804820EDAC}">
                        <c15:formulaRef>
                          <c15:sqref>'DAILY LOAD INPUT'!$D$3</c15:sqref>
                        </c15:formulaRef>
                      </c:ext>
                    </c:extLst>
                    <c:strCache>
                      <c:ptCount val="1"/>
                      <c:pt idx="0">
                        <c:v>EXERCISE LOAD</c:v>
                      </c:pt>
                    </c:strCache>
                  </c:strRef>
                </c:tx>
                <c:spPr>
                  <a:ln w="28575" cap="rnd">
                    <a:solidFill>
                      <a:schemeClr val="accent1"/>
                    </a:solidFill>
                    <a:round/>
                  </a:ln>
                  <a:effectLst/>
                </c:spPr>
                <c:marker>
                  <c:symbol val="none"/>
                </c:marker>
                <c:cat>
                  <c:strRef>
                    <c:extLst>
                      <c:ext uri="{02D57815-91ED-43cb-92C2-25804820EDAC}">
                        <c15:formulaRef>
                          <c15:sqref>'DAILY LOAD INPUT'!$C$4:$C$87</c15:sqref>
                        </c15:formulaRef>
                      </c:ext>
                    </c:extLst>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extLst>
                      <c:ext uri="{02D57815-91ED-43cb-92C2-25804820EDAC}">
                        <c15:formulaRef>
                          <c15:sqref>'DAILY LOAD INPUT'!$D$4:$D$58</c15:sqref>
                        </c15:formulaRef>
                      </c:ext>
                    </c:extLst>
                    <c:numCache>
                      <c:formatCode>General</c:formatCode>
                      <c:ptCount val="55"/>
                      <c:pt idx="0">
                        <c:v>79</c:v>
                      </c:pt>
                      <c:pt idx="1">
                        <c:v>83</c:v>
                      </c:pt>
                      <c:pt idx="2">
                        <c:v>0</c:v>
                      </c:pt>
                      <c:pt idx="3">
                        <c:v>107</c:v>
                      </c:pt>
                      <c:pt idx="4">
                        <c:v>108</c:v>
                      </c:pt>
                      <c:pt idx="5">
                        <c:v>0</c:v>
                      </c:pt>
                      <c:pt idx="6">
                        <c:v>0</c:v>
                      </c:pt>
                      <c:pt idx="7">
                        <c:v>30</c:v>
                      </c:pt>
                      <c:pt idx="8">
                        <c:v>59</c:v>
                      </c:pt>
                      <c:pt idx="9">
                        <c:v>0</c:v>
                      </c:pt>
                      <c:pt idx="10">
                        <c:v>133</c:v>
                      </c:pt>
                      <c:pt idx="11">
                        <c:v>80</c:v>
                      </c:pt>
                      <c:pt idx="12">
                        <c:v>97.73</c:v>
                      </c:pt>
                      <c:pt idx="13">
                        <c:v>0</c:v>
                      </c:pt>
                      <c:pt idx="14">
                        <c:v>135</c:v>
                      </c:pt>
                      <c:pt idx="15">
                        <c:v>97.2</c:v>
                      </c:pt>
                      <c:pt idx="16">
                        <c:v>0</c:v>
                      </c:pt>
                      <c:pt idx="17">
                        <c:v>67</c:v>
                      </c:pt>
                      <c:pt idx="18">
                        <c:v>37.28</c:v>
                      </c:pt>
                      <c:pt idx="19">
                        <c:v>107.44</c:v>
                      </c:pt>
                      <c:pt idx="20">
                        <c:v>0</c:v>
                      </c:pt>
                      <c:pt idx="21">
                        <c:v>0</c:v>
                      </c:pt>
                      <c:pt idx="22">
                        <c:v>52.63</c:v>
                      </c:pt>
                      <c:pt idx="23">
                        <c:v>68.12</c:v>
                      </c:pt>
                      <c:pt idx="24">
                        <c:v>69.78</c:v>
                      </c:pt>
                      <c:pt idx="25">
                        <c:v>96</c:v>
                      </c:pt>
                      <c:pt idx="26">
                        <c:v>96</c:v>
                      </c:pt>
                      <c:pt idx="27">
                        <c:v>0</c:v>
                      </c:pt>
                      <c:pt idx="28">
                        <c:v>0</c:v>
                      </c:pt>
                      <c:pt idx="29">
                        <c:v>98</c:v>
                      </c:pt>
                      <c:pt idx="30">
                        <c:v>83.65</c:v>
                      </c:pt>
                      <c:pt idx="31">
                        <c:v>0</c:v>
                      </c:pt>
                      <c:pt idx="32">
                        <c:v>50</c:v>
                      </c:pt>
                      <c:pt idx="33">
                        <c:v>60</c:v>
                      </c:pt>
                      <c:pt idx="34">
                        <c:v>60</c:v>
                      </c:pt>
                      <c:pt idx="35">
                        <c:v>100</c:v>
                      </c:pt>
                      <c:pt idx="36">
                        <c:v>0</c:v>
                      </c:pt>
                      <c:pt idx="37">
                        <c:v>65</c:v>
                      </c:pt>
                      <c:pt idx="38">
                        <c:v>36</c:v>
                      </c:pt>
                      <c:pt idx="39">
                        <c:v>116.28</c:v>
                      </c:pt>
                      <c:pt idx="40">
                        <c:v>64</c:v>
                      </c:pt>
                      <c:pt idx="41">
                        <c:v>0</c:v>
                      </c:pt>
                      <c:pt idx="42">
                        <c:v>80</c:v>
                      </c:pt>
                      <c:pt idx="43">
                        <c:v>38.89</c:v>
                      </c:pt>
                      <c:pt idx="44">
                        <c:v>112</c:v>
                      </c:pt>
                      <c:pt idx="45">
                        <c:v>53.44</c:v>
                      </c:pt>
                      <c:pt idx="46">
                        <c:v>75</c:v>
                      </c:pt>
                      <c:pt idx="47">
                        <c:v>0</c:v>
                      </c:pt>
                      <c:pt idx="48">
                        <c:v>0</c:v>
                      </c:pt>
                      <c:pt idx="49">
                        <c:v>99.248000000000005</c:v>
                      </c:pt>
                      <c:pt idx="50">
                        <c:v>87.67</c:v>
                      </c:pt>
                      <c:pt idx="51">
                        <c:v>100.87</c:v>
                      </c:pt>
                      <c:pt idx="52">
                        <c:v>0</c:v>
                      </c:pt>
                      <c:pt idx="53">
                        <c:v>73.48</c:v>
                      </c:pt>
                      <c:pt idx="54">
                        <c:v>33.53</c:v>
                      </c:pt>
                    </c:numCache>
                  </c:numRef>
                </c:val>
                <c:smooth val="0"/>
                <c:extLst>
                  <c:ext xmlns:c16="http://schemas.microsoft.com/office/drawing/2014/chart" uri="{C3380CC4-5D6E-409C-BE32-E72D297353CC}">
                    <c16:uniqueId val="{00000004-7563-4C80-BE43-D2BE992C027B}"/>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'DAILY LOAD INPUT'!$K$3</c15:sqref>
                        </c15:formulaRef>
                      </c:ext>
                    </c:extLst>
                    <c:strCache>
                      <c:ptCount val="1"/>
                      <c:pt idx="0">
                        <c:v>FATIGUE</c:v>
                      </c:pt>
                    </c:strCache>
                  </c:strRef>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'DAILY LOAD INPUT'!$C$4:$C$87</c15:sqref>
                        </c15:formulaRef>
                      </c:ext>
                    </c:extLst>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extLst xmlns:c15="http://schemas.microsoft.com/office/drawing/2012/chart">
                      <c:ext xmlns:c15="http://schemas.microsoft.com/office/drawing/2012/chart" uri="{02D57815-91ED-43cb-92C2-25804820EDAC}">
                        <c15:formulaRef>
                          <c15:sqref>'DAILY LOAD INPUT'!$K$4:$K$25</c15:sqref>
                        </c15:formulaRef>
                      </c:ext>
                    </c:extLst>
                    <c:numCache>
                      <c:formatCode>0.0</c:formatCode>
                      <c:ptCount val="22"/>
                      <c:pt idx="0" formatCode="General">
                        <c:v>54</c:v>
                      </c:pt>
                      <c:pt idx="1">
                        <c:v>61.25</c:v>
                      </c:pt>
                      <c:pt idx="2">
                        <c:v>45.9375</c:v>
                      </c:pt>
                      <c:pt idx="3">
                        <c:v>61.203125</c:v>
                      </c:pt>
                      <c:pt idx="4">
                        <c:v>72.90234375</c:v>
                      </c:pt>
                      <c:pt idx="5">
                        <c:v>54.6767578125</c:v>
                      </c:pt>
                      <c:pt idx="6">
                        <c:v>41.007568359375</c:v>
                      </c:pt>
                      <c:pt idx="7">
                        <c:v>38.25567626953125</c:v>
                      </c:pt>
                      <c:pt idx="8">
                        <c:v>43.441757202148438</c:v>
                      </c:pt>
                      <c:pt idx="9">
                        <c:v>32.581317901611328</c:v>
                      </c:pt>
                      <c:pt idx="10">
                        <c:v>57.685988426208496</c:v>
                      </c:pt>
                      <c:pt idx="11">
                        <c:v>63.264491319656372</c:v>
                      </c:pt>
                      <c:pt idx="12">
                        <c:v>71.880868489742284</c:v>
                      </c:pt>
                      <c:pt idx="13">
                        <c:v>53.910651367306713</c:v>
                      </c:pt>
                      <c:pt idx="14">
                        <c:v>74.182988525480027</c:v>
                      </c:pt>
                      <c:pt idx="15">
                        <c:v>79.937241394110018</c:v>
                      </c:pt>
                      <c:pt idx="16">
                        <c:v>59.952931045582517</c:v>
                      </c:pt>
                      <c:pt idx="17">
                        <c:v>61.714698284186888</c:v>
                      </c:pt>
                      <c:pt idx="18">
                        <c:v>55.606023713140168</c:v>
                      </c:pt>
                      <c:pt idx="19">
                        <c:v>68.564517784855127</c:v>
                      </c:pt>
                      <c:pt idx="20">
                        <c:v>51.423388338641345</c:v>
                      </c:pt>
                      <c:pt idx="21">
                        <c:v>38.567541253981005</c:v>
                      </c:pt>
                    </c:numCache>
                  </c:numRef>
                </c:val>
                <c:smooth val="0"/>
                <c:extLst xmlns:c15="http://schemas.microsoft.com/office/drawing/2012/chart">
                  <c:ext xmlns:c16="http://schemas.microsoft.com/office/drawing/2014/chart" uri="{C3380CC4-5D6E-409C-BE32-E72D297353CC}">
                    <c16:uniqueId val="{00000005-7563-4C80-BE43-D2BE992C027B}"/>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'DAILY LOAD INPUT'!$L$3</c15:sqref>
                        </c15:formulaRef>
                      </c:ext>
                    </c:extLst>
                    <c:strCache>
                      <c:ptCount val="1"/>
                      <c:pt idx="0">
                        <c:v>FITNESS</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'DAILY LOAD INPUT'!$C$4:$C$87</c15:sqref>
                        </c15:formulaRef>
                      </c:ext>
                    </c:extLst>
                    <c:strCache>
                      <c:ptCount val="84"/>
                      <c:pt idx="0">
                        <c:v>MONDAY 08/01/24</c:v>
                      </c:pt>
                      <c:pt idx="1">
                        <c:v>TUESDAY 09/01/24</c:v>
                      </c:pt>
                      <c:pt idx="2">
                        <c:v>WEDNESDAY 10/01/24</c:v>
                      </c:pt>
                      <c:pt idx="3">
                        <c:v>THURSDAY 11/01/24</c:v>
                      </c:pt>
                      <c:pt idx="4">
                        <c:v>FRIDAY 12/01/24</c:v>
                      </c:pt>
                      <c:pt idx="5">
                        <c:v>SATURDAY 13/01/24</c:v>
                      </c:pt>
                      <c:pt idx="6">
                        <c:v>SUNDAY 14/01/24</c:v>
                      </c:pt>
                      <c:pt idx="7">
                        <c:v>MONDAY 15/01/24</c:v>
                      </c:pt>
                      <c:pt idx="8">
                        <c:v>TUESDAY 16/01/24</c:v>
                      </c:pt>
                      <c:pt idx="9">
                        <c:v>WEDNESDAY 17/01/24</c:v>
                      </c:pt>
                      <c:pt idx="10">
                        <c:v>THURSDAY 18/01/24</c:v>
                      </c:pt>
                      <c:pt idx="11">
                        <c:v>FRIDAY 19/01/24</c:v>
                      </c:pt>
                      <c:pt idx="12">
                        <c:v>TRAINING MATCH </c:v>
                      </c:pt>
                      <c:pt idx="13">
                        <c:v>SUNDAY 21/01/24</c:v>
                      </c:pt>
                      <c:pt idx="14">
                        <c:v>MONDAY 22/01/24</c:v>
                      </c:pt>
                      <c:pt idx="15">
                        <c:v>TRAINING MATCH </c:v>
                      </c:pt>
                      <c:pt idx="16">
                        <c:v>WEDNESDAY 24/01/24</c:v>
                      </c:pt>
                      <c:pt idx="17">
                        <c:v>THURSDAY 25/01/24</c:v>
                      </c:pt>
                      <c:pt idx="18">
                        <c:v>FRIDAY 26/01/24</c:v>
                      </c:pt>
                      <c:pt idx="19">
                        <c:v>NFD TOURNAMENT </c:v>
                      </c:pt>
                      <c:pt idx="20">
                        <c:v>SUNDAY 28/01/24</c:v>
                      </c:pt>
                      <c:pt idx="21">
                        <c:v>MONDAY 29/01/24</c:v>
                      </c:pt>
                      <c:pt idx="22">
                        <c:v>TUESDAY 30/01/24</c:v>
                      </c:pt>
                      <c:pt idx="23">
                        <c:v>WEDNESDAY 31/01/24</c:v>
                      </c:pt>
                      <c:pt idx="24">
                        <c:v>THURSDAY 01/02/24</c:v>
                      </c:pt>
                      <c:pt idx="25">
                        <c:v>ORBIT C FRIENDLY</c:v>
                      </c:pt>
                      <c:pt idx="26">
                        <c:v>GALLANTS FRIENDLY </c:v>
                      </c:pt>
                      <c:pt idx="27">
                        <c:v>SUNDAY 04/02/2024</c:v>
                      </c:pt>
                      <c:pt idx="28">
                        <c:v>MONDAY 05/02/2024</c:v>
                      </c:pt>
                      <c:pt idx="29">
                        <c:v>TUESDAY 06/02/2024</c:v>
                      </c:pt>
                      <c:pt idx="30">
                        <c:v>WEDNESDAY 07/02/2024</c:v>
                      </c:pt>
                      <c:pt idx="31">
                        <c:v>THURSDAY 08/02/2024</c:v>
                      </c:pt>
                      <c:pt idx="32">
                        <c:v>FRIDAY 09/02/2024</c:v>
                      </c:pt>
                      <c:pt idx="33">
                        <c:v>SATURDAY 10/02/2024 </c:v>
                      </c:pt>
                      <c:pt idx="34">
                        <c:v>SUNDAY 11/02/2024</c:v>
                      </c:pt>
                      <c:pt idx="35">
                        <c:v>MONDAY 12/02/2024</c:v>
                      </c:pt>
                      <c:pt idx="36">
                        <c:v>TUESDAY 13/02/2024</c:v>
                      </c:pt>
                      <c:pt idx="37">
                        <c:v>WEDNESDAY 14/02/2024</c:v>
                      </c:pt>
                      <c:pt idx="38">
                        <c:v>THURSDAY 15/02/2024</c:v>
                      </c:pt>
                      <c:pt idx="39">
                        <c:v>UPINGTON CITY </c:v>
                      </c:pt>
                      <c:pt idx="40">
                        <c:v>SATURDAY 17/02/2024</c:v>
                      </c:pt>
                      <c:pt idx="41">
                        <c:v>SUNDAY 18/02/2024</c:v>
                      </c:pt>
                      <c:pt idx="42">
                        <c:v>MONDAY 19/02/2024</c:v>
                      </c:pt>
                      <c:pt idx="43">
                        <c:v>TUESDAY 20/02/2024</c:v>
                      </c:pt>
                      <c:pt idx="44">
                        <c:v>NB CUP CPT SPURS</c:v>
                      </c:pt>
                      <c:pt idx="45">
                        <c:v>THURSDAY 22/02/2024</c:v>
                      </c:pt>
                      <c:pt idx="46">
                        <c:v>FRIDAY 23/02/2024</c:v>
                      </c:pt>
                      <c:pt idx="47">
                        <c:v>SATURDAY 24/02/2024</c:v>
                      </c:pt>
                      <c:pt idx="48">
                        <c:v>SUNDAY 25/02/2024</c:v>
                      </c:pt>
                      <c:pt idx="49">
                        <c:v>MONDAY 26/02/2024</c:v>
                      </c:pt>
                      <c:pt idx="50">
                        <c:v>TUESDAY 27/02/2024</c:v>
                      </c:pt>
                      <c:pt idx="51">
                        <c:v>WEDNESDAY 28/02/2024</c:v>
                      </c:pt>
                      <c:pt idx="52">
                        <c:v>THURSDAY 29/02/2024</c:v>
                      </c:pt>
                      <c:pt idx="53">
                        <c:v>FRIDAY 01/03/2024</c:v>
                      </c:pt>
                      <c:pt idx="54">
                        <c:v>SATURDAY 02/03/2024</c:v>
                      </c:pt>
                      <c:pt idx="55">
                        <c:v>PLAT CITY ROVERS </c:v>
                      </c:pt>
                      <c:pt idx="56">
                        <c:v>MONDAY 04/03/2024</c:v>
                      </c:pt>
                      <c:pt idx="57">
                        <c:v>TUESDAY 05/03/2024</c:v>
                      </c:pt>
                      <c:pt idx="58">
                        <c:v>WEDNESDAY 06/03/2024</c:v>
                      </c:pt>
                      <c:pt idx="59">
                        <c:v>THURSDAY 07/03/2024</c:v>
                      </c:pt>
                      <c:pt idx="60">
                        <c:v>HUNGRY LIONS</c:v>
                      </c:pt>
                      <c:pt idx="61">
                        <c:v>SATURDAY 09/03/2024</c:v>
                      </c:pt>
                      <c:pt idx="62">
                        <c:v>SUNDAY 10/03/2024</c:v>
                      </c:pt>
                      <c:pt idx="63">
                        <c:v>MONDAY 11/03/2024</c:v>
                      </c:pt>
                      <c:pt idx="64">
                        <c:v>TUESDAY 12/03/2024</c:v>
                      </c:pt>
                      <c:pt idx="65">
                        <c:v>NB CUP SWALLOWS</c:v>
                      </c:pt>
                      <c:pt idx="66">
                        <c:v>THURSDAY 14/03/2024</c:v>
                      </c:pt>
                      <c:pt idx="67">
                        <c:v>TRAINING MATCH </c:v>
                      </c:pt>
                      <c:pt idx="68">
                        <c:v>SATURDAY 16/03/2024</c:v>
                      </c:pt>
                      <c:pt idx="69">
                        <c:v>SUNDAY 17/03/2024</c:v>
                      </c:pt>
                      <c:pt idx="70">
                        <c:v>MONDAY 18/03/2024</c:v>
                      </c:pt>
                      <c:pt idx="71">
                        <c:v>TUESDAY 19/03/2024</c:v>
                      </c:pt>
                      <c:pt idx="72">
                        <c:v>WEDNESDAY 20/03/2024</c:v>
                      </c:pt>
                      <c:pt idx="73">
                        <c:v>THURSDAY 21/03/2024</c:v>
                      </c:pt>
                      <c:pt idx="74">
                        <c:v>FRIDAY 22/03/2024</c:v>
                      </c:pt>
                      <c:pt idx="75">
                        <c:v>SATURDAY 23/03/2024</c:v>
                      </c:pt>
                      <c:pt idx="76">
                        <c:v>SUNDAY 24/03/2024</c:v>
                      </c:pt>
                      <c:pt idx="77">
                        <c:v>MONDAY 25/03/2024</c:v>
                      </c:pt>
                      <c:pt idx="78">
                        <c:v>TUESDAY 26/03/2024</c:v>
                      </c:pt>
                      <c:pt idx="79">
                        <c:v>WEDNESDAY 27/03/2024</c:v>
                      </c:pt>
                      <c:pt idx="80">
                        <c:v>THURSDAY 28/03/2024</c:v>
                      </c:pt>
                      <c:pt idx="81">
                        <c:v>FRIDAY 29/03/2024</c:v>
                      </c:pt>
                      <c:pt idx="82">
                        <c:v>SATURDAY 30/03/2024</c:v>
                      </c:pt>
                      <c:pt idx="83">
                        <c:v>SUNDAY 31/03/2024</c:v>
                      </c:pt>
                    </c:strCache>
                  </c:strRef>
                </c:cat>
                <c:val>
                  <c:numRef>
                    <c:extLst xmlns:c15="http://schemas.microsoft.com/office/drawing/2012/chart">
                      <c:ext xmlns:c15="http://schemas.microsoft.com/office/drawing/2012/chart" uri="{02D57815-91ED-43cb-92C2-25804820EDAC}">
                        <c15:formulaRef>
                          <c15:sqref>'DAILY LOAD INPUT'!$L$4:$L$25</c15:sqref>
                        </c15:formulaRef>
                      </c:ext>
                    </c:extLst>
                    <c:numCache>
                      <c:formatCode>0.0</c:formatCode>
                      <c:ptCount val="22"/>
                      <c:pt idx="0" formatCode="General">
                        <c:v>54</c:v>
                      </c:pt>
                      <c:pt idx="1">
                        <c:v>56</c:v>
                      </c:pt>
                      <c:pt idx="2">
                        <c:v>52.137931034482762</c:v>
                      </c:pt>
                      <c:pt idx="3">
                        <c:v>55.92152199762188</c:v>
                      </c:pt>
                      <c:pt idx="4">
                        <c:v>59.513141170199681</c:v>
                      </c:pt>
                      <c:pt idx="5">
                        <c:v>55.408786606737635</c:v>
                      </c:pt>
                      <c:pt idx="6">
                        <c:v>51.587490978686766</c:v>
                      </c:pt>
                      <c:pt idx="7">
                        <c:v>50.098698497398026</c:v>
                      </c:pt>
                      <c:pt idx="8">
                        <c:v>50.712581359646435</c:v>
                      </c:pt>
                      <c:pt idx="9">
                        <c:v>47.215161955532885</c:v>
                      </c:pt>
                      <c:pt idx="10">
                        <c:v>53.131357682737516</c:v>
                      </c:pt>
                      <c:pt idx="11">
                        <c:v>54.984367497721138</c:v>
                      </c:pt>
                      <c:pt idx="12">
                        <c:v>57.932342153050712</c:v>
                      </c:pt>
                      <c:pt idx="13">
                        <c:v>53.937008211461006</c:v>
                      </c:pt>
                      <c:pt idx="14">
                        <c:v>59.527559369291282</c:v>
                      </c:pt>
                      <c:pt idx="15">
                        <c:v>62.125658723133263</c:v>
                      </c:pt>
                      <c:pt idx="16">
                        <c:v>57.841130535330969</c:v>
                      </c:pt>
                      <c:pt idx="17">
                        <c:v>58.472776705308142</c:v>
                      </c:pt>
                      <c:pt idx="18">
                        <c:v>57.01120589804551</c:v>
                      </c:pt>
                      <c:pt idx="19">
                        <c:v>60.489053767145819</c:v>
                      </c:pt>
                      <c:pt idx="20">
                        <c:v>56.317394886653005</c:v>
                      </c:pt>
                      <c:pt idx="21">
                        <c:v>52.433436618607971</c:v>
                      </c:pt>
                    </c:numCache>
                  </c:numRef>
                </c:val>
                <c:smooth val="0"/>
                <c:extLst xmlns:c15="http://schemas.microsoft.com/office/drawing/2012/chart">
                  <c:ext xmlns:c16="http://schemas.microsoft.com/office/drawing/2014/chart" uri="{C3380CC4-5D6E-409C-BE32-E72D297353CC}">
                    <c16:uniqueId val="{00000006-7563-4C80-BE43-D2BE992C027B}"/>
                  </c:ext>
                </c:extLst>
              </c15:ser>
            </c15:filteredLineSeries>
          </c:ext>
        </c:extLst>
      </c:lineChart>
      <c:catAx>
        <c:axId val="43569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435691152"/>
        <c:crosses val="autoZero"/>
        <c:auto val="1"/>
        <c:lblAlgn val="ctr"/>
        <c:lblOffset val="100"/>
        <c:noMultiLvlLbl val="0"/>
      </c:catAx>
      <c:valAx>
        <c:axId val="435691152"/>
        <c:scaling>
          <c:orientation val="minMax"/>
          <c:max val="1.8"/>
          <c:min val="0.4"/>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3569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jpe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3.jpe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image" Target="../media/image3.jpe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3.jpe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1.png"/><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1.png"/><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17</xdr:col>
      <xdr:colOff>247650</xdr:colOff>
      <xdr:row>0</xdr:row>
      <xdr:rowOff>180975</xdr:rowOff>
    </xdr:from>
    <xdr:to>
      <xdr:col>24</xdr:col>
      <xdr:colOff>552450</xdr:colOff>
      <xdr:row>15</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238125</xdr:colOff>
      <xdr:row>15</xdr:row>
      <xdr:rowOff>161925</xdr:rowOff>
    </xdr:from>
    <xdr:to>
      <xdr:col>24</xdr:col>
      <xdr:colOff>542925</xdr:colOff>
      <xdr:row>30</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9525</xdr:colOff>
      <xdr:row>1</xdr:row>
      <xdr:rowOff>0</xdr:rowOff>
    </xdr:from>
    <xdr:to>
      <xdr:col>33</xdr:col>
      <xdr:colOff>314325</xdr:colOff>
      <xdr:row>15</xdr:row>
      <xdr:rowOff>76200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9525</xdr:colOff>
      <xdr:row>15</xdr:row>
      <xdr:rowOff>180975</xdr:rowOff>
    </xdr:from>
    <xdr:to>
      <xdr:col>33</xdr:col>
      <xdr:colOff>314325</xdr:colOff>
      <xdr:row>30</xdr:row>
      <xdr:rowOff>66675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0</xdr:colOff>
      <xdr:row>1</xdr:row>
      <xdr:rowOff>0</xdr:rowOff>
    </xdr:from>
    <xdr:to>
      <xdr:col>42</xdr:col>
      <xdr:colOff>304800</xdr:colOff>
      <xdr:row>15</xdr:row>
      <xdr:rowOff>76200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600075</xdr:colOff>
      <xdr:row>16</xdr:row>
      <xdr:rowOff>19050</xdr:rowOff>
    </xdr:from>
    <xdr:to>
      <xdr:col>42</xdr:col>
      <xdr:colOff>295275</xdr:colOff>
      <xdr:row>30</xdr:row>
      <xdr:rowOff>95250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9525</xdr:colOff>
      <xdr:row>1</xdr:row>
      <xdr:rowOff>0</xdr:rowOff>
    </xdr:from>
    <xdr:to>
      <xdr:col>50</xdr:col>
      <xdr:colOff>314325</xdr:colOff>
      <xdr:row>15</xdr:row>
      <xdr:rowOff>76200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9525</xdr:colOff>
      <xdr:row>16</xdr:row>
      <xdr:rowOff>9525</xdr:rowOff>
    </xdr:from>
    <xdr:to>
      <xdr:col>50</xdr:col>
      <xdr:colOff>314325</xdr:colOff>
      <xdr:row>30</xdr:row>
      <xdr:rowOff>85725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30</xdr:col>
      <xdr:colOff>38099</xdr:colOff>
      <xdr:row>2</xdr:row>
      <xdr:rowOff>180976</xdr:rowOff>
    </xdr:from>
    <xdr:to>
      <xdr:col>35</xdr:col>
      <xdr:colOff>28574</xdr:colOff>
      <xdr:row>10</xdr:row>
      <xdr:rowOff>142876</xdr:rowOff>
    </xdr:to>
    <mc:AlternateContent xmlns:mc="http://schemas.openxmlformats.org/markup-compatibility/2006" xmlns:a14="http://schemas.microsoft.com/office/drawing/2010/main">
      <mc:Choice Requires="a14">
        <xdr:graphicFrame macro="">
          <xdr:nvGraphicFramePr>
            <xdr:cNvPr id="2" name="Date "/>
            <xdr:cNvGraphicFramePr/>
          </xdr:nvGraphicFramePr>
          <xdr:xfrm>
            <a:off x="0" y="0"/>
            <a:ext cx="0" cy="0"/>
          </xdr:xfrm>
          <a:graphic>
            <a:graphicData uri="http://schemas.microsoft.com/office/drawing/2010/slicer">
              <sle:slicer xmlns:sle="http://schemas.microsoft.com/office/drawing/2010/slicer" name="Date "/>
            </a:graphicData>
          </a:graphic>
        </xdr:graphicFrame>
      </mc:Choice>
      <mc:Fallback xmlns="">
        <xdr:sp macro="" textlink="">
          <xdr:nvSpPr>
            <xdr:cNvPr id="0" name=""/>
            <xdr:cNvSpPr>
              <a:spLocks noTextEdit="1"/>
            </xdr:cNvSpPr>
          </xdr:nvSpPr>
          <xdr:spPr>
            <a:xfrm>
              <a:off x="31527749" y="561976"/>
              <a:ext cx="3038475" cy="14859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426924</xdr:colOff>
      <xdr:row>0</xdr:row>
      <xdr:rowOff>81643</xdr:rowOff>
    </xdr:from>
    <xdr:to>
      <xdr:col>2</xdr:col>
      <xdr:colOff>1052963</xdr:colOff>
      <xdr:row>10</xdr:row>
      <xdr:rowOff>163286</xdr:rowOff>
    </xdr:to>
    <xdr:pic>
      <xdr:nvPicPr>
        <xdr:cNvPr id="2" name="Picture 1" descr="University of Pretoria - Wikipedi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9245" y="81643"/>
          <a:ext cx="1238361" cy="1986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272142</xdr:colOff>
      <xdr:row>3</xdr:row>
      <xdr:rowOff>8506</xdr:rowOff>
    </xdr:from>
    <xdr:to>
      <xdr:col>26</xdr:col>
      <xdr:colOff>18975</xdr:colOff>
      <xdr:row>7</xdr:row>
      <xdr:rowOff>173633</xdr:rowOff>
    </xdr:to>
    <xdr:pic>
      <xdr:nvPicPr>
        <xdr:cNvPr id="3" name="Picture 2"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559642" y="580006"/>
          <a:ext cx="2196119" cy="9271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461044</xdr:colOff>
      <xdr:row>1</xdr:row>
      <xdr:rowOff>185413</xdr:rowOff>
    </xdr:from>
    <xdr:to>
      <xdr:col>5</xdr:col>
      <xdr:colOff>4302</xdr:colOff>
      <xdr:row>8</xdr:row>
      <xdr:rowOff>65070</xdr:rowOff>
    </xdr:to>
    <xdr:pic>
      <xdr:nvPicPr>
        <xdr:cNvPr id="4" name="Picture 3" descr="University of Pretoria - Wikipedi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2319" y="375913"/>
          <a:ext cx="762458" cy="1213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586509</xdr:colOff>
      <xdr:row>2</xdr:row>
      <xdr:rowOff>158401</xdr:rowOff>
    </xdr:from>
    <xdr:to>
      <xdr:col>24</xdr:col>
      <xdr:colOff>13607</xdr:colOff>
      <xdr:row>8</xdr:row>
      <xdr:rowOff>69437</xdr:rowOff>
    </xdr:to>
    <xdr:pic>
      <xdr:nvPicPr>
        <xdr:cNvPr id="5" name="Picture 4"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88059" y="539401"/>
          <a:ext cx="2475098" cy="1054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607217</xdr:colOff>
      <xdr:row>12</xdr:row>
      <xdr:rowOff>83343</xdr:rowOff>
    </xdr:from>
    <xdr:to>
      <xdr:col>22</xdr:col>
      <xdr:colOff>83342</xdr:colOff>
      <xdr:row>40</xdr:row>
      <xdr:rowOff>178593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461044</xdr:colOff>
      <xdr:row>1</xdr:row>
      <xdr:rowOff>185413</xdr:rowOff>
    </xdr:from>
    <xdr:to>
      <xdr:col>5</xdr:col>
      <xdr:colOff>4302</xdr:colOff>
      <xdr:row>8</xdr:row>
      <xdr:rowOff>65070</xdr:rowOff>
    </xdr:to>
    <xdr:pic>
      <xdr:nvPicPr>
        <xdr:cNvPr id="2" name="Picture 1" descr="University of Pretoria - Wikipedi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2319" y="375913"/>
          <a:ext cx="762458" cy="1213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586509</xdr:colOff>
      <xdr:row>2</xdr:row>
      <xdr:rowOff>158401</xdr:rowOff>
    </xdr:from>
    <xdr:to>
      <xdr:col>24</xdr:col>
      <xdr:colOff>13607</xdr:colOff>
      <xdr:row>8</xdr:row>
      <xdr:rowOff>69437</xdr:rowOff>
    </xdr:to>
    <xdr:pic>
      <xdr:nvPicPr>
        <xdr:cNvPr id="3" name="Picture 2"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88059" y="539401"/>
          <a:ext cx="2475098" cy="1054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59530</xdr:colOff>
      <xdr:row>11</xdr:row>
      <xdr:rowOff>35717</xdr:rowOff>
    </xdr:from>
    <xdr:to>
      <xdr:col>21</xdr:col>
      <xdr:colOff>559594</xdr:colOff>
      <xdr:row>39</xdr:row>
      <xdr:rowOff>178593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461044</xdr:colOff>
      <xdr:row>1</xdr:row>
      <xdr:rowOff>185413</xdr:rowOff>
    </xdr:from>
    <xdr:to>
      <xdr:col>5</xdr:col>
      <xdr:colOff>4302</xdr:colOff>
      <xdr:row>8</xdr:row>
      <xdr:rowOff>65070</xdr:rowOff>
    </xdr:to>
    <xdr:pic>
      <xdr:nvPicPr>
        <xdr:cNvPr id="2" name="Picture 1" descr="University of Pretoria - Wikipedi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2319" y="375913"/>
          <a:ext cx="762458" cy="1213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586509</xdr:colOff>
      <xdr:row>2</xdr:row>
      <xdr:rowOff>158401</xdr:rowOff>
    </xdr:from>
    <xdr:to>
      <xdr:col>24</xdr:col>
      <xdr:colOff>13607</xdr:colOff>
      <xdr:row>8</xdr:row>
      <xdr:rowOff>69437</xdr:rowOff>
    </xdr:to>
    <xdr:pic>
      <xdr:nvPicPr>
        <xdr:cNvPr id="3" name="Picture 2"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88059" y="539401"/>
          <a:ext cx="2475098" cy="1054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523873</xdr:colOff>
      <xdr:row>11</xdr:row>
      <xdr:rowOff>154780</xdr:rowOff>
    </xdr:from>
    <xdr:to>
      <xdr:col>21</xdr:col>
      <xdr:colOff>571499</xdr:colOff>
      <xdr:row>40</xdr:row>
      <xdr:rowOff>178593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461044</xdr:colOff>
      <xdr:row>1</xdr:row>
      <xdr:rowOff>185413</xdr:rowOff>
    </xdr:from>
    <xdr:to>
      <xdr:col>5</xdr:col>
      <xdr:colOff>4302</xdr:colOff>
      <xdr:row>8</xdr:row>
      <xdr:rowOff>65070</xdr:rowOff>
    </xdr:to>
    <xdr:pic>
      <xdr:nvPicPr>
        <xdr:cNvPr id="2" name="Picture 1" descr="University of Pretoria - Wikipedi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2319" y="375913"/>
          <a:ext cx="762458" cy="1213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586509</xdr:colOff>
      <xdr:row>2</xdr:row>
      <xdr:rowOff>158401</xdr:rowOff>
    </xdr:from>
    <xdr:to>
      <xdr:col>24</xdr:col>
      <xdr:colOff>13607</xdr:colOff>
      <xdr:row>8</xdr:row>
      <xdr:rowOff>69437</xdr:rowOff>
    </xdr:to>
    <xdr:pic>
      <xdr:nvPicPr>
        <xdr:cNvPr id="3" name="Picture 2"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88059" y="539401"/>
          <a:ext cx="2475098" cy="1054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47623</xdr:colOff>
      <xdr:row>12</xdr:row>
      <xdr:rowOff>71436</xdr:rowOff>
    </xdr:from>
    <xdr:to>
      <xdr:col>22</xdr:col>
      <xdr:colOff>23811</xdr:colOff>
      <xdr:row>39</xdr:row>
      <xdr:rowOff>35717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34637</xdr:colOff>
      <xdr:row>0</xdr:row>
      <xdr:rowOff>68459</xdr:rowOff>
    </xdr:from>
    <xdr:to>
      <xdr:col>2</xdr:col>
      <xdr:colOff>604762</xdr:colOff>
      <xdr:row>5</xdr:row>
      <xdr:rowOff>36692</xdr:rowOff>
    </xdr:to>
    <xdr:pic>
      <xdr:nvPicPr>
        <xdr:cNvPr id="2" name="Picture 1" descr="University of Pretoria - Wikipedi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05546" y="68459"/>
          <a:ext cx="570125" cy="920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54029</xdr:colOff>
      <xdr:row>1</xdr:row>
      <xdr:rowOff>68238</xdr:rowOff>
    </xdr:from>
    <xdr:to>
      <xdr:col>11</xdr:col>
      <xdr:colOff>1544420</xdr:colOff>
      <xdr:row>4</xdr:row>
      <xdr:rowOff>132752</xdr:rowOff>
    </xdr:to>
    <xdr:pic>
      <xdr:nvPicPr>
        <xdr:cNvPr id="3" name="Picture 2"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679484" y="258738"/>
          <a:ext cx="1490391" cy="6360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1170213</xdr:colOff>
      <xdr:row>11</xdr:row>
      <xdr:rowOff>149678</xdr:rowOff>
    </xdr:from>
    <xdr:to>
      <xdr:col>23</xdr:col>
      <xdr:colOff>530678</xdr:colOff>
      <xdr:row>41</xdr:row>
      <xdr:rowOff>149678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461044</xdr:colOff>
      <xdr:row>1</xdr:row>
      <xdr:rowOff>185413</xdr:rowOff>
    </xdr:from>
    <xdr:to>
      <xdr:col>5</xdr:col>
      <xdr:colOff>4302</xdr:colOff>
      <xdr:row>8</xdr:row>
      <xdr:rowOff>65070</xdr:rowOff>
    </xdr:to>
    <xdr:pic>
      <xdr:nvPicPr>
        <xdr:cNvPr id="5" name="Picture 4" descr="University of Pretoria - Wikipedi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46401" y="375913"/>
          <a:ext cx="762799" cy="1213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586509</xdr:colOff>
      <xdr:row>2</xdr:row>
      <xdr:rowOff>158401</xdr:rowOff>
    </xdr:from>
    <xdr:to>
      <xdr:col>24</xdr:col>
      <xdr:colOff>13607</xdr:colOff>
      <xdr:row>8</xdr:row>
      <xdr:rowOff>69437</xdr:rowOff>
    </xdr:to>
    <xdr:pic>
      <xdr:nvPicPr>
        <xdr:cNvPr id="6" name="Picture 5"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037045" y="539401"/>
          <a:ext cx="2488705" cy="1054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1131794</xdr:colOff>
      <xdr:row>11</xdr:row>
      <xdr:rowOff>145676</xdr:rowOff>
    </xdr:from>
    <xdr:to>
      <xdr:col>24</xdr:col>
      <xdr:colOff>302560</xdr:colOff>
      <xdr:row>40</xdr:row>
      <xdr:rowOff>29236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461044</xdr:colOff>
      <xdr:row>1</xdr:row>
      <xdr:rowOff>185413</xdr:rowOff>
    </xdr:from>
    <xdr:to>
      <xdr:col>5</xdr:col>
      <xdr:colOff>4302</xdr:colOff>
      <xdr:row>8</xdr:row>
      <xdr:rowOff>65070</xdr:rowOff>
    </xdr:to>
    <xdr:pic>
      <xdr:nvPicPr>
        <xdr:cNvPr id="4" name="Picture 3" descr="University of Pretoria - Wikipedi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42319" y="375913"/>
          <a:ext cx="762458" cy="1213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586509</xdr:colOff>
      <xdr:row>2</xdr:row>
      <xdr:rowOff>158401</xdr:rowOff>
    </xdr:from>
    <xdr:to>
      <xdr:col>24</xdr:col>
      <xdr:colOff>13607</xdr:colOff>
      <xdr:row>8</xdr:row>
      <xdr:rowOff>69437</xdr:rowOff>
    </xdr:to>
    <xdr:pic>
      <xdr:nvPicPr>
        <xdr:cNvPr id="5" name="Picture 4" descr="Official PSL on X: &quot;MOTSEPE FOUNDATION CHAMPIONSHIP TITLE RACE The 2022/23 Motsepe  Foundation Championship Champions will receive prize money of R5 million.  The Motsepe Foundation Championship has been tightly contested this seas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988059" y="539401"/>
          <a:ext cx="2475098" cy="1054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nnah Dwyer" refreshedDate="45382.631532754633" createdVersion="6" refreshedVersion="6" minRefreshableVersion="3" recordCount="1419">
  <cacheSource type="worksheet">
    <worksheetSource name="Table3"/>
  </cacheSource>
  <cacheFields count="24">
    <cacheField name="Player name" numFmtId="0">
      <sharedItems containsBlank="1" count="34">
        <s v="Mdevulana Camagu"/>
        <s v="Neo Dikgale"/>
        <s v="Jesse Francis"/>
        <s v="Sihle Gum"/>
        <s v="Samuel Julies"/>
        <s v="Sapholwethu Kelepu"/>
        <s v="Kenny Langa"/>
        <s v="Tshepiso Mahlangu"/>
        <s v="Tshepang Makara"/>
        <s v="Tebogo Makungo"/>
        <s v="Essien Makwarimba"/>
        <s v="Malekgene Mampuru"/>
        <s v="Lulama Maqoko"/>
        <s v="Promise Mkhuma"/>
        <s v="Tebogo Mohlamonyane"/>
        <s v="Thabiso Mokoena"/>
        <s v="Lesedi Motha"/>
        <s v="Frank Mpedi"/>
        <s v="Ayanda Mvambi"/>
        <s v="Kamohelo Pheeane"/>
        <s v="Matome Rangata"/>
        <s v="Thabang Sibanyoni"/>
        <s v="Manelisi Sithole"/>
        <s v="Bongolwethu Siyasi"/>
        <s v="Athenkosi Tonisi"/>
        <s v="Thulani Zandamela"/>
        <s v="Delano Abrahams"/>
        <s v="Khomotso Marebane"/>
        <s v="Keabetswe Nkogatse"/>
        <s v="Neo Ramashala"/>
        <s v="Kaketso Harold Majadibodu"/>
        <s v="Maselaelo Seanego"/>
        <s v="Thokozani Sekotlong"/>
        <m u="1"/>
      </sharedItems>
    </cacheField>
    <cacheField name="Position " numFmtId="0">
      <sharedItems count="5">
        <s v="Midfielder"/>
        <s v="Striker"/>
        <s v="Defender"/>
        <s v="Winger"/>
        <s v="####"/>
      </sharedItems>
    </cacheField>
    <cacheField name="Date " numFmtId="14">
      <sharedItems containsSemiMixedTypes="0" containsNonDate="0" containsDate="1" containsString="0" minDate="2023-10-16T00:00:00" maxDate="2024-03-31T10:37:35" count="62">
        <d v="2023-10-16T00:00:00"/>
        <d v="2023-10-17T00:00:00"/>
        <d v="2023-10-18T15:15:54"/>
        <d v="2023-10-20T14:50:44"/>
        <d v="2023-10-24T09:45:03"/>
        <d v="2023-10-30T11:03:28"/>
        <d v="2023-10-31T08:56:54"/>
        <d v="2023-11-03T10:52:32"/>
        <d v="2023-11-04T14:39:25"/>
        <d v="2023-11-17T09:42:59"/>
        <d v="2024-01-08T00:00:00"/>
        <d v="2024-01-09T00:00:00"/>
        <d v="2024-01-11T10:09:44"/>
        <d v="2024-01-12T10:23:04"/>
        <d v="2024-01-15T16:33:10"/>
        <d v="2024-01-16T11:03:32"/>
        <d v="2024-01-18T10:19:54"/>
        <d v="2024-01-18T00:00:00"/>
        <d v="2024-01-22T10:10:36"/>
        <d v="2024-01-23T10:14:04"/>
        <d v="2024-01-25T10:36:38"/>
        <d v="2024-01-26T10:12:21"/>
        <d v="2024-01-27T00:00:00"/>
        <d v="2024-01-30T11:05:55"/>
        <d v="2024-02-01T10:12:59"/>
        <d v="2024-02-02T10:43:57"/>
        <d v="2024-02-07T10:23:42"/>
        <d v="2024-02-15T10:08:20"/>
        <d v="2024-02-16T17:35:47"/>
        <d v="2024-02-17T09:59:15"/>
        <d v="2024-02-19T16:39:00"/>
        <d v="2024-02-20T10:08:19"/>
        <d v="2024-02-21T00:00:00"/>
        <d v="2024-02-22T10:07:30"/>
        <d v="2024-02-23T09:42:06"/>
        <d v="2024-02-26T15:32:31"/>
        <d v="2024-02-27T10:19:43"/>
        <d v="2024-02-28T09:58:25"/>
        <d v="2024-03-01T15:33:11"/>
        <d v="2024-03-02T09:08:45"/>
        <d v="2024-03-03T14:51:03"/>
        <d v="2024-03-05T10:42:41"/>
        <d v="2024-03-06T18:53:41"/>
        <d v="2024-03-07T10:05:26"/>
        <d v="2024-03-08T14:51:04"/>
        <d v="2024-03-09T08:47:57"/>
        <d v="2024-03-11T18:52:57"/>
        <d v="2024-03-12T10:07:18"/>
        <d v="2024-03-13T18:20:24"/>
        <d v="2024-03-14T10:36:24"/>
        <d v="2024-03-15T10:08:20"/>
        <d v="2024-03-19T09:57:47"/>
        <d v="2024-03-20T09:34:28"/>
        <d v="2024-03-22T09:56:49"/>
        <d v="2024-03-23T08:36:47"/>
        <d v="2024-03-25T15:07:03"/>
        <d v="2024-03-26T00:00:00"/>
        <d v="2024-03-27T00:00:00"/>
        <d v="2024-03-30T10:11:34"/>
        <d v="2024-03-31T10:37:35"/>
        <d v="2024-01-27T14:50:38" u="1"/>
        <d v="2024-01-27T10:37:11" u="1"/>
      </sharedItems>
    </cacheField>
    <cacheField name="Total distance [m]" numFmtId="1">
      <sharedItems containsSemiMixedTypes="0" containsString="0" containsNumber="1" containsInteger="1" minValue="70" maxValue="15084"/>
    </cacheField>
    <cacheField name="Speed zone 5 [m] (25.00- km/h)" numFmtId="1">
      <sharedItems containsSemiMixedTypes="0" containsString="0" containsNumber="1" containsInteger="1" minValue="0" maxValue="594"/>
    </cacheField>
    <cacheField name="Deaccelerations (-50.00 - -3.00 m/s²)" numFmtId="1">
      <sharedItems containsSemiMixedTypes="0" containsString="0" containsNumber="1" containsInteger="1" minValue="0" maxValue="77"/>
    </cacheField>
    <cacheField name="Accelerations (3.00 - 50.00 m/s²)" numFmtId="1">
      <sharedItems containsSemiMixedTypes="0" containsString="0" containsNumber="1" containsInteger="1" minValue="0" maxValue="81"/>
    </cacheField>
    <cacheField name="Exercise Load " numFmtId="0">
      <sharedItems containsSemiMixedTypes="0" containsString="0" containsNumber="1" minValue="0.7" maxValue="164.01"/>
    </cacheField>
    <cacheField name="D - LIGHT" numFmtId="1">
      <sharedItems containsSemiMixedTypes="0" containsString="0" containsNumber="1" minValue="60.284000000000006" maxValue="60.284000000000006"/>
    </cacheField>
    <cacheField name="D - MODERATE" numFmtId="1">
      <sharedItems containsSemiMixedTypes="0" containsString="0" containsNumber="1" minValue="30.14200000000001" maxValue="30.14200000000001"/>
    </cacheField>
    <cacheField name="D - VIGOROUS" numFmtId="1">
      <sharedItems containsSemiMixedTypes="0" containsString="0" containsNumber="1" minValue="30.141999999999996" maxValue="30.141999999999996"/>
    </cacheField>
    <cacheField name="D - INTENSE " numFmtId="1">
      <sharedItems containsSemiMixedTypes="0" containsString="0" containsNumber="1" minValue="79.431999999999988" maxValue="79.431999999999988"/>
    </cacheField>
    <cacheField name="M - LIGHT" numFmtId="1">
      <sharedItems containsSemiMixedTypes="0" containsString="0" containsNumber="1" minValue="65.603999999999999" maxValue="65.603999999999999"/>
    </cacheField>
    <cacheField name="M - MODERATE" numFmtId="1">
      <sharedItems containsSemiMixedTypes="0" containsString="0" containsNumber="1" minValue="32.802000000000007" maxValue="32.802000000000007"/>
    </cacheField>
    <cacheField name="M - VIGOROUS" numFmtId="1">
      <sharedItems containsSemiMixedTypes="0" containsString="0" containsNumber="1" minValue="32.801999999999992" maxValue="32.801999999999992"/>
    </cacheField>
    <cacheField name="M - INTENSE" numFmtId="1">
      <sharedItems containsSemiMixedTypes="0" containsString="0" containsNumber="1" minValue="68.792000000000002" maxValue="68.792000000000002"/>
    </cacheField>
    <cacheField name="W - LIGHT" numFmtId="1">
      <sharedItems containsSemiMixedTypes="0" containsString="0" containsNumber="1" minValue="62.64" maxValue="62.64"/>
    </cacheField>
    <cacheField name="W - MODERATE" numFmtId="1">
      <sharedItems containsSemiMixedTypes="0" containsString="0" containsNumber="1" minValue="31.319999999999993" maxValue="31.319999999999993"/>
    </cacheField>
    <cacheField name="W - VIGOROUS" numFmtId="1">
      <sharedItems containsSemiMixedTypes="0" containsString="0" containsNumber="1" minValue="31.320000000000007" maxValue="31.320000000000007"/>
    </cacheField>
    <cacheField name="W - INTENSE" numFmtId="1">
      <sharedItems containsSemiMixedTypes="0" containsString="0" containsNumber="1" minValue="74.72" maxValue="74.72"/>
    </cacheField>
    <cacheField name="S - LIGHT" numFmtId="1">
      <sharedItems containsSemiMixedTypes="0" containsString="0" containsNumber="1" minValue="55.896000000000001" maxValue="55.896000000000001"/>
    </cacheField>
    <cacheField name="S - MODERATE" numFmtId="1">
      <sharedItems containsSemiMixedTypes="0" containsString="0" containsNumber="1" minValue="27.947999999999993" maxValue="27.947999999999993"/>
    </cacheField>
    <cacheField name="S - VIGOROUS" numFmtId="1">
      <sharedItems containsSemiMixedTypes="0" containsString="0" containsNumber="1" minValue="27.948000000000008" maxValue="27.948000000000008"/>
    </cacheField>
    <cacheField name="S - INTENSE" numFmtId="1">
      <sharedItems containsSemiMixedTypes="0" containsString="0" containsNumber="1" minValue="88.207999999999998" maxValue="88.207999999999998"/>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9">
  <r>
    <x v="0"/>
    <x v="0"/>
    <x v="0"/>
    <n v="6284"/>
    <n v="19"/>
    <n v="29"/>
    <n v="46"/>
    <n v="65.4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0"/>
    <n v="7232"/>
    <n v="0"/>
    <n v="8"/>
    <n v="9"/>
    <n v="72.8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0"/>
    <n v="1762"/>
    <n v="0"/>
    <n v="0"/>
    <n v="0"/>
    <n v="17.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0"/>
    <n v="5146"/>
    <n v="0"/>
    <n v="0"/>
    <n v="1"/>
    <n v="5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0"/>
    <n v="6182"/>
    <n v="0"/>
    <n v="48"/>
    <n v="24"/>
    <n v="64.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5"/>
    <x v="0"/>
    <x v="0"/>
    <n v="2958"/>
    <n v="0"/>
    <n v="13"/>
    <n v="13"/>
    <n v="30.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0"/>
    <n v="7227"/>
    <n v="89"/>
    <n v="55"/>
    <n v="39"/>
    <n v="77.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0"/>
    <n v="1805"/>
    <n v="0"/>
    <n v="15"/>
    <n v="8"/>
    <n v="18.80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0"/>
    <n v="3894"/>
    <n v="0"/>
    <n v="30"/>
    <n v="27"/>
    <n v="40.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0"/>
    <n v="5653"/>
    <n v="11"/>
    <n v="54"/>
    <n v="43"/>
    <n v="59.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0"/>
    <n v="6049"/>
    <n v="7"/>
    <n v="27"/>
    <n v="35"/>
    <n v="62.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0"/>
    <n v="8553"/>
    <n v="0"/>
    <n v="25"/>
    <n v="20"/>
    <n v="86.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0"/>
    <n v="1959"/>
    <n v="0"/>
    <n v="1"/>
    <n v="3"/>
    <n v="19.690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0"/>
    <n v="4682"/>
    <n v="0"/>
    <n v="23"/>
    <n v="19"/>
    <n v="48.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0"/>
    <n v="1823"/>
    <n v="0"/>
    <n v="18"/>
    <n v="11"/>
    <n v="19.1700000000000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0"/>
    <n v="6356"/>
    <n v="8"/>
    <n v="35"/>
    <n v="28"/>
    <n v="65.7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0"/>
    <n v="6601"/>
    <n v="36"/>
    <n v="39"/>
    <n v="28"/>
    <n v="69.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0"/>
    <n v="7366"/>
    <n v="11"/>
    <n v="66"/>
    <n v="40"/>
    <n v="77.4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0"/>
    <n v="3573"/>
    <n v="74"/>
    <n v="25"/>
    <n v="19"/>
    <n v="39.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0"/>
    <n v="5622"/>
    <n v="2"/>
    <n v="37"/>
    <n v="21"/>
    <n v="58.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0"/>
    <n v="4986"/>
    <n v="24"/>
    <n v="36"/>
    <n v="42"/>
    <n v="52.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0"/>
    <n v="6464"/>
    <n v="30"/>
    <n v="45"/>
    <n v="38"/>
    <n v="68.0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0"/>
    <n v="6433"/>
    <n v="4"/>
    <n v="53"/>
    <n v="35"/>
    <n v="67.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0"/>
    <n v="6418"/>
    <n v="53"/>
    <n v="32"/>
    <n v="26"/>
    <n v="67.5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0"/>
    <n v="6153"/>
    <n v="27"/>
    <n v="52"/>
    <n v="48"/>
    <n v="65.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0"/>
    <n v="4569"/>
    <n v="7"/>
    <n v="29"/>
    <n v="35"/>
    <n v="47.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
    <n v="7625"/>
    <n v="83"/>
    <n v="24"/>
    <n v="31"/>
    <n v="80.3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
    <n v="7796"/>
    <n v="14"/>
    <n v="25"/>
    <n v="29"/>
    <n v="79.95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
    <n v="4298"/>
    <n v="14"/>
    <n v="12"/>
    <n v="22"/>
    <n v="44.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
    <n v="8407"/>
    <n v="0"/>
    <n v="9"/>
    <n v="9"/>
    <n v="84.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
    <n v="8214"/>
    <n v="38"/>
    <n v="34"/>
    <n v="35"/>
    <n v="85.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5"/>
    <x v="0"/>
    <x v="1"/>
    <n v="7457"/>
    <n v="11"/>
    <n v="38"/>
    <n v="49"/>
    <n v="77.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
    <n v="6865"/>
    <n v="27"/>
    <n v="22"/>
    <n v="40"/>
    <n v="71.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
    <n v="8055"/>
    <n v="65"/>
    <n v="47"/>
    <n v="64"/>
    <n v="85.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
    <n v="7736"/>
    <n v="7"/>
    <n v="18"/>
    <n v="29"/>
    <n v="78.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
    <n v="7313"/>
    <n v="16"/>
    <n v="17"/>
    <n v="26"/>
    <n v="74.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
    <n v="8596"/>
    <n v="70"/>
    <n v="39"/>
    <n v="44"/>
    <n v="9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1"/>
    <n v="6933"/>
    <n v="71"/>
    <n v="24"/>
    <n v="21"/>
    <n v="72.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
    <n v="7434"/>
    <n v="17"/>
    <n v="30"/>
    <n v="18"/>
    <n v="76.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1"/>
    <n v="7102"/>
    <n v="32"/>
    <n v="15"/>
    <n v="31"/>
    <n v="7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
    <n v="7590"/>
    <n v="58"/>
    <n v="31"/>
    <n v="39"/>
    <n v="79.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
    <n v="7411"/>
    <n v="22"/>
    <n v="20"/>
    <n v="35"/>
    <n v="76.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1"/>
    <n v="7340"/>
    <n v="92"/>
    <n v="31"/>
    <n v="31"/>
    <n v="78.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
    <n v="8352"/>
    <n v="49"/>
    <n v="52"/>
    <n v="50"/>
    <n v="88.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1"/>
    <n v="8557"/>
    <n v="182"/>
    <n v="39"/>
    <n v="55"/>
    <n v="93.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
    <n v="8415"/>
    <n v="75"/>
    <n v="41"/>
    <n v="44"/>
    <n v="88.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
    <n v="8564"/>
    <n v="54"/>
    <n v="43"/>
    <n v="58"/>
    <n v="90.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
    <n v="8505"/>
    <n v="44"/>
    <n v="46"/>
    <n v="40"/>
    <n v="89.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1"/>
    <n v="70"/>
    <n v="0"/>
    <n v="0"/>
    <n v="0"/>
    <n v="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1"/>
    <n v="8749"/>
    <n v="9"/>
    <n v="22"/>
    <n v="32"/>
    <n v="89.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
    <n v="7542"/>
    <n v="29"/>
    <n v="23"/>
    <n v="38"/>
    <n v="77.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
    <n v="5724"/>
    <n v="95"/>
    <n v="22"/>
    <n v="27"/>
    <n v="61.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
    <n v="6553"/>
    <n v="31"/>
    <n v="20"/>
    <n v="32"/>
    <n v="67.9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
    <n v="5170"/>
    <n v="67"/>
    <n v="23"/>
    <n v="33"/>
    <n v="55.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
    <n v="2504"/>
    <n v="0"/>
    <n v="2"/>
    <n v="3"/>
    <n v="25.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
    <n v="6989"/>
    <n v="17"/>
    <n v="28"/>
    <n v="22"/>
    <n v="71.95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5"/>
    <x v="0"/>
    <x v="2"/>
    <n v="5705"/>
    <n v="20"/>
    <n v="25"/>
    <n v="28"/>
    <n v="59.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
    <n v="5697"/>
    <n v="88"/>
    <n v="21"/>
    <n v="34"/>
    <n v="61.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2"/>
    <n v="6769"/>
    <n v="62"/>
    <n v="30"/>
    <n v="41"/>
    <n v="71.5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
    <n v="3936"/>
    <n v="4"/>
    <n v="14"/>
    <n v="12"/>
    <n v="40.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
    <n v="4459"/>
    <n v="0"/>
    <n v="5"/>
    <n v="14"/>
    <n v="45.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
    <n v="6416"/>
    <n v="85"/>
    <n v="23"/>
    <n v="27"/>
    <n v="68.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2"/>
    <n v="6329"/>
    <n v="24"/>
    <n v="42"/>
    <n v="28"/>
    <n v="66.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
    <n v="5440"/>
    <n v="43"/>
    <n v="27"/>
    <n v="12"/>
    <n v="57.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
    <n v="5121"/>
    <n v="11"/>
    <n v="15"/>
    <n v="13"/>
    <n v="5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
    <n v="4666"/>
    <n v="4"/>
    <n v="14"/>
    <n v="15"/>
    <n v="47.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
    <n v="5853"/>
    <n v="0"/>
    <n v="19"/>
    <n v="18"/>
    <n v="59.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
    <n v="6606"/>
    <n v="51"/>
    <n v="29"/>
    <n v="29"/>
    <n v="69.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
    <n v="6166"/>
    <n v="28"/>
    <n v="43"/>
    <n v="28"/>
    <n v="64.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2"/>
    <n v="4046"/>
    <n v="92"/>
    <n v="27"/>
    <n v="15"/>
    <n v="4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
    <n v="6286"/>
    <n v="48"/>
    <n v="28"/>
    <n v="25"/>
    <n v="65.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
    <n v="4514"/>
    <n v="4"/>
    <n v="19"/>
    <n v="11"/>
    <n v="46.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
    <n v="6391"/>
    <n v="68"/>
    <n v="58"/>
    <n v="54"/>
    <n v="69.3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
    <n v="4993"/>
    <n v="74"/>
    <n v="21"/>
    <n v="14"/>
    <n v="53.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2"/>
    <n v="4124"/>
    <n v="7"/>
    <n v="21"/>
    <n v="12"/>
    <n v="42.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
    <n v="6553"/>
    <n v="169"/>
    <n v="37"/>
    <n v="33"/>
    <n v="72.7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
    <n v="6279"/>
    <n v="65"/>
    <n v="30"/>
    <n v="24"/>
    <n v="66.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
    <n v="4216"/>
    <n v="0"/>
    <n v="8"/>
    <n v="19"/>
    <n v="42.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
    <n v="14275"/>
    <n v="167"/>
    <n v="45"/>
    <n v="26"/>
    <n v="150.08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5"/>
    <x v="0"/>
    <x v="3"/>
    <n v="3265"/>
    <n v="0"/>
    <n v="7"/>
    <n v="13"/>
    <n v="33.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
    <n v="11310"/>
    <n v="309"/>
    <n v="64"/>
    <n v="39"/>
    <n v="125.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
    <n v="11244"/>
    <n v="254"/>
    <n v="44"/>
    <n v="47"/>
    <n v="122.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
    <n v="2803"/>
    <n v="11"/>
    <n v="3"/>
    <n v="5"/>
    <n v="28.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
    <n v="9506"/>
    <n v="322"/>
    <n v="42"/>
    <n v="34"/>
    <n v="107.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3"/>
    <n v="10588"/>
    <n v="163"/>
    <n v="45"/>
    <n v="33"/>
    <n v="113.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
    <n v="13701"/>
    <n v="191"/>
    <n v="74"/>
    <n v="39"/>
    <n v="146.47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
    <n v="2549"/>
    <n v="0"/>
    <n v="0"/>
    <n v="1"/>
    <n v="25.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3"/>
    <n v="7359"/>
    <n v="82"/>
    <n v="36"/>
    <n v="18"/>
    <n v="77.8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
    <n v="13457"/>
    <n v="303"/>
    <n v="59"/>
    <n v="51"/>
    <n v="147.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
    <n v="12792"/>
    <n v="555"/>
    <n v="73"/>
    <n v="60"/>
    <n v="148.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3"/>
    <n v="3198"/>
    <n v="5"/>
    <n v="3"/>
    <n v="5"/>
    <n v="32.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
    <n v="6727"/>
    <n v="56"/>
    <n v="23"/>
    <n v="25"/>
    <n v="70.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
    <n v="11800"/>
    <n v="392"/>
    <n v="60"/>
    <n v="53"/>
    <n v="133.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
    <n v="8603"/>
    <n v="148"/>
    <n v="36"/>
    <n v="29"/>
    <n v="92.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
    <n v="11071"/>
    <n v="64"/>
    <n v="41"/>
    <n v="42"/>
    <n v="115.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4"/>
    <n v="585"/>
    <n v="0"/>
    <n v="0"/>
    <n v="0"/>
    <n v="5.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
    <n v="11094"/>
    <n v="239"/>
    <n v="44"/>
    <n v="33"/>
    <n v="120.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
    <n v="7981"/>
    <n v="0"/>
    <n v="26"/>
    <n v="24"/>
    <n v="81.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
    <n v="3351"/>
    <n v="0"/>
    <n v="14"/>
    <n v="2"/>
    <n v="34.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5"/>
    <x v="0"/>
    <x v="4"/>
    <n v="6155"/>
    <n v="1"/>
    <n v="31"/>
    <n v="21"/>
    <n v="63.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4"/>
    <n v="3515"/>
    <n v="0"/>
    <n v="6"/>
    <n v="7"/>
    <n v="35.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
    <n v="3200"/>
    <n v="0"/>
    <n v="1"/>
    <n v="1"/>
    <n v="32.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
    <n v="3071"/>
    <n v="0"/>
    <n v="2"/>
    <n v="1"/>
    <n v="30.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
    <n v="3440"/>
    <n v="0"/>
    <n v="3"/>
    <n v="6"/>
    <n v="34.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4"/>
    <n v="3052"/>
    <n v="18"/>
    <n v="3"/>
    <n v="1"/>
    <n v="3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
    <n v="3238"/>
    <n v="0"/>
    <n v="12"/>
    <n v="2"/>
    <n v="3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
    <n v="2963"/>
    <n v="0"/>
    <n v="2"/>
    <n v="2"/>
    <n v="29.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
    <n v="611"/>
    <n v="0"/>
    <n v="0"/>
    <n v="0"/>
    <n v="6.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
    <n v="8589"/>
    <n v="30"/>
    <n v="27"/>
    <n v="18"/>
    <n v="88.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4"/>
    <n v="2941"/>
    <n v="0"/>
    <n v="4"/>
    <n v="2"/>
    <n v="29.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
    <n v="11136"/>
    <n v="289"/>
    <n v="37"/>
    <n v="38"/>
    <n v="122.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
    <n v="6029"/>
    <n v="84"/>
    <n v="17"/>
    <n v="21"/>
    <n v="63.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
    <n v="3086"/>
    <n v="0"/>
    <n v="4"/>
    <n v="2"/>
    <n v="31.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
    <n v="11474"/>
    <n v="251"/>
    <n v="68"/>
    <n v="35"/>
    <n v="125.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4"/>
    <n v="3224"/>
    <n v="0"/>
    <n v="3"/>
    <n v="1"/>
    <n v="32.38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
    <n v="11708"/>
    <n v="275"/>
    <n v="56"/>
    <n v="46"/>
    <n v="128.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
    <n v="6020"/>
    <n v="219"/>
    <n v="26"/>
    <n v="29"/>
    <n v="68.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
    <n v="8127"/>
    <n v="70"/>
    <n v="33"/>
    <n v="27"/>
    <n v="85.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
    <n v="8291"/>
    <n v="0"/>
    <n v="30"/>
    <n v="24"/>
    <n v="84.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5"/>
    <n v="9128"/>
    <n v="31"/>
    <n v="11"/>
    <n v="7"/>
    <n v="92.7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
    <n v="2677"/>
    <n v="22"/>
    <n v="1"/>
    <n v="5"/>
    <n v="27.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
    <n v="1686"/>
    <n v="0"/>
    <n v="6"/>
    <n v="0"/>
    <n v="17.100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5"/>
    <n v="2693"/>
    <n v="10"/>
    <n v="2"/>
    <n v="6"/>
    <n v="27.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
    <n v="8041"/>
    <n v="14"/>
    <n v="30"/>
    <n v="20"/>
    <n v="82.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
    <n v="8731"/>
    <n v="7"/>
    <n v="28"/>
    <n v="17"/>
    <n v="88.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
    <n v="8061"/>
    <n v="30"/>
    <n v="33"/>
    <n v="24"/>
    <n v="83.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
    <n v="7476"/>
    <n v="33"/>
    <n v="31"/>
    <n v="17"/>
    <n v="77.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
    <n v="2948"/>
    <n v="0"/>
    <n v="6"/>
    <n v="6"/>
    <n v="29.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5"/>
    <n v="2286"/>
    <n v="0"/>
    <n v="1"/>
    <n v="0"/>
    <n v="2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
    <n v="2625"/>
    <n v="6"/>
    <n v="4"/>
    <n v="4"/>
    <n v="26.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
    <n v="5004"/>
    <n v="42"/>
    <n v="18"/>
    <n v="15"/>
    <n v="52.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
    <n v="7702"/>
    <n v="50"/>
    <n v="31"/>
    <n v="18"/>
    <n v="80.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
    <n v="4653"/>
    <n v="18"/>
    <n v="19"/>
    <n v="20"/>
    <n v="48.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
    <n v="7359"/>
    <n v="74"/>
    <n v="32"/>
    <n v="15"/>
    <n v="77.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
    <n v="8947"/>
    <n v="5"/>
    <n v="37"/>
    <n v="23"/>
    <n v="91.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
    <n v="2887"/>
    <n v="4"/>
    <n v="5"/>
    <n v="5"/>
    <n v="29.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
    <n v="1609"/>
    <n v="0"/>
    <n v="0"/>
    <n v="1"/>
    <n v="16.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
    <n v="6457"/>
    <n v="71"/>
    <n v="40"/>
    <n v="39"/>
    <n v="69.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
    <n v="6071"/>
    <n v="48"/>
    <n v="30"/>
    <n v="7"/>
    <n v="63.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5"/>
    <n v="1621"/>
    <n v="0"/>
    <n v="7"/>
    <n v="3"/>
    <n v="16.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5"/>
    <n v="7509"/>
    <n v="51"/>
    <n v="36"/>
    <n v="13"/>
    <n v="78.3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
    <n v="8333"/>
    <n v="33"/>
    <n v="27"/>
    <n v="28"/>
    <n v="85.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6"/>
    <n v="3156"/>
    <n v="1"/>
    <n v="4"/>
    <n v="13"/>
    <n v="32.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6"/>
    <n v="2912"/>
    <n v="0"/>
    <n v="5"/>
    <n v="3"/>
    <n v="29.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6"/>
    <n v="2851"/>
    <n v="0"/>
    <n v="5"/>
    <n v="11"/>
    <n v="28.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6"/>
    <n v="2720"/>
    <n v="0"/>
    <n v="18"/>
    <n v="11"/>
    <n v="28.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6"/>
    <n v="3171"/>
    <n v="0"/>
    <n v="3"/>
    <n v="8"/>
    <n v="31.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6"/>
    <n v="3239"/>
    <n v="0"/>
    <n v="17"/>
    <n v="7"/>
    <n v="33.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6"/>
    <n v="2914"/>
    <n v="0"/>
    <n v="15"/>
    <n v="20"/>
    <n v="30.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6"/>
    <n v="2963"/>
    <n v="0"/>
    <n v="13"/>
    <n v="7"/>
    <n v="30.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7"/>
    <n v="5994"/>
    <n v="126"/>
    <n v="21"/>
    <n v="13"/>
    <n v="64.8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7"/>
    <n v="6427"/>
    <n v="45"/>
    <n v="11"/>
    <n v="12"/>
    <n v="6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7"/>
    <n v="3208"/>
    <n v="45"/>
    <n v="9"/>
    <n v="10"/>
    <n v="33.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7"/>
    <n v="3212"/>
    <n v="51"/>
    <n v="8"/>
    <n v="14"/>
    <n v="34.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7"/>
    <n v="5056"/>
    <n v="0"/>
    <n v="7"/>
    <n v="6"/>
    <n v="50.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7"/>
    <n v="5867"/>
    <n v="20"/>
    <n v="12"/>
    <n v="8"/>
    <n v="59.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7"/>
    <n v="5654"/>
    <n v="137"/>
    <n v="21"/>
    <n v="22"/>
    <n v="61.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7"/>
    <n v="6176"/>
    <n v="216"/>
    <n v="19"/>
    <n v="25"/>
    <n v="6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7"/>
    <n v="5716"/>
    <n v="194"/>
    <n v="25"/>
    <n v="16"/>
    <n v="6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7"/>
    <n v="3497"/>
    <n v="10"/>
    <n v="3"/>
    <n v="9"/>
    <n v="35.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7"/>
    <n v="6605"/>
    <n v="151"/>
    <n v="28"/>
    <n v="25"/>
    <n v="7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7"/>
    <n v="3380"/>
    <n v="0"/>
    <n v="7"/>
    <n v="2"/>
    <n v="34.11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7"/>
    <n v="6186"/>
    <n v="91"/>
    <n v="17"/>
    <n v="9"/>
    <n v="65.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7"/>
    <n v="5865"/>
    <n v="86"/>
    <n v="23"/>
    <n v="11"/>
    <n v="62.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7"/>
    <n v="1806"/>
    <n v="10"/>
    <n v="0"/>
    <n v="6"/>
    <n v="18.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7"/>
    <n v="4616"/>
    <n v="22"/>
    <n v="13"/>
    <n v="14"/>
    <n v="47.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7"/>
    <n v="5304"/>
    <n v="155"/>
    <n v="11"/>
    <n v="13"/>
    <n v="58.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7"/>
    <n v="6264"/>
    <n v="131"/>
    <n v="27"/>
    <n v="10"/>
    <n v="67.8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7"/>
    <n v="6121"/>
    <n v="198"/>
    <n v="32"/>
    <n v="22"/>
    <n v="68.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7"/>
    <n v="4981"/>
    <n v="61"/>
    <n v="19"/>
    <n v="8"/>
    <n v="52.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7"/>
    <n v="5026"/>
    <n v="0"/>
    <n v="0"/>
    <n v="0"/>
    <n v="50.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7"/>
    <n v="5623"/>
    <n v="168"/>
    <n v="30"/>
    <n v="22"/>
    <n v="62.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7"/>
    <n v="3849"/>
    <n v="6"/>
    <n v="12"/>
    <n v="9"/>
    <n v="39.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7"/>
    <n v="5364"/>
    <n v="22"/>
    <n v="11"/>
    <n v="9"/>
    <n v="54.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7"/>
    <n v="4661"/>
    <n v="123"/>
    <n v="17"/>
    <n v="10"/>
    <n v="51.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7"/>
    <n v="6046"/>
    <n v="41"/>
    <n v="8"/>
    <n v="8"/>
    <n v="62.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8"/>
    <n v="8533"/>
    <n v="75"/>
    <n v="25"/>
    <n v="27"/>
    <n v="89.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8"/>
    <n v="13086"/>
    <n v="66"/>
    <n v="41"/>
    <n v="51"/>
    <n v="13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8"/>
    <n v="9210"/>
    <n v="103"/>
    <n v="28"/>
    <n v="20"/>
    <n v="96.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8"/>
    <n v="12010"/>
    <n v="288"/>
    <n v="56"/>
    <n v="44"/>
    <n v="131.86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8"/>
    <n v="12761"/>
    <n v="191"/>
    <n v="43"/>
    <n v="34"/>
    <n v="135.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8"/>
    <n v="14299"/>
    <n v="337"/>
    <n v="66"/>
    <n v="43"/>
    <n v="15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8"/>
    <n v="11566"/>
    <n v="205"/>
    <n v="31"/>
    <n v="27"/>
    <n v="123.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8"/>
    <n v="9761"/>
    <n v="51"/>
    <n v="42"/>
    <n v="20"/>
    <n v="101.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8"/>
    <n v="7162"/>
    <n v="180"/>
    <n v="24"/>
    <n v="20"/>
    <n v="78.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8"/>
    <n v="5459"/>
    <n v="0"/>
    <n v="9"/>
    <n v="10"/>
    <n v="55.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8"/>
    <n v="5476"/>
    <n v="0"/>
    <n v="18"/>
    <n v="10"/>
    <n v="55.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8"/>
    <n v="13887"/>
    <n v="140"/>
    <n v="55"/>
    <n v="46"/>
    <n v="146.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8"/>
    <n v="6570"/>
    <n v="64"/>
    <n v="24"/>
    <n v="8"/>
    <n v="68.7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8"/>
    <n v="12979"/>
    <n v="167"/>
    <n v="72"/>
    <n v="62"/>
    <n v="138.91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8"/>
    <n v="9465"/>
    <n v="298"/>
    <n v="44"/>
    <n v="40"/>
    <n v="106.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8"/>
    <n v="6629"/>
    <n v="4"/>
    <n v="26"/>
    <n v="28"/>
    <n v="68.0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8"/>
    <n v="6976"/>
    <n v="11"/>
    <n v="23"/>
    <n v="18"/>
    <n v="71.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9"/>
    <n v="10476"/>
    <n v="101"/>
    <n v="27"/>
    <n v="29"/>
    <n v="109.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9"/>
    <n v="11443"/>
    <n v="177"/>
    <n v="40"/>
    <n v="24"/>
    <n v="121.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9"/>
    <n v="1949"/>
    <n v="0"/>
    <n v="0"/>
    <n v="0"/>
    <n v="19.489999999999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9"/>
    <n v="9164"/>
    <n v="42"/>
    <n v="26"/>
    <n v="23"/>
    <n v="9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9"/>
    <n v="12454"/>
    <n v="77"/>
    <n v="14"/>
    <n v="18"/>
    <n v="127.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9"/>
    <n v="5941"/>
    <n v="135"/>
    <n v="35"/>
    <n v="20"/>
    <n v="65.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9"/>
    <n v="10882"/>
    <n v="266"/>
    <n v="34"/>
    <n v="31"/>
    <n v="118.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9"/>
    <n v="10540"/>
    <n v="189"/>
    <n v="32"/>
    <n v="30"/>
    <n v="112.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9"/>
    <n v="7078"/>
    <n v="16"/>
    <n v="21"/>
    <n v="14"/>
    <n v="72.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9"/>
    <n v="7549"/>
    <n v="151"/>
    <n v="27"/>
    <n v="19"/>
    <n v="8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9"/>
    <n v="10272"/>
    <n v="182"/>
    <n v="25"/>
    <n v="23"/>
    <n v="109.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9"/>
    <n v="1650"/>
    <n v="0"/>
    <n v="0"/>
    <n v="0"/>
    <n v="1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9"/>
    <n v="11650"/>
    <n v="384"/>
    <n v="50"/>
    <n v="39"/>
    <n v="130.80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9"/>
    <n v="10793"/>
    <n v="52"/>
    <n v="27"/>
    <n v="16"/>
    <n v="110.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9"/>
    <n v="11723"/>
    <n v="177"/>
    <n v="36"/>
    <n v="26"/>
    <n v="12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9"/>
    <n v="10478"/>
    <n v="358"/>
    <n v="34"/>
    <n v="26"/>
    <n v="11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9"/>
    <n v="6943"/>
    <n v="130"/>
    <n v="15"/>
    <n v="13"/>
    <n v="74.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9"/>
    <n v="9754"/>
    <n v="305"/>
    <n v="51"/>
    <n v="45"/>
    <n v="109.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9"/>
    <n v="11213"/>
    <n v="63"/>
    <n v="54"/>
    <n v="38"/>
    <n v="116.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9"/>
    <n v="9149"/>
    <n v="81"/>
    <n v="31"/>
    <n v="18"/>
    <n v="95.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9"/>
    <n v="10978"/>
    <n v="244"/>
    <n v="52"/>
    <n v="41"/>
    <n v="12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9"/>
    <n v="5888"/>
    <n v="136"/>
    <n v="18"/>
    <n v="14"/>
    <n v="63.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9"/>
    <n v="10476"/>
    <n v="101"/>
    <n v="27"/>
    <n v="29"/>
    <n v="109.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9"/>
    <n v="11443"/>
    <n v="177"/>
    <n v="40"/>
    <n v="24"/>
    <n v="121.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9"/>
    <n v="1949"/>
    <n v="0"/>
    <n v="0"/>
    <n v="0"/>
    <n v="19.489999999999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9"/>
    <n v="9164"/>
    <n v="42"/>
    <n v="26"/>
    <n v="23"/>
    <n v="9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9"/>
    <n v="12454"/>
    <n v="77"/>
    <n v="14"/>
    <n v="18"/>
    <n v="127.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9"/>
    <n v="5941"/>
    <n v="135"/>
    <n v="35"/>
    <n v="20"/>
    <n v="65.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9"/>
    <n v="10882"/>
    <n v="266"/>
    <n v="34"/>
    <n v="31"/>
    <n v="118.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9"/>
    <n v="10540"/>
    <n v="189"/>
    <n v="32"/>
    <n v="30"/>
    <n v="112.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9"/>
    <n v="7078"/>
    <n v="16"/>
    <n v="21"/>
    <n v="14"/>
    <n v="72.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9"/>
    <n v="7549"/>
    <n v="151"/>
    <n v="27"/>
    <n v="19"/>
    <n v="8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2"/>
    <x v="4"/>
    <x v="9"/>
    <n v="10272"/>
    <n v="182"/>
    <n v="25"/>
    <n v="23"/>
    <n v="109.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9"/>
    <n v="1650"/>
    <n v="0"/>
    <n v="0"/>
    <n v="0"/>
    <n v="1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9"/>
    <n v="11650"/>
    <n v="384"/>
    <n v="50"/>
    <n v="39"/>
    <n v="130.80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9"/>
    <n v="10793"/>
    <n v="52"/>
    <n v="27"/>
    <n v="16"/>
    <n v="110.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9"/>
    <n v="11723"/>
    <n v="177"/>
    <n v="36"/>
    <n v="26"/>
    <n v="12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9"/>
    <n v="10478"/>
    <n v="358"/>
    <n v="34"/>
    <n v="26"/>
    <n v="11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9"/>
    <n v="6943"/>
    <n v="130"/>
    <n v="15"/>
    <n v="13"/>
    <n v="74.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9"/>
    <n v="9754"/>
    <n v="305"/>
    <n v="51"/>
    <n v="45"/>
    <n v="109.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9"/>
    <n v="11213"/>
    <n v="63"/>
    <n v="54"/>
    <n v="38"/>
    <n v="116.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3"/>
    <x v="4"/>
    <x v="9"/>
    <n v="9149"/>
    <n v="81"/>
    <n v="31"/>
    <n v="18"/>
    <n v="95.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9"/>
    <n v="10978"/>
    <n v="244"/>
    <n v="52"/>
    <n v="41"/>
    <n v="12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9"/>
    <n v="5888"/>
    <n v="136"/>
    <n v="18"/>
    <n v="14"/>
    <n v="63.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0"/>
    <n v="6949"/>
    <n v="61"/>
    <n v="18"/>
    <n v="20"/>
    <n v="72.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0"/>
    <n v="7953"/>
    <n v="49"/>
    <n v="16"/>
    <n v="26"/>
    <n v="82.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0"/>
    <n v="8539"/>
    <n v="18"/>
    <n v="19"/>
    <n v="15"/>
    <n v="86.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0"/>
    <n v="7953"/>
    <n v="11"/>
    <n v="12"/>
    <n v="21"/>
    <n v="80.7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0"/>
    <n v="7017"/>
    <n v="39"/>
    <n v="28"/>
    <n v="17"/>
    <n v="7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0"/>
    <n v="8149"/>
    <n v="31"/>
    <n v="17"/>
    <n v="3"/>
    <n v="83.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0"/>
    <n v="7449"/>
    <n v="121"/>
    <n v="35"/>
    <n v="21"/>
    <n v="7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0"/>
    <n v="7512"/>
    <n v="29"/>
    <n v="16"/>
    <n v="7"/>
    <n v="76.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0"/>
    <n v="7992"/>
    <n v="16"/>
    <n v="16"/>
    <n v="30"/>
    <n v="81.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0"/>
    <n v="7165"/>
    <n v="6"/>
    <n v="11"/>
    <n v="10"/>
    <n v="72.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0"/>
    <n v="7560"/>
    <n v="25"/>
    <n v="17"/>
    <n v="17"/>
    <n v="77.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0"/>
    <n v="5932"/>
    <n v="200"/>
    <n v="19"/>
    <n v="9"/>
    <n v="66.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0"/>
    <n v="8347"/>
    <n v="33"/>
    <n v="38"/>
    <n v="14"/>
    <n v="86.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0"/>
    <n v="8350"/>
    <n v="67"/>
    <n v="23"/>
    <n v="24"/>
    <n v="86.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0"/>
    <n v="6483"/>
    <n v="3"/>
    <n v="7"/>
    <n v="6"/>
    <n v="65.3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10"/>
    <n v="8194"/>
    <n v="27"/>
    <n v="17"/>
    <n v="19"/>
    <n v="83.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0"/>
    <n v="8268"/>
    <n v="12"/>
    <n v="19"/>
    <n v="10"/>
    <n v="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10"/>
    <n v="7041"/>
    <n v="44"/>
    <n v="27"/>
    <n v="11"/>
    <n v="73.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0"/>
    <n v="5816"/>
    <n v="33"/>
    <n v="22"/>
    <n v="24"/>
    <n v="60.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0"/>
    <n v="7864"/>
    <n v="22"/>
    <n v="15"/>
    <n v="12"/>
    <n v="80.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10"/>
    <n v="8116"/>
    <n v="67"/>
    <n v="23"/>
    <n v="16"/>
    <n v="84.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0"/>
    <n v="7009"/>
    <n v="27"/>
    <n v="24"/>
    <n v="20"/>
    <n v="72.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0"/>
    <n v="8715"/>
    <n v="16"/>
    <n v="19"/>
    <n v="13"/>
    <n v="88.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0"/>
    <n v="8716"/>
    <n v="103"/>
    <n v="16"/>
    <n v="11"/>
    <n v="91.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1"/>
    <n v="6975"/>
    <n v="0"/>
    <n v="21"/>
    <n v="24"/>
    <n v="71.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1"/>
    <n v="7407"/>
    <n v="0"/>
    <n v="20"/>
    <n v="27"/>
    <n v="75.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1"/>
    <n v="7782"/>
    <n v="0"/>
    <n v="19"/>
    <n v="8"/>
    <n v="78.7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1"/>
    <n v="7239"/>
    <n v="0"/>
    <n v="17"/>
    <n v="7"/>
    <n v="73.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1"/>
    <n v="6858"/>
    <n v="0"/>
    <n v="28"/>
    <n v="12"/>
    <n v="6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1"/>
    <n v="7182"/>
    <n v="4"/>
    <n v="30"/>
    <n v="10"/>
    <n v="73.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1"/>
    <n v="7103"/>
    <n v="0"/>
    <n v="23"/>
    <n v="15"/>
    <n v="72.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1"/>
    <n v="6556"/>
    <n v="0"/>
    <n v="8"/>
    <n v="9"/>
    <n v="66.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1"/>
    <n v="7493"/>
    <n v="10"/>
    <n v="17"/>
    <n v="27"/>
    <n v="76.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1"/>
    <n v="6633"/>
    <n v="0"/>
    <n v="13"/>
    <n v="17"/>
    <n v="67.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1"/>
    <n v="6375"/>
    <n v="0"/>
    <n v="13"/>
    <n v="11"/>
    <n v="64.4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1"/>
    <n v="7868"/>
    <n v="0"/>
    <n v="21"/>
    <n v="21"/>
    <n v="7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1"/>
    <n v="7624"/>
    <n v="0"/>
    <n v="48"/>
    <n v="18"/>
    <n v="78.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1"/>
    <n v="7731"/>
    <n v="4"/>
    <n v="31"/>
    <n v="15"/>
    <n v="78.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1"/>
    <n v="6739"/>
    <n v="4"/>
    <n v="21"/>
    <n v="13"/>
    <n v="68.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11"/>
    <n v="7557"/>
    <n v="12"/>
    <n v="19"/>
    <n v="12"/>
    <n v="76.9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1"/>
    <n v="7935"/>
    <n v="9"/>
    <n v="36"/>
    <n v="16"/>
    <n v="81.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11"/>
    <n v="6924"/>
    <n v="11"/>
    <n v="20"/>
    <n v="9"/>
    <n v="70.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1"/>
    <n v="7109"/>
    <n v="0"/>
    <n v="23"/>
    <n v="15"/>
    <n v="72.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1"/>
    <n v="7436"/>
    <n v="0"/>
    <n v="26"/>
    <n v="16"/>
    <n v="75.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11"/>
    <n v="7226"/>
    <n v="20"/>
    <n v="20"/>
    <n v="22"/>
    <n v="74.0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1"/>
    <n v="6602"/>
    <n v="21"/>
    <n v="18"/>
    <n v="17"/>
    <n v="67.7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1"/>
    <n v="7564"/>
    <n v="0"/>
    <n v="31"/>
    <n v="18"/>
    <n v="77.2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1"/>
    <n v="6837"/>
    <n v="0"/>
    <n v="32"/>
    <n v="26"/>
    <n v="70.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2"/>
    <n v="4706"/>
    <n v="10"/>
    <n v="18"/>
    <n v="16"/>
    <n v="4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2"/>
    <n v="5404"/>
    <n v="39"/>
    <n v="11"/>
    <n v="28"/>
    <n v="56.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2"/>
    <n v="6623"/>
    <n v="63"/>
    <n v="24"/>
    <n v="29"/>
    <n v="69.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2"/>
    <n v="5945"/>
    <n v="56"/>
    <n v="12"/>
    <n v="8"/>
    <n v="61.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2"/>
    <n v="4606"/>
    <n v="0"/>
    <n v="12"/>
    <n v="7"/>
    <n v="46.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2"/>
    <n v="5796"/>
    <n v="10"/>
    <n v="15"/>
    <n v="10"/>
    <n v="59.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2"/>
    <n v="5368"/>
    <n v="178"/>
    <n v="25"/>
    <n v="26"/>
    <n v="60.5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2"/>
    <n v="5724"/>
    <n v="18"/>
    <n v="16"/>
    <n v="10"/>
    <n v="58.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2"/>
    <n v="5555"/>
    <n v="17"/>
    <n v="10"/>
    <n v="16"/>
    <n v="56.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2"/>
    <n v="5676"/>
    <n v="35"/>
    <n v="17"/>
    <n v="18"/>
    <n v="58.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2"/>
    <n v="5776"/>
    <n v="0"/>
    <n v="9"/>
    <n v="7"/>
    <n v="58.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2"/>
    <n v="5970"/>
    <n v="90"/>
    <n v="16"/>
    <n v="20"/>
    <n v="63.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2"/>
    <n v="6338"/>
    <n v="4"/>
    <n v="25"/>
    <n v="18"/>
    <n v="64.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2"/>
    <n v="5723"/>
    <n v="76"/>
    <n v="19"/>
    <n v="24"/>
    <n v="60.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2"/>
    <n v="5467"/>
    <n v="12"/>
    <n v="16"/>
    <n v="8"/>
    <n v="55.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12"/>
    <n v="6248"/>
    <n v="42"/>
    <n v="28"/>
    <n v="25"/>
    <n v="65.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2"/>
    <n v="6934"/>
    <n v="0"/>
    <n v="7"/>
    <n v="19"/>
    <n v="7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12"/>
    <n v="4923"/>
    <n v="45"/>
    <n v="23"/>
    <n v="15"/>
    <n v="5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2"/>
    <n v="5683"/>
    <n v="0"/>
    <n v="23"/>
    <n v="16"/>
    <n v="58.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2"/>
    <n v="5985"/>
    <n v="6"/>
    <n v="13"/>
    <n v="9"/>
    <n v="60.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2"/>
    <n v="4852"/>
    <n v="0"/>
    <n v="16"/>
    <n v="10"/>
    <n v="49.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2"/>
    <n v="6050"/>
    <n v="60"/>
    <n v="28"/>
    <n v="16"/>
    <n v="63.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2"/>
    <n v="6174"/>
    <n v="103"/>
    <n v="23"/>
    <n v="16"/>
    <n v="66.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3"/>
    <n v="7495"/>
    <n v="114"/>
    <n v="15"/>
    <n v="9"/>
    <n v="79.15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3"/>
    <n v="8407"/>
    <n v="131"/>
    <n v="12"/>
    <n v="14"/>
    <n v="88.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3"/>
    <n v="8638"/>
    <n v="126"/>
    <n v="28"/>
    <n v="13"/>
    <n v="91.5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3"/>
    <n v="7540"/>
    <n v="105"/>
    <n v="18"/>
    <n v="11"/>
    <n v="79.4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3"/>
    <n v="6699"/>
    <n v="79"/>
    <n v="16"/>
    <n v="13"/>
    <n v="70.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3"/>
    <n v="8471"/>
    <n v="48"/>
    <n v="15"/>
    <n v="9"/>
    <n v="86.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5"/>
    <x v="0"/>
    <x v="13"/>
    <n v="5872"/>
    <n v="47"/>
    <n v="13"/>
    <n v="10"/>
    <n v="60.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3"/>
    <n v="7292"/>
    <n v="341"/>
    <n v="20"/>
    <n v="26"/>
    <n v="84.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3"/>
    <n v="7051"/>
    <n v="127"/>
    <n v="22"/>
    <n v="10"/>
    <n v="75.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3"/>
    <n v="7622"/>
    <n v="101"/>
    <n v="29"/>
    <n v="23"/>
    <n v="80.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3"/>
    <n v="7433"/>
    <n v="145"/>
    <n v="21"/>
    <n v="16"/>
    <n v="79.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3"/>
    <n v="7304"/>
    <n v="74"/>
    <n v="6"/>
    <n v="22"/>
    <n v="75.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3"/>
    <n v="8414"/>
    <n v="226"/>
    <n v="24"/>
    <n v="19"/>
    <n v="92.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3"/>
    <n v="9366"/>
    <n v="53"/>
    <n v="25"/>
    <n v="12"/>
    <n v="96.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13"/>
    <n v="7582"/>
    <n v="122"/>
    <n v="18"/>
    <n v="17"/>
    <n v="80.54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3"/>
    <n v="8169"/>
    <n v="210"/>
    <n v="24"/>
    <n v="16"/>
    <n v="89.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3"/>
    <n v="7124"/>
    <n v="47"/>
    <n v="12"/>
    <n v="7"/>
    <n v="73.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13"/>
    <n v="6886"/>
    <n v="149"/>
    <n v="24"/>
    <n v="13"/>
    <n v="74.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3"/>
    <n v="8700"/>
    <n v="66"/>
    <n v="20"/>
    <n v="9"/>
    <n v="89.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13"/>
    <n v="7169"/>
    <n v="43"/>
    <n v="8"/>
    <n v="6"/>
    <n v="73.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13"/>
    <n v="6857"/>
    <n v="188"/>
    <n v="19"/>
    <n v="18"/>
    <n v="75.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3"/>
    <n v="7468"/>
    <n v="32"/>
    <n v="22"/>
    <n v="21"/>
    <n v="76.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3"/>
    <n v="7359"/>
    <n v="133"/>
    <n v="15"/>
    <n v="12"/>
    <n v="78.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13"/>
    <n v="7903"/>
    <n v="133"/>
    <n v="38"/>
    <n v="30"/>
    <n v="85.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3"/>
    <n v="6691"/>
    <n v="160"/>
    <n v="24"/>
    <n v="27"/>
    <n v="73.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3"/>
    <n v="8000"/>
    <n v="137"/>
    <n v="36"/>
    <n v="20"/>
    <n v="85.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3"/>
    <n v="8133"/>
    <n v="278"/>
    <n v="29"/>
    <n v="23"/>
    <n v="91.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4"/>
    <n v="2421"/>
    <n v="0"/>
    <n v="16"/>
    <n v="37"/>
    <n v="25.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4"/>
    <n v="2476"/>
    <n v="0"/>
    <n v="18"/>
    <n v="36"/>
    <n v="2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4"/>
    <n v="2926"/>
    <n v="0"/>
    <n v="30"/>
    <n v="34"/>
    <n v="31.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4"/>
    <n v="2262"/>
    <n v="0"/>
    <n v="17"/>
    <n v="44"/>
    <n v="24.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4"/>
    <n v="2559"/>
    <n v="0"/>
    <n v="23"/>
    <n v="35"/>
    <n v="27.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4"/>
    <n v="2551"/>
    <n v="0"/>
    <n v="15"/>
    <n v="30"/>
    <n v="26.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4"/>
    <n v="3323"/>
    <n v="0"/>
    <n v="47"/>
    <n v="73"/>
    <n v="36.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4"/>
    <n v="2777"/>
    <n v="0"/>
    <n v="32"/>
    <n v="41"/>
    <n v="29.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14"/>
    <n v="2520"/>
    <n v="0"/>
    <n v="26"/>
    <n v="37"/>
    <n v="26.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4"/>
    <n v="3238"/>
    <n v="0"/>
    <n v="16"/>
    <n v="54"/>
    <n v="3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4"/>
    <n v="2819"/>
    <n v="0"/>
    <n v="26"/>
    <n v="45"/>
    <n v="30.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4"/>
    <n v="2468"/>
    <n v="0"/>
    <n v="13"/>
    <n v="28"/>
    <n v="25.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4"/>
    <n v="3220"/>
    <n v="0"/>
    <n v="43"/>
    <n v="53"/>
    <n v="34.97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4"/>
    <n v="3489"/>
    <n v="0"/>
    <n v="54"/>
    <n v="66"/>
    <n v="38.36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4"/>
    <n v="3425"/>
    <n v="5"/>
    <n v="44"/>
    <n v="54"/>
    <n v="37.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4"/>
    <n v="1920"/>
    <n v="0"/>
    <n v="8"/>
    <n v="10"/>
    <n v="19.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4"/>
    <n v="2892"/>
    <n v="0"/>
    <n v="46"/>
    <n v="50"/>
    <n v="31.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14"/>
    <n v="2547"/>
    <n v="0"/>
    <n v="18"/>
    <n v="31"/>
    <n v="26.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4"/>
    <n v="2580"/>
    <n v="0"/>
    <n v="24"/>
    <n v="40"/>
    <n v="27.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4"/>
    <n v="2740"/>
    <n v="0"/>
    <n v="27"/>
    <n v="37"/>
    <n v="29.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14"/>
    <n v="3303"/>
    <n v="0"/>
    <n v="37"/>
    <n v="64"/>
    <n v="35.7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14"/>
    <n v="2475"/>
    <n v="0"/>
    <n v="14"/>
    <n v="19"/>
    <n v="25.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14"/>
    <n v="2592"/>
    <n v="0"/>
    <n v="16"/>
    <n v="37"/>
    <n v="2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4"/>
    <n v="2441"/>
    <n v="0"/>
    <n v="22"/>
    <n v="34"/>
    <n v="25.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4"/>
    <n v="2620"/>
    <n v="0"/>
    <n v="17"/>
    <n v="39"/>
    <n v="27.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4"/>
    <n v="3837"/>
    <n v="0"/>
    <n v="52"/>
    <n v="81"/>
    <n v="42.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5"/>
    <n v="5670"/>
    <n v="103"/>
    <n v="19"/>
    <n v="17"/>
    <n v="60.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5"/>
    <n v="5761"/>
    <n v="57"/>
    <n v="14"/>
    <n v="21"/>
    <n v="6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5"/>
    <n v="3007"/>
    <n v="28"/>
    <n v="14"/>
    <n v="21"/>
    <n v="31.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5"/>
    <n v="5464"/>
    <n v="62"/>
    <n v="18"/>
    <n v="19"/>
    <n v="5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5"/>
    <n v="4922"/>
    <n v="111"/>
    <n v="27"/>
    <n v="11"/>
    <n v="53.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5"/>
    <n v="5666"/>
    <n v="15"/>
    <n v="21"/>
    <n v="19"/>
    <n v="58.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5"/>
    <n v="4994"/>
    <n v="18"/>
    <n v="9"/>
    <n v="15"/>
    <n v="51.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5"/>
    <n v="5373"/>
    <n v="92"/>
    <n v="29"/>
    <n v="25"/>
    <n v="58.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15"/>
    <n v="5341"/>
    <n v="79"/>
    <n v="21"/>
    <n v="15"/>
    <n v="56.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5"/>
    <n v="5892"/>
    <n v="121"/>
    <n v="24"/>
    <n v="27"/>
    <n v="64.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5"/>
    <n v="5784"/>
    <n v="195"/>
    <n v="23"/>
    <n v="23"/>
    <n v="65.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5"/>
    <n v="5509"/>
    <n v="45"/>
    <n v="22"/>
    <n v="17"/>
    <n v="57.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5"/>
    <n v="5943"/>
    <n v="115"/>
    <n v="31"/>
    <n v="18"/>
    <n v="64.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5"/>
    <n v="6276"/>
    <n v="90"/>
    <n v="30"/>
    <n v="25"/>
    <n v="67.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5"/>
    <n v="5726"/>
    <n v="112"/>
    <n v="39"/>
    <n v="30"/>
    <n v="62.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5"/>
    <n v="5448"/>
    <n v="48"/>
    <n v="11"/>
    <n v="7"/>
    <n v="5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5"/>
    <n v="5865"/>
    <n v="55"/>
    <n v="21"/>
    <n v="22"/>
    <n v="61.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15"/>
    <n v="5287"/>
    <n v="47"/>
    <n v="28"/>
    <n v="21"/>
    <n v="55.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5"/>
    <n v="5439"/>
    <n v="65"/>
    <n v="20"/>
    <n v="14"/>
    <n v="57.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5"/>
    <n v="5568"/>
    <n v="104"/>
    <n v="26"/>
    <n v="27"/>
    <n v="60.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15"/>
    <n v="5863"/>
    <n v="141"/>
    <n v="30"/>
    <n v="20"/>
    <n v="64.45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15"/>
    <n v="5575"/>
    <n v="53"/>
    <n v="14"/>
    <n v="15"/>
    <n v="5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15"/>
    <n v="5416"/>
    <n v="2"/>
    <n v="15"/>
    <n v="18"/>
    <n v="55.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5"/>
    <n v="4956"/>
    <n v="167"/>
    <n v="30"/>
    <n v="32"/>
    <n v="56.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5"/>
    <n v="6292"/>
    <n v="33"/>
    <n v="35"/>
    <n v="20"/>
    <n v="65.7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5"/>
    <n v="5767"/>
    <n v="97"/>
    <n v="31"/>
    <n v="24"/>
    <n v="6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6"/>
    <n v="7157"/>
    <n v="70"/>
    <n v="17"/>
    <n v="32"/>
    <n v="74.9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6"/>
    <n v="7829"/>
    <n v="23"/>
    <n v="14"/>
    <n v="16"/>
    <n v="79.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6"/>
    <n v="7673"/>
    <n v="17"/>
    <n v="26"/>
    <n v="22"/>
    <n v="78.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6"/>
    <n v="6903"/>
    <n v="107"/>
    <n v="36"/>
    <n v="22"/>
    <n v="74.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6"/>
    <n v="8230"/>
    <n v="131"/>
    <n v="21"/>
    <n v="20"/>
    <n v="87.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6"/>
    <n v="7884"/>
    <n v="58"/>
    <n v="27"/>
    <n v="26"/>
    <n v="82.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6"/>
    <n v="7403"/>
    <n v="219"/>
    <n v="35"/>
    <n v="24"/>
    <n v="82.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16"/>
    <n v="7344"/>
    <n v="52"/>
    <n v="13"/>
    <n v="13"/>
    <n v="75.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6"/>
    <n v="7483"/>
    <n v="65"/>
    <n v="29"/>
    <n v="28"/>
    <n v="7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6"/>
    <n v="7357"/>
    <n v="48"/>
    <n v="25"/>
    <n v="23"/>
    <n v="76.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6"/>
    <n v="7052"/>
    <n v="30"/>
    <n v="17"/>
    <n v="17"/>
    <n v="72.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6"/>
    <n v="7737"/>
    <n v="60"/>
    <n v="27"/>
    <n v="31"/>
    <n v="80.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6"/>
    <n v="7490"/>
    <n v="42"/>
    <n v="27"/>
    <n v="23"/>
    <n v="7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6"/>
    <n v="8017"/>
    <n v="286"/>
    <n v="32"/>
    <n v="38"/>
    <n v="90.7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6"/>
    <n v="6756"/>
    <n v="47"/>
    <n v="12"/>
    <n v="13"/>
    <n v="69.7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6"/>
    <n v="8478"/>
    <n v="17"/>
    <n v="31"/>
    <n v="39"/>
    <n v="87.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6"/>
    <n v="7509"/>
    <n v="294"/>
    <n v="28"/>
    <n v="19"/>
    <n v="85.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6"/>
    <n v="7314"/>
    <n v="40"/>
    <n v="31"/>
    <n v="27"/>
    <n v="76.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16"/>
    <n v="7517"/>
    <n v="30"/>
    <n v="12"/>
    <n v="17"/>
    <n v="76.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16"/>
    <n v="6984"/>
    <n v="7"/>
    <n v="16"/>
    <n v="14"/>
    <n v="70.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6"/>
    <n v="7415"/>
    <n v="60"/>
    <n v="30"/>
    <n v="33"/>
    <n v="77.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7"/>
    <n v="8225"/>
    <n v="7"/>
    <n v="18"/>
    <n v="24"/>
    <n v="83.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7"/>
    <n v="7877"/>
    <n v="133"/>
    <n v="37"/>
    <n v="27"/>
    <n v="84.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8"/>
    <n v="7674"/>
    <n v="86"/>
    <n v="18"/>
    <n v="12"/>
    <n v="80.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8"/>
    <n v="7959"/>
    <n v="42"/>
    <n v="18"/>
    <n v="27"/>
    <n v="82.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8"/>
    <n v="7378"/>
    <n v="88"/>
    <n v="17"/>
    <n v="14"/>
    <n v="77.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8"/>
    <n v="7297"/>
    <n v="153"/>
    <n v="27"/>
    <n v="12"/>
    <n v="78.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8"/>
    <n v="8164"/>
    <n v="19"/>
    <n v="26"/>
    <n v="17"/>
    <n v="83.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8"/>
    <n v="7334"/>
    <n v="0"/>
    <n v="15"/>
    <n v="15"/>
    <n v="74.2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8"/>
    <n v="7667"/>
    <n v="90"/>
    <n v="27"/>
    <n v="10"/>
    <n v="80.65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8"/>
    <n v="7264"/>
    <n v="82"/>
    <n v="22"/>
    <n v="25"/>
    <n v="76.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8"/>
    <n v="7264"/>
    <n v="89"/>
    <n v="30"/>
    <n v="22"/>
    <n v="76.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8"/>
    <n v="7494"/>
    <n v="31"/>
    <n v="17"/>
    <n v="14"/>
    <n v="76.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8"/>
    <n v="8131"/>
    <n v="133"/>
    <n v="25"/>
    <n v="15"/>
    <n v="8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8"/>
    <n v="8600"/>
    <n v="2"/>
    <n v="24"/>
    <n v="13"/>
    <n v="87.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8"/>
    <n v="8310"/>
    <n v="191"/>
    <n v="38"/>
    <n v="32"/>
    <n v="90.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8"/>
    <n v="7272"/>
    <n v="133"/>
    <n v="20"/>
    <n v="13"/>
    <n v="77.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8"/>
    <n v="8754"/>
    <n v="34"/>
    <n v="38"/>
    <n v="22"/>
    <n v="90.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8"/>
    <n v="7936"/>
    <n v="182"/>
    <n v="31"/>
    <n v="21"/>
    <n v="86.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8"/>
    <n v="7468"/>
    <n v="49"/>
    <n v="33"/>
    <n v="22"/>
    <n v="77.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18"/>
    <n v="7370"/>
    <n v="45"/>
    <n v="22"/>
    <n v="14"/>
    <n v="76.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18"/>
    <n v="6973"/>
    <n v="89"/>
    <n v="24"/>
    <n v="19"/>
    <n v="73.7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8"/>
    <n v="7073"/>
    <n v="248"/>
    <n v="22"/>
    <n v="28"/>
    <n v="79.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8"/>
    <n v="7818"/>
    <n v="75"/>
    <n v="33"/>
    <n v="24"/>
    <n v="82.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8"/>
    <n v="8026"/>
    <n v="230"/>
    <n v="46"/>
    <n v="31"/>
    <n v="89.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19"/>
    <n v="6273"/>
    <n v="40"/>
    <n v="12"/>
    <n v="9"/>
    <n v="64.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19"/>
    <n v="6599"/>
    <n v="64"/>
    <n v="16"/>
    <n v="14"/>
    <n v="68.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19"/>
    <n v="4213"/>
    <n v="0"/>
    <n v="2"/>
    <n v="1"/>
    <n v="42.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19"/>
    <n v="10230"/>
    <n v="95"/>
    <n v="24"/>
    <n v="16"/>
    <n v="106.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19"/>
    <n v="8264"/>
    <n v="55"/>
    <n v="15"/>
    <n v="21"/>
    <n v="85.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19"/>
    <n v="10472"/>
    <n v="61"/>
    <n v="28"/>
    <n v="17"/>
    <n v="108.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19"/>
    <n v="2129"/>
    <n v="5"/>
    <n v="0"/>
    <n v="2"/>
    <n v="2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19"/>
    <n v="9718"/>
    <n v="116"/>
    <n v="29"/>
    <n v="20"/>
    <n v="102.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19"/>
    <n v="9364"/>
    <n v="44"/>
    <n v="23"/>
    <n v="20"/>
    <n v="96.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19"/>
    <n v="9772"/>
    <n v="75"/>
    <n v="27"/>
    <n v="31"/>
    <n v="101.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19"/>
    <n v="9568"/>
    <n v="113"/>
    <n v="41"/>
    <n v="28"/>
    <n v="101.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19"/>
    <n v="10198"/>
    <n v="117"/>
    <n v="21"/>
    <n v="21"/>
    <n v="106.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19"/>
    <n v="11133"/>
    <n v="123"/>
    <n v="43"/>
    <n v="21"/>
    <n v="117.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19"/>
    <n v="1337"/>
    <n v="0"/>
    <n v="0"/>
    <n v="1"/>
    <n v="13.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19"/>
    <n v="10616"/>
    <n v="87"/>
    <n v="29"/>
    <n v="18"/>
    <n v="110.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19"/>
    <n v="9559"/>
    <n v="0"/>
    <n v="20"/>
    <n v="5"/>
    <n v="96.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19"/>
    <n v="11365"/>
    <n v="27"/>
    <n v="26"/>
    <n v="27"/>
    <n v="116.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19"/>
    <n v="2423"/>
    <n v="0"/>
    <n v="0"/>
    <n v="0"/>
    <n v="24.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19"/>
    <n v="9946"/>
    <n v="143"/>
    <n v="46"/>
    <n v="31"/>
    <n v="106.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19"/>
    <n v="9308"/>
    <n v="94"/>
    <n v="24"/>
    <n v="18"/>
    <n v="97.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19"/>
    <n v="9648"/>
    <n v="71"/>
    <n v="23"/>
    <n v="18"/>
    <n v="99.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19"/>
    <n v="10016"/>
    <n v="124"/>
    <n v="31"/>
    <n v="25"/>
    <n v="105.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19"/>
    <n v="9173"/>
    <n v="262"/>
    <n v="39"/>
    <n v="47"/>
    <n v="102.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19"/>
    <n v="7121"/>
    <n v="155"/>
    <n v="19"/>
    <n v="15"/>
    <n v="76.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19"/>
    <n v="6540"/>
    <n v="205"/>
    <n v="17"/>
    <n v="16"/>
    <n v="72.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0"/>
    <n v="498"/>
    <n v="0"/>
    <n v="0"/>
    <n v="0"/>
    <n v="4.98000000000000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0"/>
    <n v="6927"/>
    <n v="80"/>
    <n v="28"/>
    <n v="44"/>
    <n v="73.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0"/>
    <n v="7623"/>
    <n v="31"/>
    <n v="60"/>
    <n v="27"/>
    <n v="80.0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0"/>
    <n v="7165"/>
    <n v="1"/>
    <n v="43"/>
    <n v="25"/>
    <n v="73.9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0"/>
    <n v="5878"/>
    <n v="47"/>
    <n v="31"/>
    <n v="17"/>
    <n v="61.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0"/>
    <n v="5795"/>
    <n v="0"/>
    <n v="29"/>
    <n v="30"/>
    <n v="59.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0"/>
    <n v="6532"/>
    <n v="237"/>
    <n v="70"/>
    <n v="54"/>
    <n v="76.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0"/>
    <n v="6300"/>
    <n v="60"/>
    <n v="40"/>
    <n v="30"/>
    <n v="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0"/>
    <n v="6746"/>
    <n v="18"/>
    <n v="40"/>
    <n v="21"/>
    <n v="70.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0"/>
    <n v="6756"/>
    <n v="65"/>
    <n v="26"/>
    <n v="29"/>
    <n v="71.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0"/>
    <n v="1988"/>
    <n v="7"/>
    <n v="11"/>
    <n v="9"/>
    <n v="20.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0"/>
    <n v="6243"/>
    <n v="9"/>
    <n v="27"/>
    <n v="41"/>
    <n v="64.5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0"/>
    <n v="7292"/>
    <n v="14"/>
    <n v="52"/>
    <n v="41"/>
    <n v="76.2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0"/>
    <n v="4795"/>
    <n v="2"/>
    <n v="23"/>
    <n v="13"/>
    <n v="49.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0"/>
    <n v="6109"/>
    <n v="1"/>
    <n v="33"/>
    <n v="32"/>
    <n v="63.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0"/>
    <n v="6951"/>
    <n v="14"/>
    <n v="49"/>
    <n v="42"/>
    <n v="72.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0"/>
    <n v="6906"/>
    <n v="29"/>
    <n v="53"/>
    <n v="51"/>
    <n v="73.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0"/>
    <n v="7146"/>
    <n v="33"/>
    <n v="62"/>
    <n v="30"/>
    <n v="75.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20"/>
    <n v="6328"/>
    <n v="42"/>
    <n v="26"/>
    <n v="26"/>
    <n v="66.0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0"/>
    <n v="6486"/>
    <n v="95"/>
    <n v="54"/>
    <n v="54"/>
    <n v="70.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1"/>
    <n v="3835"/>
    <n v="0"/>
    <n v="8"/>
    <n v="17"/>
    <n v="39.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1"/>
    <n v="4051"/>
    <n v="18"/>
    <n v="11"/>
    <n v="24"/>
    <n v="41.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1"/>
    <n v="3387"/>
    <n v="4"/>
    <n v="5"/>
    <n v="17"/>
    <n v="34.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1"/>
    <n v="3328"/>
    <n v="19"/>
    <n v="14"/>
    <n v="26"/>
    <n v="34.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1"/>
    <n v="3693"/>
    <n v="4"/>
    <n v="7"/>
    <n v="11"/>
    <n v="37.54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1"/>
    <n v="4313"/>
    <n v="3"/>
    <n v="13"/>
    <n v="36"/>
    <n v="44.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1"/>
    <n v="4135"/>
    <n v="0"/>
    <n v="13"/>
    <n v="19"/>
    <n v="42.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1"/>
    <n v="4268"/>
    <n v="0"/>
    <n v="4"/>
    <n v="28"/>
    <n v="4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1"/>
    <n v="3816"/>
    <n v="3"/>
    <n v="9"/>
    <n v="23"/>
    <n v="39.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1"/>
    <n v="3359"/>
    <n v="9"/>
    <n v="3"/>
    <n v="7"/>
    <n v="34.11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1"/>
    <n v="3471"/>
    <n v="5"/>
    <n v="7"/>
    <n v="26"/>
    <n v="35.65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1"/>
    <n v="3423"/>
    <n v="20"/>
    <n v="6"/>
    <n v="24"/>
    <n v="35.54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1"/>
    <n v="4176"/>
    <n v="0"/>
    <n v="10"/>
    <n v="15"/>
    <n v="42.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1"/>
    <n v="3330"/>
    <n v="0"/>
    <n v="5"/>
    <n v="13"/>
    <n v="33.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1"/>
    <n v="3930"/>
    <n v="0"/>
    <n v="5"/>
    <n v="8"/>
    <n v="39.65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1"/>
    <n v="3364"/>
    <n v="21"/>
    <n v="3"/>
    <n v="12"/>
    <n v="34.63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1"/>
    <n v="3028"/>
    <n v="0"/>
    <n v="3"/>
    <n v="9"/>
    <n v="30.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1"/>
    <n v="2706"/>
    <n v="0"/>
    <n v="2"/>
    <n v="12"/>
    <n v="27.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1"/>
    <n v="3921"/>
    <n v="0"/>
    <n v="13"/>
    <n v="34"/>
    <n v="40.40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1"/>
    <n v="3534"/>
    <n v="0"/>
    <n v="16"/>
    <n v="21"/>
    <n v="3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1"/>
    <n v="3484"/>
    <n v="0"/>
    <n v="2"/>
    <n v="12"/>
    <n v="35.15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2"/>
    <n v="8472"/>
    <n v="236"/>
    <n v="28"/>
    <n v="24"/>
    <n v="9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2"/>
    <n v="7055"/>
    <n v="51"/>
    <n v="25"/>
    <n v="21"/>
    <n v="7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2"/>
    <n v="10672"/>
    <n v="389"/>
    <n v="41"/>
    <n v="36"/>
    <n v="120.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2"/>
    <n v="11312"/>
    <n v="218"/>
    <n v="62"/>
    <n v="43"/>
    <n v="1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2"/>
    <n v="7305"/>
    <n v="64"/>
    <n v="21"/>
    <n v="22"/>
    <n v="76.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2"/>
    <n v="6182"/>
    <n v="99"/>
    <n v="13"/>
    <n v="13"/>
    <n v="65.5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2"/>
    <n v="8725"/>
    <n v="202"/>
    <n v="25"/>
    <n v="23"/>
    <n v="94.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2"/>
    <n v="12587"/>
    <n v="594"/>
    <n v="61"/>
    <n v="42"/>
    <n v="146.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2"/>
    <n v="11022"/>
    <n v="124"/>
    <n v="34"/>
    <n v="21"/>
    <n v="115.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22"/>
    <n v="10904"/>
    <n v="418"/>
    <n v="40"/>
    <n v="32"/>
    <n v="123.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2"/>
    <n v="11632"/>
    <n v="168"/>
    <n v="40"/>
    <n v="22"/>
    <n v="12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2"/>
    <n v="10752"/>
    <n v="293"/>
    <n v="37"/>
    <n v="30"/>
    <n v="118.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2"/>
    <n v="6547"/>
    <n v="108"/>
    <n v="26"/>
    <n v="17"/>
    <n v="70.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2"/>
    <n v="8341"/>
    <n v="101"/>
    <n v="48"/>
    <n v="46"/>
    <n v="89.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2"/>
    <n v="9240"/>
    <n v="136"/>
    <n v="24"/>
    <n v="18"/>
    <n v="9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2"/>
    <n v="10186"/>
    <n v="66"/>
    <n v="32"/>
    <n v="26"/>
    <n v="105.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2"/>
    <n v="12759"/>
    <n v="55"/>
    <n v="42"/>
    <n v="34"/>
    <n v="13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2"/>
    <n v="11815"/>
    <n v="177"/>
    <n v="43"/>
    <n v="38"/>
    <n v="125.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2"/>
    <n v="11202"/>
    <n v="139"/>
    <n v="41"/>
    <n v="35"/>
    <n v="118.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2"/>
    <n v="13378"/>
    <n v="304"/>
    <n v="55"/>
    <n v="41"/>
    <n v="145.91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2"/>
    <n v="4536"/>
    <n v="33"/>
    <n v="12"/>
    <n v="16"/>
    <n v="47.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2"/>
    <n v="12603"/>
    <n v="145"/>
    <n v="41"/>
    <n v="34"/>
    <n v="132.6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2"/>
    <n v="11392"/>
    <n v="291"/>
    <n v="64"/>
    <n v="42"/>
    <n v="126.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2"/>
    <n v="10361"/>
    <n v="214"/>
    <n v="36"/>
    <n v="44"/>
    <n v="112.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3"/>
    <n v="5171"/>
    <n v="9"/>
    <n v="20"/>
    <n v="23"/>
    <n v="53.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3"/>
    <n v="6657"/>
    <n v="108"/>
    <n v="25"/>
    <n v="20"/>
    <n v="71.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3"/>
    <n v="4890"/>
    <n v="33"/>
    <n v="16"/>
    <n v="11"/>
    <n v="50.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3"/>
    <n v="3822"/>
    <n v="30"/>
    <n v="12"/>
    <n v="4"/>
    <n v="39.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3"/>
    <n v="5970"/>
    <n v="34"/>
    <n v="15"/>
    <n v="8"/>
    <n v="6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3"/>
    <n v="4489"/>
    <n v="19"/>
    <n v="14"/>
    <n v="10"/>
    <n v="46.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3"/>
    <n v="4415"/>
    <n v="9"/>
    <n v="20"/>
    <n v="10"/>
    <n v="45.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3"/>
    <n v="4270"/>
    <n v="51"/>
    <n v="15"/>
    <n v="9"/>
    <n v="45.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3"/>
    <n v="4803"/>
    <n v="29"/>
    <n v="19"/>
    <n v="14"/>
    <n v="4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3"/>
    <n v="5667"/>
    <n v="48"/>
    <n v="9"/>
    <n v="6"/>
    <n v="58.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3"/>
    <n v="4979"/>
    <n v="27"/>
    <n v="28"/>
    <n v="13"/>
    <n v="51.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3"/>
    <n v="6091"/>
    <n v="29"/>
    <n v="16"/>
    <n v="15"/>
    <n v="62.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3"/>
    <n v="3266"/>
    <n v="25"/>
    <n v="12"/>
    <n v="4"/>
    <n v="33.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3"/>
    <n v="5498"/>
    <n v="43"/>
    <n v="20"/>
    <n v="22"/>
    <n v="57.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3"/>
    <n v="5487"/>
    <n v="23"/>
    <n v="21"/>
    <n v="16"/>
    <n v="56.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3"/>
    <n v="6358"/>
    <n v="111"/>
    <n v="23"/>
    <n v="21"/>
    <n v="68.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3"/>
    <n v="5022"/>
    <n v="10"/>
    <n v="20"/>
    <n v="14"/>
    <n v="5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3"/>
    <n v="5691"/>
    <n v="28"/>
    <n v="18"/>
    <n v="18"/>
    <n v="58.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3"/>
    <n v="5475"/>
    <n v="29"/>
    <n v="15"/>
    <n v="6"/>
    <n v="56.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3"/>
    <n v="4404"/>
    <n v="27"/>
    <n v="11"/>
    <n v="8"/>
    <n v="45.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3"/>
    <n v="4679"/>
    <n v="15"/>
    <n v="18"/>
    <n v="16"/>
    <n v="48.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3"/>
    <n v="4582"/>
    <n v="5"/>
    <n v="9"/>
    <n v="10"/>
    <n v="46.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3"/>
    <n v="4886"/>
    <n v="19"/>
    <n v="28"/>
    <n v="22"/>
    <n v="50.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3"/>
    <n v="5094"/>
    <n v="17"/>
    <n v="18"/>
    <n v="10"/>
    <n v="52.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4"/>
    <n v="4009"/>
    <n v="0"/>
    <n v="0"/>
    <n v="1"/>
    <n v="40.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4"/>
    <n v="7008"/>
    <n v="4"/>
    <n v="22"/>
    <n v="33"/>
    <n v="71.7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4"/>
    <n v="2762"/>
    <n v="6"/>
    <n v="6"/>
    <n v="13"/>
    <n v="2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4"/>
    <n v="6033"/>
    <n v="25"/>
    <n v="27"/>
    <n v="10"/>
    <n v="62.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4"/>
    <n v="6224"/>
    <n v="38"/>
    <n v="30"/>
    <n v="20"/>
    <n v="64.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4"/>
    <n v="6773"/>
    <n v="4"/>
    <n v="18"/>
    <n v="25"/>
    <n v="69.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4"/>
    <n v="5784"/>
    <n v="38"/>
    <n v="24"/>
    <n v="24"/>
    <n v="60.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4"/>
    <n v="6541"/>
    <n v="12"/>
    <n v="41"/>
    <n v="23"/>
    <n v="67.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4"/>
    <n v="7022"/>
    <n v="39"/>
    <n v="14"/>
    <n v="20"/>
    <n v="72.3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24"/>
    <n v="3961"/>
    <n v="0"/>
    <n v="1"/>
    <n v="0"/>
    <n v="39.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4"/>
    <n v="6983"/>
    <n v="51"/>
    <n v="19"/>
    <n v="14"/>
    <n v="72.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4"/>
    <n v="6861"/>
    <n v="20"/>
    <n v="14"/>
    <n v="28"/>
    <n v="70.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4"/>
    <n v="7844"/>
    <n v="48"/>
    <n v="29"/>
    <n v="33"/>
    <n v="8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4"/>
    <n v="7562"/>
    <n v="22"/>
    <n v="51"/>
    <n v="23"/>
    <n v="78.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4"/>
    <n v="6229"/>
    <n v="43"/>
    <n v="18"/>
    <n v="25"/>
    <n v="6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4"/>
    <n v="7613"/>
    <n v="64"/>
    <n v="41"/>
    <n v="31"/>
    <n v="80.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4"/>
    <n v="5981"/>
    <n v="34"/>
    <n v="23"/>
    <n v="19"/>
    <n v="62.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4"/>
    <n v="6736"/>
    <n v="14"/>
    <n v="14"/>
    <n v="10"/>
    <n v="68.54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4"/>
    <n v="6411"/>
    <n v="22"/>
    <n v="18"/>
    <n v="12"/>
    <n v="65.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4"/>
    <n v="7221"/>
    <n v="39"/>
    <n v="28"/>
    <n v="19"/>
    <n v="74.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4"/>
    <n v="6300"/>
    <n v="0"/>
    <n v="16"/>
    <n v="20"/>
    <n v="64.04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4"/>
    <n v="6700"/>
    <n v="58"/>
    <n v="19"/>
    <n v="22"/>
    <n v="6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4"/>
    <n v="6564"/>
    <n v="49"/>
    <n v="19"/>
    <n v="19"/>
    <n v="68.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4"/>
    <n v="6795"/>
    <n v="35"/>
    <n v="31"/>
    <n v="16"/>
    <n v="70.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4"/>
    <n v="7471"/>
    <n v="94"/>
    <n v="35"/>
    <n v="34"/>
    <n v="79.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4"/>
    <n v="6959"/>
    <n v="33"/>
    <n v="39"/>
    <n v="33"/>
    <n v="7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4"/>
    <n v="5974"/>
    <n v="22"/>
    <n v="14"/>
    <n v="16"/>
    <n v="61.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5"/>
    <n v="10303"/>
    <n v="26"/>
    <n v="20"/>
    <n v="25"/>
    <n v="105.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5"/>
    <n v="7126"/>
    <n v="74"/>
    <n v="18"/>
    <n v="26"/>
    <n v="74.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5"/>
    <n v="9716"/>
    <n v="150"/>
    <n v="28"/>
    <n v="27"/>
    <n v="103.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5"/>
    <n v="12333"/>
    <n v="134"/>
    <n v="40"/>
    <n v="21"/>
    <n v="129.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5"/>
    <n v="12060"/>
    <n v="446"/>
    <n v="44"/>
    <n v="37"/>
    <n v="136.47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5"/>
    <n v="10917"/>
    <n v="280"/>
    <n v="50"/>
    <n v="33"/>
    <n v="120.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5"/>
    <n v="10260"/>
    <n v="153"/>
    <n v="26"/>
    <n v="20"/>
    <n v="108.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5"/>
    <n v="6904"/>
    <n v="111"/>
    <n v="19"/>
    <n v="14"/>
    <n v="73.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5"/>
    <n v="4605"/>
    <n v="0"/>
    <n v="10"/>
    <n v="16"/>
    <n v="46.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5"/>
    <n v="13970"/>
    <n v="278"/>
    <n v="63"/>
    <n v="44"/>
    <n v="151.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5"/>
    <n v="7499"/>
    <n v="17"/>
    <n v="16"/>
    <n v="7"/>
    <n v="76.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5"/>
    <n v="8566"/>
    <n v="63"/>
    <n v="21"/>
    <n v="11"/>
    <n v="88.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5"/>
    <n v="5439"/>
    <n v="0"/>
    <n v="15"/>
    <n v="6"/>
    <n v="55.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5"/>
    <n v="12858"/>
    <n v="78"/>
    <n v="36"/>
    <n v="29"/>
    <n v="132.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5"/>
    <n v="9527"/>
    <n v="257"/>
    <n v="30"/>
    <n v="18"/>
    <n v="104.5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5"/>
    <n v="10891"/>
    <n v="261"/>
    <n v="55"/>
    <n v="49"/>
    <n v="119.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5"/>
    <n v="12233"/>
    <n v="71"/>
    <n v="41"/>
    <n v="38"/>
    <n v="126.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5"/>
    <n v="6234"/>
    <n v="19"/>
    <n v="13"/>
    <n v="16"/>
    <n v="63.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5"/>
    <n v="7148"/>
    <n v="108"/>
    <n v="9"/>
    <n v="13"/>
    <n v="75.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5"/>
    <n v="4195"/>
    <n v="79"/>
    <n v="15"/>
    <n v="13"/>
    <n v="45.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5"/>
    <n v="9964"/>
    <n v="215"/>
    <n v="40"/>
    <n v="40"/>
    <n v="108.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5"/>
    <n v="6117"/>
    <n v="15"/>
    <n v="26"/>
    <n v="32"/>
    <n v="6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6"/>
    <n v="8014"/>
    <n v="52"/>
    <n v="22"/>
    <n v="22"/>
    <n v="83.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6"/>
    <n v="8217"/>
    <n v="0"/>
    <n v="21"/>
    <n v="25"/>
    <n v="83.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6"/>
    <n v="7767"/>
    <n v="15"/>
    <n v="12"/>
    <n v="14"/>
    <n v="78.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6"/>
    <n v="8281"/>
    <n v="20"/>
    <n v="31"/>
    <n v="21"/>
    <n v="85.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6"/>
    <n v="6924"/>
    <n v="0"/>
    <n v="21"/>
    <n v="8"/>
    <n v="70.23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6"/>
    <n v="8379"/>
    <n v="7"/>
    <n v="32"/>
    <n v="25"/>
    <n v="85.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6"/>
    <n v="7461"/>
    <n v="92"/>
    <n v="53"/>
    <n v="36"/>
    <n v="80.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6"/>
    <n v="7375"/>
    <n v="48"/>
    <n v="25"/>
    <n v="16"/>
    <n v="76.5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26"/>
    <n v="7767"/>
    <n v="37"/>
    <n v="20"/>
    <n v="31"/>
    <n v="8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6"/>
    <n v="8165"/>
    <n v="14"/>
    <n v="26"/>
    <n v="28"/>
    <n v="83.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6"/>
    <n v="7208"/>
    <n v="25"/>
    <n v="22"/>
    <n v="28"/>
    <n v="74.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6"/>
    <n v="8755"/>
    <n v="120"/>
    <n v="35"/>
    <n v="24"/>
    <n v="93.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6"/>
    <n v="8838"/>
    <n v="67"/>
    <n v="32"/>
    <n v="24"/>
    <n v="92.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6"/>
    <n v="8951"/>
    <n v="123"/>
    <n v="33"/>
    <n v="30"/>
    <n v="95.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6"/>
    <n v="7366"/>
    <n v="18"/>
    <n v="21"/>
    <n v="11"/>
    <n v="75.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6"/>
    <n v="8193"/>
    <n v="80"/>
    <n v="24"/>
    <n v="13"/>
    <n v="85.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6"/>
    <n v="9292"/>
    <n v="6"/>
    <n v="38"/>
    <n v="36"/>
    <n v="95.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6"/>
    <n v="7563"/>
    <n v="66"/>
    <n v="32"/>
    <n v="27"/>
    <n v="79.4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6"/>
    <n v="8179"/>
    <n v="71"/>
    <n v="37"/>
    <n v="25"/>
    <n v="8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6"/>
    <n v="8368"/>
    <n v="72"/>
    <n v="24"/>
    <n v="21"/>
    <n v="87.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6"/>
    <n v="9198"/>
    <n v="53"/>
    <n v="31"/>
    <n v="26"/>
    <n v="95.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6"/>
    <n v="7291"/>
    <n v="107"/>
    <n v="23"/>
    <n v="18"/>
    <n v="77.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6"/>
    <n v="6957"/>
    <n v="34"/>
    <n v="25"/>
    <n v="13"/>
    <n v="71.8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6"/>
    <n v="8177"/>
    <n v="22"/>
    <n v="33"/>
    <n v="25"/>
    <n v="84.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6"/>
    <n v="8620"/>
    <n v="117"/>
    <n v="38"/>
    <n v="36"/>
    <n v="91.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7"/>
    <n v="2993"/>
    <n v="0"/>
    <n v="7"/>
    <n v="2"/>
    <n v="30.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7"/>
    <n v="4262"/>
    <n v="0"/>
    <n v="4"/>
    <n v="14"/>
    <n v="43.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7"/>
    <n v="3143"/>
    <n v="29"/>
    <n v="8"/>
    <n v="4"/>
    <n v="32.70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7"/>
    <n v="3109"/>
    <n v="39"/>
    <n v="4"/>
    <n v="10"/>
    <n v="32.61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7"/>
    <n v="3690"/>
    <n v="0"/>
    <n v="6"/>
    <n v="6"/>
    <n v="37.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7"/>
    <n v="4570"/>
    <n v="137"/>
    <n v="28"/>
    <n v="11"/>
    <n v="51.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7"/>
    <n v="4064"/>
    <n v="19"/>
    <n v="7"/>
    <n v="10"/>
    <n v="41.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7"/>
    <n v="3556"/>
    <n v="0"/>
    <n v="0"/>
    <n v="2"/>
    <n v="3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27"/>
    <n v="4163"/>
    <n v="3"/>
    <n v="6"/>
    <n v="12"/>
    <n v="4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7"/>
    <n v="4128"/>
    <n v="34"/>
    <n v="21"/>
    <n v="7"/>
    <n v="43.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7"/>
    <n v="3287"/>
    <n v="51"/>
    <n v="10"/>
    <n v="7"/>
    <n v="34.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7"/>
    <n v="3287"/>
    <n v="98"/>
    <n v="12"/>
    <n v="6"/>
    <n v="36.40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7"/>
    <n v="3010"/>
    <n v="0"/>
    <n v="0"/>
    <n v="3"/>
    <n v="30.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7"/>
    <n v="3112"/>
    <n v="50"/>
    <n v="7"/>
    <n v="9"/>
    <n v="33.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7"/>
    <n v="3163"/>
    <n v="19"/>
    <n v="1"/>
    <n v="5"/>
    <n v="32.34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7"/>
    <n v="2519"/>
    <n v="0"/>
    <n v="1"/>
    <n v="1"/>
    <n v="25.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7"/>
    <n v="3389"/>
    <n v="79"/>
    <n v="10"/>
    <n v="5"/>
    <n v="36.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7"/>
    <n v="4253"/>
    <n v="0"/>
    <n v="2"/>
    <n v="6"/>
    <n v="42.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7"/>
    <n v="2541"/>
    <n v="0"/>
    <n v="4"/>
    <n v="1"/>
    <n v="25.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7"/>
    <n v="3449"/>
    <n v="8"/>
    <n v="9"/>
    <n v="15"/>
    <n v="35.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7"/>
    <n v="2878"/>
    <n v="34"/>
    <n v="3"/>
    <n v="5"/>
    <n v="30.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7"/>
    <n v="3375"/>
    <n v="138"/>
    <n v="6"/>
    <n v="7"/>
    <n v="38.27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7"/>
    <n v="3388"/>
    <n v="0"/>
    <n v="5"/>
    <n v="4"/>
    <n v="34.15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7"/>
    <n v="1144"/>
    <n v="0"/>
    <n v="0"/>
    <n v="2"/>
    <n v="1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7"/>
    <n v="3692"/>
    <n v="15"/>
    <n v="7"/>
    <n v="21"/>
    <n v="38.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7"/>
    <n v="3462"/>
    <n v="0"/>
    <n v="10"/>
    <n v="11"/>
    <n v="35.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27"/>
    <n v="5402"/>
    <n v="142"/>
    <n v="12"/>
    <n v="8"/>
    <n v="58.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7"/>
    <n v="3406"/>
    <n v="57"/>
    <n v="5"/>
    <n v="4"/>
    <n v="36.04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28"/>
    <n v="7780"/>
    <n v="48"/>
    <n v="22"/>
    <n v="27"/>
    <n v="80.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8"/>
    <n v="8996"/>
    <n v="2"/>
    <n v="23"/>
    <n v="20"/>
    <n v="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8"/>
    <n v="4917"/>
    <n v="74"/>
    <n v="23"/>
    <n v="28"/>
    <n v="75.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8"/>
    <n v="6954"/>
    <n v="105"/>
    <n v="33"/>
    <n v="18"/>
    <n v="74.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8"/>
    <n v="7038"/>
    <n v="50"/>
    <n v="26"/>
    <n v="25"/>
    <n v="73.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8"/>
    <n v="7955"/>
    <n v="50"/>
    <n v="32"/>
    <n v="26"/>
    <n v="82.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8"/>
    <n v="5834"/>
    <n v="103"/>
    <n v="18"/>
    <n v="19"/>
    <n v="62.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8"/>
    <n v="10264"/>
    <n v="66"/>
    <n v="38"/>
    <n v="32"/>
    <n v="106.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8"/>
    <n v="5533"/>
    <n v="87"/>
    <n v="25"/>
    <n v="9"/>
    <n v="59.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8"/>
    <n v="12827"/>
    <n v="91"/>
    <n v="37"/>
    <n v="14"/>
    <n v="132.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8"/>
    <n v="9489"/>
    <n v="306"/>
    <n v="45"/>
    <n v="20"/>
    <n v="106.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8"/>
    <n v="10843"/>
    <n v="83"/>
    <n v="42"/>
    <n v="31"/>
    <n v="113.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8"/>
    <n v="10120"/>
    <n v="132"/>
    <n v="20"/>
    <n v="15"/>
    <n v="106.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28"/>
    <n v="11186"/>
    <n v="87"/>
    <n v="35"/>
    <n v="45"/>
    <n v="116.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8"/>
    <n v="11334"/>
    <n v="242"/>
    <n v="39"/>
    <n v="28"/>
    <n v="122.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28"/>
    <n v="12993"/>
    <n v="91"/>
    <n v="39"/>
    <n v="34"/>
    <n v="13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28"/>
    <n v="12391"/>
    <n v="240"/>
    <n v="67"/>
    <n v="40"/>
    <n v="134.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28"/>
    <n v="8227"/>
    <n v="144"/>
    <n v="37"/>
    <n v="23"/>
    <n v="88.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8"/>
    <n v="5360"/>
    <n v="9"/>
    <n v="18"/>
    <n v="22"/>
    <n v="55.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8"/>
    <n v="4751"/>
    <n v="1"/>
    <n v="10"/>
    <n v="9"/>
    <n v="48.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8"/>
    <n v="5181"/>
    <n v="20"/>
    <n v="18"/>
    <n v="26"/>
    <n v="53.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8"/>
    <n v="6090"/>
    <n v="53"/>
    <n v="22"/>
    <n v="8"/>
    <n v="63.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8"/>
    <n v="4839"/>
    <n v="20"/>
    <n v="24"/>
    <n v="15"/>
    <n v="50.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8"/>
    <n v="5147"/>
    <n v="52"/>
    <n v="19"/>
    <n v="16"/>
    <n v="54.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8"/>
    <n v="5775"/>
    <n v="7"/>
    <n v="10"/>
    <n v="8"/>
    <n v="58.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28"/>
    <n v="4934"/>
    <n v="20"/>
    <n v="21"/>
    <n v="17"/>
    <n v="51.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8"/>
    <n v="5482"/>
    <n v="6"/>
    <n v="19"/>
    <n v="16"/>
    <n v="56.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28"/>
    <n v="5408"/>
    <n v="16"/>
    <n v="18"/>
    <n v="16"/>
    <n v="5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8"/>
    <n v="4483"/>
    <n v="35"/>
    <n v="16"/>
    <n v="14"/>
    <n v="4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29"/>
    <n v="8555"/>
    <n v="165"/>
    <n v="37"/>
    <n v="24"/>
    <n v="92.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29"/>
    <n v="1824"/>
    <n v="0"/>
    <n v="0"/>
    <n v="0"/>
    <n v="18.239999999999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29"/>
    <n v="2003"/>
    <n v="0"/>
    <n v="1"/>
    <n v="0"/>
    <n v="2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29"/>
    <n v="6587"/>
    <n v="71"/>
    <n v="30"/>
    <n v="22"/>
    <n v="69.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29"/>
    <n v="12288"/>
    <n v="129"/>
    <n v="40"/>
    <n v="31"/>
    <n v="128.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29"/>
    <n v="1840"/>
    <n v="0"/>
    <n v="0"/>
    <n v="0"/>
    <n v="18.39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29"/>
    <n v="1865"/>
    <n v="0"/>
    <n v="0"/>
    <n v="0"/>
    <n v="18.64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29"/>
    <n v="1856"/>
    <n v="0"/>
    <n v="0"/>
    <n v="0"/>
    <n v="18.55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29"/>
    <n v="4321"/>
    <n v="89"/>
    <n v="20"/>
    <n v="4"/>
    <n v="46.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29"/>
    <n v="2427"/>
    <n v="0"/>
    <n v="0"/>
    <n v="0"/>
    <n v="24.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29"/>
    <n v="3616"/>
    <n v="7"/>
    <n v="7"/>
    <n v="3"/>
    <n v="36.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29"/>
    <n v="8178"/>
    <n v="174"/>
    <n v="28"/>
    <n v="25"/>
    <n v="88.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29"/>
    <n v="2425"/>
    <n v="0"/>
    <n v="0"/>
    <n v="0"/>
    <n v="24.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29"/>
    <n v="12098"/>
    <n v="79"/>
    <n v="47"/>
    <n v="28"/>
    <n v="125.7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29"/>
    <n v="7936"/>
    <n v="178"/>
    <n v="24"/>
    <n v="17"/>
    <n v="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29"/>
    <n v="11481"/>
    <n v="381"/>
    <n v="44"/>
    <n v="35"/>
    <n v="128.6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29"/>
    <n v="1587"/>
    <n v="0"/>
    <n v="2"/>
    <n v="1"/>
    <n v="15.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29"/>
    <n v="6220"/>
    <n v="169"/>
    <n v="36"/>
    <n v="19"/>
    <n v="69.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29"/>
    <n v="7279"/>
    <n v="183"/>
    <n v="23"/>
    <n v="20"/>
    <n v="79.5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29"/>
    <n v="8441"/>
    <n v="155"/>
    <n v="24"/>
    <n v="24"/>
    <n v="9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29"/>
    <n v="10248"/>
    <n v="289"/>
    <n v="38"/>
    <n v="38"/>
    <n v="113.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29"/>
    <n v="11227"/>
    <n v="145"/>
    <n v="26"/>
    <n v="32"/>
    <n v="11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29"/>
    <n v="7661"/>
    <n v="100"/>
    <n v="34"/>
    <n v="26"/>
    <n v="81.4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29"/>
    <n v="1603"/>
    <n v="7"/>
    <n v="5"/>
    <n v="7"/>
    <n v="16.579999999999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29"/>
    <n v="6376"/>
    <n v="120"/>
    <n v="28"/>
    <n v="28"/>
    <n v="69.04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30"/>
    <n v="8247"/>
    <n v="120"/>
    <n v="29"/>
    <n v="24"/>
    <n v="87.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0"/>
    <n v="8609"/>
    <n v="38"/>
    <n v="32"/>
    <n v="39"/>
    <n v="89.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0"/>
    <n v="3484"/>
    <n v="49"/>
    <n v="6"/>
    <n v="10"/>
    <n v="36.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0"/>
    <n v="5989"/>
    <n v="40"/>
    <n v="19"/>
    <n v="20"/>
    <n v="62.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0"/>
    <n v="7600"/>
    <n v="109"/>
    <n v="33"/>
    <n v="19"/>
    <n v="80.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0"/>
    <n v="5908"/>
    <n v="33"/>
    <n v="15"/>
    <n v="10"/>
    <n v="60.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0"/>
    <n v="7507"/>
    <n v="150"/>
    <n v="39"/>
    <n v="28"/>
    <n v="81.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0"/>
    <n v="8071"/>
    <n v="159"/>
    <n v="21"/>
    <n v="19"/>
    <n v="8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0"/>
    <n v="7791"/>
    <n v="103"/>
    <n v="28"/>
    <n v="22"/>
    <n v="82.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0"/>
    <n v="1090"/>
    <n v="0"/>
    <n v="0"/>
    <n v="0"/>
    <n v="1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0"/>
    <n v="5982"/>
    <n v="97"/>
    <n v="32"/>
    <n v="23"/>
    <n v="64.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0"/>
    <n v="7041"/>
    <n v="103"/>
    <n v="26"/>
    <n v="27"/>
    <n v="75.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0"/>
    <n v="3200"/>
    <n v="46"/>
    <n v="7"/>
    <n v="3"/>
    <n v="33.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0"/>
    <n v="6775"/>
    <n v="105"/>
    <n v="21"/>
    <n v="16"/>
    <n v="72.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0"/>
    <n v="6633"/>
    <n v="100"/>
    <n v="21"/>
    <n v="13"/>
    <n v="70.4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0"/>
    <n v="9686"/>
    <n v="191"/>
    <n v="49"/>
    <n v="37"/>
    <n v="105.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0"/>
    <n v="8208"/>
    <n v="101"/>
    <n v="32"/>
    <n v="26"/>
    <n v="86.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0"/>
    <n v="9419"/>
    <n v="26"/>
    <n v="40"/>
    <n v="26"/>
    <n v="97.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0"/>
    <n v="8049"/>
    <n v="274"/>
    <n v="38"/>
    <n v="26"/>
    <n v="90.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30"/>
    <n v="7218"/>
    <n v="131"/>
    <n v="35"/>
    <n v="23"/>
    <n v="77.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0"/>
    <n v="3583"/>
    <n v="0"/>
    <n v="4"/>
    <n v="3"/>
    <n v="36.04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0"/>
    <n v="8314"/>
    <n v="109"/>
    <n v="32"/>
    <n v="25"/>
    <n v="88.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0"/>
    <n v="5731"/>
    <n v="125"/>
    <n v="21"/>
    <n v="14"/>
    <n v="62.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0"/>
    <n v="8197"/>
    <n v="121"/>
    <n v="35"/>
    <n v="25"/>
    <n v="8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0"/>
    <n v="3126"/>
    <n v="10"/>
    <n v="6"/>
    <n v="9"/>
    <n v="31.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0"/>
    <n v="5908"/>
    <n v="129"/>
    <n v="37"/>
    <n v="31"/>
    <n v="65.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0"/>
    <n v="3987"/>
    <n v="15"/>
    <n v="14"/>
    <n v="13"/>
    <n v="41.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0"/>
    <n v="7791"/>
    <n v="254"/>
    <n v="30"/>
    <n v="33"/>
    <n v="87.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31"/>
    <n v="4710"/>
    <n v="35"/>
    <n v="16"/>
    <n v="13"/>
    <n v="49.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1"/>
    <n v="3279"/>
    <n v="0"/>
    <n v="2"/>
    <n v="7"/>
    <n v="33.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1"/>
    <n v="3306"/>
    <n v="13"/>
    <n v="4"/>
    <n v="5"/>
    <n v="33.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1"/>
    <n v="2646"/>
    <n v="25"/>
    <n v="7"/>
    <n v="10"/>
    <n v="27.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1"/>
    <n v="4045"/>
    <n v="16"/>
    <n v="13"/>
    <n v="13"/>
    <n v="41.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1"/>
    <n v="3574"/>
    <n v="5"/>
    <n v="7"/>
    <n v="4"/>
    <n v="36.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1"/>
    <n v="2775"/>
    <n v="0"/>
    <n v="3"/>
    <n v="3"/>
    <n v="27.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1"/>
    <n v="4303"/>
    <n v="1"/>
    <n v="12"/>
    <n v="15"/>
    <n v="43.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1"/>
    <n v="4028"/>
    <n v="0"/>
    <n v="6"/>
    <n v="8"/>
    <n v="40.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1"/>
    <n v="4566"/>
    <n v="39"/>
    <n v="2"/>
    <n v="6"/>
    <n v="47.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1"/>
    <n v="4920"/>
    <n v="36"/>
    <n v="23"/>
    <n v="18"/>
    <n v="51.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1"/>
    <n v="3284"/>
    <n v="38"/>
    <n v="9"/>
    <n v="4"/>
    <n v="34.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1"/>
    <n v="3611"/>
    <n v="111"/>
    <n v="6"/>
    <n v="5"/>
    <n v="39.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1"/>
    <n v="4350"/>
    <n v="0"/>
    <n v="2"/>
    <n v="3"/>
    <n v="43.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1"/>
    <n v="3760"/>
    <n v="53"/>
    <n v="8"/>
    <n v="13"/>
    <n v="39.77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1"/>
    <n v="4112"/>
    <n v="77"/>
    <n v="10"/>
    <n v="7"/>
    <n v="43.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1"/>
    <n v="4018"/>
    <n v="0"/>
    <n v="9"/>
    <n v="13"/>
    <n v="40.79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1"/>
    <n v="4548"/>
    <n v="0"/>
    <n v="14"/>
    <n v="14"/>
    <n v="46.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1"/>
    <n v="3489"/>
    <n v="37"/>
    <n v="10"/>
    <n v="4"/>
    <n v="36.47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1"/>
    <n v="3753"/>
    <n v="6"/>
    <n v="14"/>
    <n v="13"/>
    <n v="38.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1"/>
    <n v="3477"/>
    <n v="0"/>
    <n v="0"/>
    <n v="8"/>
    <n v="34.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31"/>
    <n v="3652"/>
    <n v="85"/>
    <n v="9"/>
    <n v="3"/>
    <n v="39.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1"/>
    <n v="3672"/>
    <n v="37"/>
    <n v="6"/>
    <n v="0"/>
    <n v="38.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1"/>
    <n v="2967"/>
    <n v="0"/>
    <n v="4"/>
    <n v="4"/>
    <n v="29.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1"/>
    <n v="3427"/>
    <n v="0"/>
    <n v="6"/>
    <n v="15"/>
    <n v="34.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1"/>
    <n v="2989"/>
    <n v="0"/>
    <n v="8"/>
    <n v="9"/>
    <n v="30.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1"/>
    <n v="4044"/>
    <n v="0"/>
    <n v="1"/>
    <n v="4"/>
    <n v="40.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1"/>
    <n v="4047"/>
    <n v="114"/>
    <n v="19"/>
    <n v="8"/>
    <n v="44.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2"/>
    <n v="6019"/>
    <n v="73"/>
    <n v="23"/>
    <n v="21"/>
    <n v="63.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2"/>
    <n v="10703"/>
    <n v="75"/>
    <n v="29"/>
    <n v="31"/>
    <n v="111.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2"/>
    <n v="12713"/>
    <n v="99"/>
    <n v="40"/>
    <n v="34"/>
    <n v="132.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2"/>
    <n v="11617"/>
    <n v="171"/>
    <n v="23"/>
    <n v="26"/>
    <n v="122.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2"/>
    <n v="11599"/>
    <n v="193"/>
    <n v="48"/>
    <n v="51"/>
    <n v="124.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2"/>
    <n v="6048"/>
    <n v="77"/>
    <n v="16"/>
    <n v="22"/>
    <n v="63.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2"/>
    <n v="13848"/>
    <n v="124"/>
    <n v="45"/>
    <n v="24"/>
    <n v="144.47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2"/>
    <n v="9140"/>
    <n v="41"/>
    <n v="25"/>
    <n v="19"/>
    <n v="94.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2"/>
    <n v="13796"/>
    <n v="387"/>
    <n v="61"/>
    <n v="36"/>
    <n v="152.72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2"/>
    <n v="12825"/>
    <n v="107"/>
    <n v="37"/>
    <n v="24"/>
    <n v="133.41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2"/>
    <n v="8313"/>
    <n v="11"/>
    <n v="16"/>
    <n v="14"/>
    <n v="84.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2"/>
    <n v="7208"/>
    <n v="145"/>
    <n v="33"/>
    <n v="23"/>
    <n v="78.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2"/>
    <n v="5980"/>
    <n v="140"/>
    <n v="29"/>
    <n v="27"/>
    <n v="6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32"/>
    <n v="6082"/>
    <n v="126"/>
    <n v="23"/>
    <n v="31"/>
    <n v="66.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2"/>
    <n v="9228"/>
    <n v="120"/>
    <n v="29"/>
    <n v="24"/>
    <n v="97.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2"/>
    <n v="5783"/>
    <n v="64"/>
    <n v="4"/>
    <n v="26"/>
    <n v="60.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2"/>
    <n v="5848"/>
    <n v="120"/>
    <n v="19"/>
    <n v="16"/>
    <n v="63.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32"/>
    <n v="10841"/>
    <n v="294"/>
    <n v="35"/>
    <n v="30"/>
    <n v="119.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2"/>
    <n v="3858"/>
    <n v="151"/>
    <n v="13"/>
    <n v="12"/>
    <n v="43.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2"/>
    <n v="6065"/>
    <n v="224"/>
    <n v="39"/>
    <n v="44"/>
    <n v="69.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2"/>
    <n v="6861"/>
    <n v="70"/>
    <n v="24"/>
    <n v="33"/>
    <n v="72.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2"/>
    <n v="3655"/>
    <n v="104"/>
    <n v="9"/>
    <n v="14"/>
    <n v="40.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2"/>
    <n v="6584"/>
    <n v="57"/>
    <n v="50"/>
    <n v="37"/>
    <n v="70.29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2"/>
    <n v="6291"/>
    <n v="251"/>
    <n v="33"/>
    <n v="25"/>
    <n v="72.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3"/>
    <n v="5961"/>
    <n v="63"/>
    <n v="13"/>
    <n v="22"/>
    <n v="62.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3"/>
    <n v="6287"/>
    <n v="229"/>
    <n v="13"/>
    <n v="21"/>
    <n v="70.68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3"/>
    <n v="5942"/>
    <n v="136"/>
    <n v="13"/>
    <n v="22"/>
    <n v="64.45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3"/>
    <n v="3514"/>
    <n v="3"/>
    <n v="4"/>
    <n v="2"/>
    <n v="35.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3"/>
    <n v="4191"/>
    <n v="15"/>
    <n v="4"/>
    <n v="10"/>
    <n v="42.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3"/>
    <n v="5298"/>
    <n v="185"/>
    <n v="11"/>
    <n v="13"/>
    <n v="59.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3"/>
    <n v="1584"/>
    <n v="0"/>
    <n v="0"/>
    <n v="0"/>
    <n v="15.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3"/>
    <n v="5529"/>
    <n v="7"/>
    <n v="19"/>
    <n v="22"/>
    <n v="5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3"/>
    <n v="4873"/>
    <n v="31"/>
    <n v="8"/>
    <n v="14"/>
    <n v="50.2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3"/>
    <n v="4048"/>
    <n v="7"/>
    <n v="3"/>
    <n v="4"/>
    <n v="40.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3"/>
    <n v="3826"/>
    <n v="0"/>
    <n v="5"/>
    <n v="10"/>
    <n v="38.65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3"/>
    <n v="4624"/>
    <n v="24"/>
    <n v="12"/>
    <n v="11"/>
    <n v="47.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3"/>
    <n v="4047"/>
    <n v="14"/>
    <n v="3"/>
    <n v="5"/>
    <n v="41.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3"/>
    <n v="5570"/>
    <n v="189"/>
    <n v="16"/>
    <n v="15"/>
    <n v="62.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3"/>
    <n v="5540"/>
    <n v="236"/>
    <n v="8"/>
    <n v="11"/>
    <n v="63.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3"/>
    <n v="1424"/>
    <n v="0"/>
    <n v="1"/>
    <n v="1"/>
    <n v="1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3"/>
    <n v="5510"/>
    <n v="225"/>
    <n v="13"/>
    <n v="18"/>
    <n v="62.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33"/>
    <n v="5872"/>
    <n v="111"/>
    <n v="17"/>
    <n v="26"/>
    <n v="63.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3"/>
    <n v="1391"/>
    <n v="0"/>
    <n v="0"/>
    <n v="0"/>
    <n v="13.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3"/>
    <n v="5588"/>
    <n v="114"/>
    <n v="12"/>
    <n v="31"/>
    <n v="6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3"/>
    <n v="4572"/>
    <n v="0"/>
    <n v="6"/>
    <n v="17"/>
    <n v="4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3"/>
    <n v="5250"/>
    <n v="122"/>
    <n v="8"/>
    <n v="22"/>
    <n v="56.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3"/>
    <n v="3178"/>
    <n v="167"/>
    <n v="7"/>
    <n v="9"/>
    <n v="37.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3"/>
    <n v="4682"/>
    <n v="400"/>
    <n v="18"/>
    <n v="16"/>
    <n v="59.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4"/>
    <n v="6871"/>
    <n v="23"/>
    <n v="16"/>
    <n v="14"/>
    <n v="70.3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4"/>
    <n v="7612"/>
    <n v="8"/>
    <n v="19"/>
    <n v="26"/>
    <n v="77.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4"/>
    <n v="7284"/>
    <n v="69"/>
    <n v="28"/>
    <n v="24"/>
    <n v="76.5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4"/>
    <n v="9577"/>
    <n v="93"/>
    <n v="28"/>
    <n v="27"/>
    <n v="100.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4"/>
    <n v="1770"/>
    <n v="0"/>
    <n v="1"/>
    <n v="4"/>
    <n v="17.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4"/>
    <n v="9719"/>
    <n v="297"/>
    <n v="60"/>
    <n v="43"/>
    <n v="109.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4"/>
    <n v="5724"/>
    <n v="60"/>
    <n v="22"/>
    <n v="20"/>
    <n v="60.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4"/>
    <n v="6809"/>
    <n v="91"/>
    <n v="33"/>
    <n v="21"/>
    <n v="72.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4"/>
    <n v="5435"/>
    <n v="0"/>
    <n v="12"/>
    <n v="17"/>
    <n v="55.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4"/>
    <n v="6049"/>
    <n v="26"/>
    <n v="19"/>
    <n v="9"/>
    <n v="62.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4"/>
    <n v="7451"/>
    <n v="34"/>
    <n v="26"/>
    <n v="12"/>
    <n v="76.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4"/>
    <n v="3916"/>
    <n v="0"/>
    <n v="6"/>
    <n v="4"/>
    <n v="39.47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4"/>
    <n v="6281"/>
    <n v="22"/>
    <n v="12"/>
    <n v="9"/>
    <n v="64.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4"/>
    <n v="4053"/>
    <n v="0"/>
    <n v="4"/>
    <n v="11"/>
    <n v="40.90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4"/>
    <n v="7925"/>
    <n v="167"/>
    <n v="36"/>
    <n v="36"/>
    <n v="86.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4"/>
    <n v="6714"/>
    <n v="107"/>
    <n v="15"/>
    <n v="18"/>
    <n v="71.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34"/>
    <n v="8196"/>
    <n v="78"/>
    <n v="23"/>
    <n v="15"/>
    <n v="98.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4"/>
    <n v="6312"/>
    <n v="113"/>
    <n v="20"/>
    <n v="22"/>
    <n v="81.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4"/>
    <n v="4832"/>
    <n v="0"/>
    <n v="2"/>
    <n v="11"/>
    <n v="48.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4"/>
    <n v="9116"/>
    <n v="284"/>
    <n v="41"/>
    <n v="44"/>
    <n v="10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4"/>
    <n v="4885"/>
    <n v="0"/>
    <n v="14"/>
    <n v="17"/>
    <n v="49.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4"/>
    <n v="1687"/>
    <n v="6"/>
    <n v="6"/>
    <n v="5"/>
    <n v="17.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4"/>
    <n v="7819"/>
    <n v="111"/>
    <n v="26"/>
    <n v="13"/>
    <n v="97.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5"/>
    <n v="5304"/>
    <n v="37"/>
    <n v="15"/>
    <n v="35"/>
    <n v="55.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5"/>
    <n v="5456"/>
    <n v="9"/>
    <n v="24"/>
    <n v="16"/>
    <n v="56.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5"/>
    <n v="5202"/>
    <n v="40"/>
    <n v="13"/>
    <n v="18"/>
    <n v="5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5"/>
    <n v="5916"/>
    <n v="9"/>
    <n v="15"/>
    <n v="16"/>
    <n v="60.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5"/>
    <n v="5044"/>
    <n v="131"/>
    <n v="29"/>
    <n v="31"/>
    <n v="56.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5"/>
    <n v="5505"/>
    <n v="23"/>
    <n v="14"/>
    <n v="26"/>
    <n v="56.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5"/>
    <n v="4977"/>
    <n v="21"/>
    <n v="16"/>
    <n v="42"/>
    <n v="51.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5"/>
    <n v="5845"/>
    <n v="73"/>
    <n v="16"/>
    <n v="27"/>
    <n v="61.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5"/>
    <n v="5345"/>
    <n v="25"/>
    <n v="11"/>
    <n v="27"/>
    <n v="55.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5"/>
    <n v="5792"/>
    <n v="7"/>
    <n v="13"/>
    <n v="11"/>
    <n v="58.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5"/>
    <n v="4756"/>
    <n v="51"/>
    <n v="11"/>
    <n v="26"/>
    <n v="5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5"/>
    <n v="5693"/>
    <n v="0"/>
    <n v="15"/>
    <n v="32"/>
    <n v="58.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5"/>
    <n v="5675"/>
    <n v="134"/>
    <n v="9"/>
    <n v="26"/>
    <n v="61.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5"/>
    <n v="5961"/>
    <n v="72"/>
    <n v="20"/>
    <n v="30"/>
    <n v="63.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5"/>
    <n v="5605"/>
    <n v="35"/>
    <n v="9"/>
    <n v="15"/>
    <n v="57.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5"/>
    <n v="5326"/>
    <n v="157"/>
    <n v="39"/>
    <n v="28"/>
    <n v="60.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5"/>
    <n v="3235"/>
    <n v="31"/>
    <n v="10"/>
    <n v="19"/>
    <n v="34.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5"/>
    <n v="5308"/>
    <n v="55"/>
    <n v="21"/>
    <n v="36"/>
    <n v="56.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5"/>
    <n v="7105"/>
    <n v="22"/>
    <n v="14"/>
    <n v="21"/>
    <n v="72.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5"/>
    <n v="5902"/>
    <n v="142"/>
    <n v="15"/>
    <n v="21"/>
    <n v="6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36"/>
    <n v="7363"/>
    <n v="13"/>
    <n v="19"/>
    <n v="38"/>
    <n v="75.54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6"/>
    <n v="9178"/>
    <n v="12"/>
    <n v="27"/>
    <n v="46"/>
    <n v="94.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6"/>
    <n v="9010"/>
    <n v="0"/>
    <n v="38"/>
    <n v="28"/>
    <n v="92.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6"/>
    <n v="6282"/>
    <n v="25"/>
    <n v="36"/>
    <n v="24"/>
    <n v="65.4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6"/>
    <n v="9371"/>
    <n v="16"/>
    <n v="50"/>
    <n v="41"/>
    <n v="97.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6"/>
    <n v="7010"/>
    <n v="42"/>
    <n v="55"/>
    <n v="54"/>
    <n v="74.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6"/>
    <n v="8424"/>
    <n v="11"/>
    <n v="40"/>
    <n v="37"/>
    <n v="86.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6"/>
    <n v="7886"/>
    <n v="0"/>
    <n v="19"/>
    <n v="23"/>
    <n v="80.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6"/>
    <n v="8802"/>
    <n v="49"/>
    <n v="37"/>
    <n v="57"/>
    <n v="92.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6"/>
    <n v="8488"/>
    <n v="54"/>
    <n v="32"/>
    <n v="45"/>
    <n v="88.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6"/>
    <n v="7701"/>
    <n v="17"/>
    <n v="29"/>
    <n v="32"/>
    <n v="79.3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6"/>
    <n v="9482"/>
    <n v="45"/>
    <n v="32"/>
    <n v="51"/>
    <n v="98.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6"/>
    <n v="8822"/>
    <n v="0"/>
    <n v="43"/>
    <n v="20"/>
    <n v="90.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6"/>
    <n v="7535"/>
    <n v="22"/>
    <n v="21"/>
    <n v="20"/>
    <n v="77.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6"/>
    <n v="9026"/>
    <n v="144"/>
    <n v="58"/>
    <n v="39"/>
    <n v="97.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6"/>
    <n v="8512"/>
    <n v="37"/>
    <n v="28"/>
    <n v="16"/>
    <n v="87.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36"/>
    <n v="6343"/>
    <n v="0"/>
    <n v="11"/>
    <n v="23"/>
    <n v="64.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6"/>
    <n v="9158"/>
    <n v="27"/>
    <n v="67"/>
    <n v="51"/>
    <n v="96.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6"/>
    <n v="9104"/>
    <n v="102"/>
    <n v="36"/>
    <n v="51"/>
    <n v="96.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6"/>
    <n v="9329"/>
    <n v="119"/>
    <n v="37"/>
    <n v="48"/>
    <n v="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6"/>
    <n v="8763"/>
    <n v="6"/>
    <n v="64"/>
    <n v="45"/>
    <n v="91.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0"/>
    <x v="3"/>
    <x v="36"/>
    <n v="8331"/>
    <n v="62"/>
    <n v="49"/>
    <n v="58"/>
    <n v="88.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6"/>
    <n v="8912"/>
    <n v="59"/>
    <n v="29"/>
    <n v="45"/>
    <n v="92.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6"/>
    <n v="8781"/>
    <n v="7"/>
    <n v="55"/>
    <n v="47"/>
    <n v="91.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6"/>
    <n v="9010"/>
    <n v="31"/>
    <n v="41"/>
    <n v="31"/>
    <n v="93.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6"/>
    <n v="8673"/>
    <n v="0"/>
    <n v="30"/>
    <n v="42"/>
    <n v="88.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7"/>
    <n v="6052"/>
    <n v="135"/>
    <n v="15"/>
    <n v="17"/>
    <n v="97.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7"/>
    <n v="7131"/>
    <n v="46"/>
    <n v="27"/>
    <n v="17"/>
    <n v="105.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7"/>
    <n v="8842"/>
    <n v="20"/>
    <n v="21"/>
    <n v="10"/>
    <n v="121.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7"/>
    <n v="6504"/>
    <n v="144"/>
    <n v="26"/>
    <n v="27"/>
    <n v="102.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7"/>
    <n v="7710"/>
    <n v="173"/>
    <n v="25"/>
    <n v="13"/>
    <n v="115.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7"/>
    <n v="7215"/>
    <n v="95"/>
    <n v="12"/>
    <n v="19"/>
    <n v="107.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7"/>
    <n v="6965"/>
    <n v="99"/>
    <n v="28"/>
    <n v="30"/>
    <n v="105.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7"/>
    <n v="7526"/>
    <n v="53"/>
    <n v="35"/>
    <n v="21"/>
    <n v="110.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7"/>
    <n v="5895"/>
    <n v="54"/>
    <n v="17"/>
    <n v="15"/>
    <n v="93.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7"/>
    <n v="9466"/>
    <n v="294"/>
    <n v="31"/>
    <n v="31"/>
    <n v="136.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7"/>
    <n v="3449"/>
    <n v="0"/>
    <n v="0"/>
    <n v="0"/>
    <n v="65.9900000000000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7"/>
    <n v="6972"/>
    <n v="80"/>
    <n v="22"/>
    <n v="14"/>
    <n v="104.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7"/>
    <n v="2924"/>
    <n v="56"/>
    <n v="16"/>
    <n v="7"/>
    <n v="6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7"/>
    <n v="7437"/>
    <n v="96"/>
    <n v="24"/>
    <n v="23"/>
    <n v="110.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7"/>
    <n v="8448"/>
    <n v="168"/>
    <n v="18"/>
    <n v="18"/>
    <n v="12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7"/>
    <n v="9759"/>
    <n v="213"/>
    <n v="34"/>
    <n v="24"/>
    <n v="137.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7"/>
    <n v="4278"/>
    <n v="56"/>
    <n v="27"/>
    <n v="18"/>
    <n v="77.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7"/>
    <n v="6336"/>
    <n v="9"/>
    <n v="19"/>
    <n v="15"/>
    <n v="96.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7"/>
    <n v="6419"/>
    <n v="176"/>
    <n v="27"/>
    <n v="26"/>
    <n v="102.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7"/>
    <n v="12652"/>
    <n v="113"/>
    <n v="51"/>
    <n v="28"/>
    <n v="164.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7"/>
    <n v="4482"/>
    <n v="12"/>
    <n v="2"/>
    <n v="2"/>
    <n v="7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7"/>
    <n v="5271"/>
    <n v="72"/>
    <n v="23"/>
    <n v="14"/>
    <n v="87.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38"/>
    <n v="5619"/>
    <n v="66"/>
    <n v="12"/>
    <n v="15"/>
    <n v="58.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8"/>
    <n v="7922"/>
    <n v="42"/>
    <n v="22"/>
    <n v="24"/>
    <n v="81.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8"/>
    <n v="4429"/>
    <n v="65"/>
    <n v="14"/>
    <n v="13"/>
    <n v="47.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8"/>
    <n v="5400"/>
    <n v="32"/>
    <n v="11"/>
    <n v="17"/>
    <n v="55.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8"/>
    <n v="6603"/>
    <n v="67"/>
    <n v="25"/>
    <n v="20"/>
    <n v="69.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38"/>
    <n v="6866"/>
    <n v="47"/>
    <n v="18"/>
    <n v="10"/>
    <n v="70.9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8"/>
    <n v="7611"/>
    <n v="237"/>
    <n v="39"/>
    <n v="35"/>
    <n v="85.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8"/>
    <n v="7176"/>
    <n v="106"/>
    <n v="35"/>
    <n v="26"/>
    <n v="76.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8"/>
    <n v="7976"/>
    <n v="64"/>
    <n v="22"/>
    <n v="23"/>
    <n v="83.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8"/>
    <n v="7440"/>
    <n v="51"/>
    <n v="20"/>
    <n v="32"/>
    <n v="77.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8"/>
    <n v="6061"/>
    <n v="96"/>
    <n v="21"/>
    <n v="22"/>
    <n v="64.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8"/>
    <n v="8820"/>
    <n v="189"/>
    <n v="34"/>
    <n v="24"/>
    <n v="95.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8"/>
    <n v="4020"/>
    <n v="12"/>
    <n v="1"/>
    <n v="4"/>
    <n v="40.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8"/>
    <n v="7490"/>
    <n v="135"/>
    <n v="19"/>
    <n v="19"/>
    <n v="80.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8"/>
    <n v="8131"/>
    <n v="176"/>
    <n v="35"/>
    <n v="23"/>
    <n v="88.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8"/>
    <n v="8793"/>
    <n v="106"/>
    <n v="25"/>
    <n v="22"/>
    <n v="92.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8"/>
    <n v="8896"/>
    <n v="291"/>
    <n v="50"/>
    <n v="35"/>
    <n v="100.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38"/>
    <n v="5030"/>
    <n v="163"/>
    <n v="13"/>
    <n v="14"/>
    <n v="55.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8"/>
    <n v="7479"/>
    <n v="100"/>
    <n v="41"/>
    <n v="29"/>
    <n v="80.0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8"/>
    <n v="6472"/>
    <n v="97"/>
    <n v="24"/>
    <n v="22"/>
    <n v="69.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8"/>
    <n v="5730"/>
    <n v="14"/>
    <n v="17"/>
    <n v="11"/>
    <n v="58.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8"/>
    <n v="7229"/>
    <n v="150"/>
    <n v="23"/>
    <n v="30"/>
    <n v="78.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8"/>
    <n v="7921"/>
    <n v="24"/>
    <n v="36"/>
    <n v="18"/>
    <n v="81.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38"/>
    <n v="6625"/>
    <n v="105"/>
    <n v="21"/>
    <n v="21"/>
    <n v="70.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39"/>
    <n v="3580"/>
    <n v="11"/>
    <n v="9"/>
    <n v="23"/>
    <n v="36.95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39"/>
    <n v="3459"/>
    <n v="0"/>
    <n v="1"/>
    <n v="3"/>
    <n v="34.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39"/>
    <n v="3501"/>
    <n v="10"/>
    <n v="10"/>
    <n v="13"/>
    <n v="35.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39"/>
    <n v="2437"/>
    <n v="11"/>
    <n v="2"/>
    <n v="4"/>
    <n v="24.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39"/>
    <n v="2708"/>
    <n v="0"/>
    <n v="6"/>
    <n v="11"/>
    <n v="27.5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39"/>
    <n v="2353"/>
    <n v="80"/>
    <n v="8"/>
    <n v="2"/>
    <n v="26.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39"/>
    <n v="3252"/>
    <n v="0"/>
    <n v="20"/>
    <n v="14"/>
    <n v="3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39"/>
    <n v="2974"/>
    <n v="0"/>
    <n v="3"/>
    <n v="6"/>
    <n v="2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39"/>
    <n v="3619"/>
    <n v="0"/>
    <n v="12"/>
    <n v="22"/>
    <n v="37.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39"/>
    <n v="3039"/>
    <n v="44"/>
    <n v="10"/>
    <n v="13"/>
    <n v="32.36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39"/>
    <n v="3107"/>
    <n v="62"/>
    <n v="6"/>
    <n v="7"/>
    <n v="33.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39"/>
    <n v="3988"/>
    <n v="131"/>
    <n v="9"/>
    <n v="11"/>
    <n v="44.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39"/>
    <n v="3570"/>
    <n v="0"/>
    <n v="4"/>
    <n v="6"/>
    <n v="35.97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39"/>
    <n v="3078"/>
    <n v="54"/>
    <n v="6"/>
    <n v="9"/>
    <n v="32.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39"/>
    <n v="3179"/>
    <n v="30"/>
    <n v="3"/>
    <n v="2"/>
    <n v="32.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39"/>
    <n v="2974"/>
    <n v="0"/>
    <n v="6"/>
    <n v="4"/>
    <n v="3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39"/>
    <n v="3829"/>
    <n v="18"/>
    <n v="0"/>
    <n v="5"/>
    <n v="38.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39"/>
    <n v="3638"/>
    <n v="34"/>
    <n v="12"/>
    <n v="15"/>
    <n v="38.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39"/>
    <n v="3250"/>
    <n v="0"/>
    <n v="6"/>
    <n v="10"/>
    <n v="32.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39"/>
    <n v="3694"/>
    <n v="15"/>
    <n v="20"/>
    <n v="25"/>
    <n v="38.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39"/>
    <n v="3374"/>
    <n v="22"/>
    <n v="2"/>
    <n v="2"/>
    <n v="34.52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39"/>
    <n v="3503"/>
    <n v="0"/>
    <n v="1"/>
    <n v="1"/>
    <n v="35.09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39"/>
    <n v="3730"/>
    <n v="32"/>
    <n v="5"/>
    <n v="5"/>
    <n v="38.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39"/>
    <n v="2645"/>
    <n v="0"/>
    <n v="2"/>
    <n v="2"/>
    <n v="26.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39"/>
    <n v="3153"/>
    <n v="5"/>
    <n v="4"/>
    <n v="8"/>
    <n v="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39"/>
    <n v="2626"/>
    <n v="29"/>
    <n v="6"/>
    <n v="9"/>
    <n v="27.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0"/>
    <n v="7215"/>
    <n v="98"/>
    <n v="19"/>
    <n v="17"/>
    <n v="76.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0"/>
    <n v="12818"/>
    <n v="127"/>
    <n v="30"/>
    <n v="43"/>
    <n v="134.05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0"/>
    <n v="2691"/>
    <n v="0"/>
    <n v="3"/>
    <n v="3"/>
    <n v="44.9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0"/>
    <n v="13068"/>
    <n v="111"/>
    <n v="37"/>
    <n v="19"/>
    <n v="135.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40"/>
    <n v="8592"/>
    <n v="113"/>
    <n v="40"/>
    <n v="20"/>
    <n v="91.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0"/>
    <n v="9317"/>
    <n v="209"/>
    <n v="30"/>
    <n v="25"/>
    <n v="101.1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0"/>
    <n v="12264"/>
    <n v="307"/>
    <n v="39"/>
    <n v="50"/>
    <n v="134.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0"/>
    <n v="13885"/>
    <n v="414"/>
    <n v="49"/>
    <n v="25"/>
    <n v="153.72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0"/>
    <n v="4357"/>
    <n v="22"/>
    <n v="7"/>
    <n v="14"/>
    <n v="61.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0"/>
    <n v="6892"/>
    <n v="121"/>
    <n v="31"/>
    <n v="12"/>
    <n v="92.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0"/>
    <n v="2849"/>
    <n v="0"/>
    <n v="3"/>
    <n v="3"/>
    <n v="44.9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0"/>
    <n v="13421"/>
    <n v="246"/>
    <n v="34"/>
    <n v="19"/>
    <n v="143.33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0"/>
    <n v="9419"/>
    <n v="293"/>
    <n v="40"/>
    <n v="32"/>
    <n v="105.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0"/>
    <n v="10535"/>
    <n v="213"/>
    <n v="52"/>
    <n v="43"/>
    <n v="114.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40"/>
    <n v="2991"/>
    <n v="0"/>
    <n v="2"/>
    <n v="5"/>
    <n v="48.4800000000000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0"/>
    <n v="10980"/>
    <n v="352"/>
    <n v="39"/>
    <n v="50"/>
    <n v="122.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0"/>
    <n v="3775"/>
    <n v="0"/>
    <n v="11"/>
    <n v="6"/>
    <n v="56.82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0"/>
    <n v="3200"/>
    <n v="0"/>
    <n v="6"/>
    <n v="7"/>
    <n v="5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1"/>
    <n v="6689"/>
    <n v="42"/>
    <n v="9"/>
    <n v="17"/>
    <n v="68.8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1"/>
    <n v="6700"/>
    <n v="35"/>
    <n v="17"/>
    <n v="28"/>
    <n v="69.29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1"/>
    <n v="6350"/>
    <n v="31"/>
    <n v="20"/>
    <n v="22"/>
    <n v="65.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1"/>
    <n v="7872"/>
    <n v="25"/>
    <n v="38"/>
    <n v="25"/>
    <n v="81.48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41"/>
    <n v="1344"/>
    <n v="0"/>
    <n v="2"/>
    <n v="7"/>
    <n v="13.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41"/>
    <n v="1192"/>
    <n v="0"/>
    <n v="0"/>
    <n v="4"/>
    <n v="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1"/>
    <n v="7090"/>
    <n v="14"/>
    <n v="26"/>
    <n v="31"/>
    <n v="72.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1"/>
    <n v="7260"/>
    <n v="15"/>
    <n v="18"/>
    <n v="30"/>
    <n v="74.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1"/>
    <n v="7176"/>
    <n v="80"/>
    <n v="24"/>
    <n v="24"/>
    <n v="75.5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1"/>
    <n v="7135"/>
    <n v="48"/>
    <n v="16"/>
    <n v="22"/>
    <n v="73.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1"/>
    <n v="7962"/>
    <n v="89"/>
    <n v="43"/>
    <n v="37"/>
    <n v="84.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1"/>
    <n v="6234"/>
    <n v="29"/>
    <n v="21"/>
    <n v="10"/>
    <n v="64.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1"/>
    <n v="7450"/>
    <n v="26"/>
    <n v="27"/>
    <n v="24"/>
    <n v="76.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1"/>
    <n v="7977"/>
    <n v="142"/>
    <n v="37"/>
    <n v="34"/>
    <n v="86.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1"/>
    <n v="7483"/>
    <n v="11"/>
    <n v="24"/>
    <n v="23"/>
    <n v="76.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1"/>
    <n v="7723"/>
    <n v="36"/>
    <n v="32"/>
    <n v="28"/>
    <n v="80.15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1"/>
    <n v="8117"/>
    <n v="136"/>
    <n v="49"/>
    <n v="35"/>
    <n v="87.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1"/>
    <n v="8011"/>
    <n v="54"/>
    <n v="26"/>
    <n v="30"/>
    <n v="83.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1"/>
    <n v="6641"/>
    <n v="92"/>
    <n v="33"/>
    <n v="26"/>
    <n v="71.0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1"/>
    <n v="8119"/>
    <n v="33"/>
    <n v="38"/>
    <n v="34"/>
    <n v="84.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1"/>
    <n v="4679"/>
    <n v="113"/>
    <n v="23"/>
    <n v="22"/>
    <n v="51.5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1"/>
    <n v="7627"/>
    <n v="125"/>
    <n v="35"/>
    <n v="31"/>
    <n v="82.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2"/>
    <n v="6732"/>
    <n v="63"/>
    <n v="16"/>
    <n v="21"/>
    <n v="70.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2"/>
    <n v="7283"/>
    <n v="64"/>
    <n v="22"/>
    <n v="28"/>
    <n v="76.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42"/>
    <n v="7534"/>
    <n v="205"/>
    <n v="31"/>
    <n v="30"/>
    <n v="83.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2"/>
    <n v="4039"/>
    <n v="25"/>
    <n v="17"/>
    <n v="15"/>
    <n v="42.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2"/>
    <n v="5005"/>
    <n v="4"/>
    <n v="9"/>
    <n v="8"/>
    <n v="50.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2"/>
    <n v="7182"/>
    <n v="35"/>
    <n v="12"/>
    <n v="8"/>
    <n v="73.5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2"/>
    <n v="5991"/>
    <n v="44"/>
    <n v="5"/>
    <n v="10"/>
    <n v="61.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2"/>
    <n v="5981"/>
    <n v="52"/>
    <n v="22"/>
    <n v="18"/>
    <n v="62.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2"/>
    <n v="6177"/>
    <n v="66"/>
    <n v="27"/>
    <n v="25"/>
    <n v="65.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2"/>
    <n v="3553"/>
    <n v="10"/>
    <n v="7"/>
    <n v="9"/>
    <n v="36.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2"/>
    <n v="7336"/>
    <n v="205"/>
    <n v="42"/>
    <n v="20"/>
    <n v="81.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2"/>
    <n v="3540"/>
    <n v="9"/>
    <n v="5"/>
    <n v="5"/>
    <n v="35.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2"/>
    <n v="6732"/>
    <n v="85"/>
    <n v="20"/>
    <n v="23"/>
    <n v="71.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2"/>
    <n v="7447"/>
    <n v="185"/>
    <n v="38"/>
    <n v="22"/>
    <n v="81.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2"/>
    <n v="6660"/>
    <n v="82"/>
    <n v="26"/>
    <n v="14"/>
    <n v="70.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2"/>
    <n v="6961"/>
    <n v="92"/>
    <n v="19"/>
    <n v="28"/>
    <n v="73.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2"/>
    <n v="6620"/>
    <n v="119"/>
    <n v="24"/>
    <n v="16"/>
    <n v="71.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42"/>
    <n v="6422"/>
    <n v="166"/>
    <n v="21"/>
    <n v="17"/>
    <n v="70.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2"/>
    <n v="3946"/>
    <n v="0"/>
    <n v="10"/>
    <n v="5"/>
    <n v="39.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42"/>
    <n v="6397"/>
    <n v="76"/>
    <n v="20"/>
    <n v="11"/>
    <n v="67.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42"/>
    <n v="6669"/>
    <n v="56"/>
    <n v="10"/>
    <n v="15"/>
    <n v="69.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42"/>
    <n v="3928"/>
    <n v="73"/>
    <n v="17"/>
    <n v="10"/>
    <n v="42.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2"/>
    <n v="6451"/>
    <n v="27"/>
    <n v="13"/>
    <n v="21"/>
    <n v="66.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2"/>
    <n v="6778"/>
    <n v="116"/>
    <n v="22"/>
    <n v="15"/>
    <n v="72.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2"/>
    <n v="3464"/>
    <n v="76"/>
    <n v="13"/>
    <n v="19"/>
    <n v="37.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2"/>
    <n v="7507"/>
    <n v="200"/>
    <n v="36"/>
    <n v="22"/>
    <n v="82.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3"/>
    <n v="3076"/>
    <n v="56"/>
    <n v="7"/>
    <n v="8"/>
    <n v="32.88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3"/>
    <n v="3323"/>
    <n v="0"/>
    <n v="0"/>
    <n v="6"/>
    <n v="33.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43"/>
    <n v="2183"/>
    <n v="0"/>
    <n v="0"/>
    <n v="1"/>
    <n v="21.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3"/>
    <n v="2590"/>
    <n v="11"/>
    <n v="4"/>
    <n v="9"/>
    <n v="26.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3"/>
    <n v="2759"/>
    <n v="12"/>
    <n v="8"/>
    <n v="9"/>
    <n v="28.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3"/>
    <n v="3708"/>
    <n v="0"/>
    <n v="4"/>
    <n v="3"/>
    <n v="37.29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3"/>
    <n v="1662"/>
    <n v="0"/>
    <n v="1"/>
    <n v="4"/>
    <n v="16.739999999999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3"/>
    <n v="3736"/>
    <n v="0"/>
    <n v="7"/>
    <n v="18"/>
    <n v="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3"/>
    <n v="3013"/>
    <n v="18"/>
    <n v="8"/>
    <n v="4"/>
    <n v="31.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3"/>
    <n v="2654"/>
    <n v="0"/>
    <n v="2"/>
    <n v="2"/>
    <n v="26.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3"/>
    <n v="3303"/>
    <n v="73"/>
    <n v="6"/>
    <n v="9"/>
    <n v="35.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3"/>
    <n v="2941"/>
    <n v="0"/>
    <n v="2"/>
    <n v="3"/>
    <n v="29.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3"/>
    <n v="3644"/>
    <n v="33"/>
    <n v="11"/>
    <n v="16"/>
    <n v="38.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3"/>
    <n v="3379"/>
    <n v="36"/>
    <n v="6"/>
    <n v="13"/>
    <n v="35.36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3"/>
    <n v="3174"/>
    <n v="14"/>
    <n v="8"/>
    <n v="10"/>
    <n v="32.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3"/>
    <n v="3826"/>
    <n v="0"/>
    <n v="6"/>
    <n v="10"/>
    <n v="38.70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3"/>
    <n v="2522"/>
    <n v="25"/>
    <n v="6"/>
    <n v="6"/>
    <n v="26.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3"/>
    <n v="3014"/>
    <n v="0"/>
    <n v="9"/>
    <n v="10"/>
    <n v="3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43"/>
    <n v="3098"/>
    <n v="0"/>
    <n v="2"/>
    <n v="3"/>
    <n v="31.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43"/>
    <n v="3106"/>
    <n v="11"/>
    <n v="5"/>
    <n v="4"/>
    <n v="31.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43"/>
    <n v="2117"/>
    <n v="0"/>
    <n v="0"/>
    <n v="3"/>
    <n v="21.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3"/>
    <n v="2982"/>
    <n v="0"/>
    <n v="4"/>
    <n v="18"/>
    <n v="30.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3"/>
    <n v="2626"/>
    <n v="0"/>
    <n v="3"/>
    <n v="3"/>
    <n v="26.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3"/>
    <n v="3601"/>
    <n v="105"/>
    <n v="5"/>
    <n v="4"/>
    <n v="39.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3"/>
    <n v="3238"/>
    <n v="12"/>
    <n v="14"/>
    <n v="5"/>
    <n v="3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4"/>
    <n v="4108"/>
    <n v="0"/>
    <n v="13"/>
    <n v="11"/>
    <n v="58.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4"/>
    <n v="6723"/>
    <n v="61"/>
    <n v="26"/>
    <n v="20"/>
    <n v="87.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4"/>
    <n v="2910"/>
    <n v="38"/>
    <n v="5"/>
    <n v="5"/>
    <n v="46.8799999999999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4"/>
    <n v="14035"/>
    <n v="52"/>
    <n v="35"/>
    <n v="20"/>
    <n v="143.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4"/>
    <n v="11998"/>
    <n v="171"/>
    <n v="28"/>
    <n v="20"/>
    <n v="126.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4"/>
    <n v="12086"/>
    <n v="175"/>
    <n v="39"/>
    <n v="35"/>
    <n v="128.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4"/>
    <n v="2883"/>
    <n v="17"/>
    <n v="3"/>
    <n v="8"/>
    <n v="46.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4"/>
    <n v="9498"/>
    <n v="173"/>
    <n v="40"/>
    <n v="32"/>
    <n v="102.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4"/>
    <n v="8568"/>
    <n v="68"/>
    <n v="26"/>
    <n v="28"/>
    <n v="89.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4"/>
    <n v="14187"/>
    <n v="400"/>
    <n v="56"/>
    <n v="45"/>
    <n v="157.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4"/>
    <n v="8106"/>
    <n v="85"/>
    <n v="27"/>
    <n v="17"/>
    <n v="85.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4"/>
    <n v="12799"/>
    <n v="263"/>
    <n v="47"/>
    <n v="35"/>
    <n v="138.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4"/>
    <n v="7905"/>
    <n v="43"/>
    <n v="39"/>
    <n v="29"/>
    <n v="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44"/>
    <n v="6775"/>
    <n v="152"/>
    <n v="14"/>
    <n v="21"/>
    <n v="89.89000000000001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44"/>
    <n v="3045"/>
    <n v="0"/>
    <n v="1"/>
    <n v="1"/>
    <n v="47.9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4"/>
    <n v="11552"/>
    <n v="156"/>
    <n v="44"/>
    <n v="35"/>
    <n v="139.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4"/>
    <n v="2938"/>
    <n v="0"/>
    <n v="7"/>
    <n v="9"/>
    <n v="29.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4"/>
    <n v="10708"/>
    <n v="159"/>
    <n v="37"/>
    <n v="32"/>
    <n v="113.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5"/>
    <n v="10687"/>
    <n v="247"/>
    <n v="47"/>
    <n v="38"/>
    <n v="116.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5"/>
    <n v="12289"/>
    <n v="78"/>
    <n v="43"/>
    <n v="31"/>
    <n v="127.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5"/>
    <n v="4852"/>
    <n v="56"/>
    <n v="15"/>
    <n v="7"/>
    <n v="50.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5"/>
    <n v="9564"/>
    <n v="0"/>
    <n v="21"/>
    <n v="23"/>
    <n v="96.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5"/>
    <n v="1749"/>
    <n v="0"/>
    <n v="0"/>
    <n v="2"/>
    <n v="17.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5"/>
    <n v="8328"/>
    <n v="146"/>
    <n v="37"/>
    <n v="37"/>
    <n v="89.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5"/>
    <n v="10104"/>
    <n v="121"/>
    <n v="17"/>
    <n v="24"/>
    <n v="105.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5"/>
    <n v="6307"/>
    <n v="60"/>
    <n v="13"/>
    <n v="20"/>
    <n v="65.79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5"/>
    <n v="1739"/>
    <n v="0"/>
    <n v="0"/>
    <n v="0"/>
    <n v="17.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5"/>
    <n v="7187"/>
    <n v="271"/>
    <n v="47"/>
    <n v="17"/>
    <n v="82.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45"/>
    <n v="11029"/>
    <n v="324"/>
    <n v="33"/>
    <n v="28"/>
    <n v="121.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5"/>
    <n v="1835"/>
    <n v="0"/>
    <n v="1"/>
    <n v="2"/>
    <n v="18.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45"/>
    <n v="6329"/>
    <n v="224"/>
    <n v="20"/>
    <n v="27"/>
    <n v="71.3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45"/>
    <n v="11920"/>
    <n v="231"/>
    <n v="59"/>
    <n v="38"/>
    <n v="129.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5"/>
    <n v="7965"/>
    <n v="88"/>
    <n v="34"/>
    <n v="27"/>
    <n v="84.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5"/>
    <n v="1409"/>
    <n v="0"/>
    <n v="2"/>
    <n v="4"/>
    <n v="14.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5"/>
    <n v="1001"/>
    <n v="0"/>
    <n v="0"/>
    <n v="2"/>
    <n v="10.050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6"/>
    <n v="6857"/>
    <n v="143"/>
    <n v="18"/>
    <n v="10"/>
    <n v="73.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6"/>
    <n v="6965"/>
    <n v="6"/>
    <n v="18"/>
    <n v="16"/>
    <n v="70.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46"/>
    <n v="7408"/>
    <n v="124"/>
    <n v="17"/>
    <n v="11"/>
    <n v="7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6"/>
    <n v="4925"/>
    <n v="85"/>
    <n v="15"/>
    <n v="14"/>
    <n v="52.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6"/>
    <n v="5810"/>
    <n v="101"/>
    <n v="24"/>
    <n v="20"/>
    <n v="62.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6"/>
    <n v="6654"/>
    <n v="12"/>
    <n v="8"/>
    <n v="8"/>
    <n v="67.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46"/>
    <n v="6705"/>
    <n v="199"/>
    <n v="27"/>
    <n v="26"/>
    <n v="74.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46"/>
    <n v="6055"/>
    <n v="63"/>
    <n v="21"/>
    <n v="10"/>
    <n v="63.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6"/>
    <n v="6590"/>
    <n v="80"/>
    <n v="15"/>
    <n v="15"/>
    <n v="6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6"/>
    <n v="5371"/>
    <n v="51"/>
    <n v="23"/>
    <n v="23"/>
    <n v="56.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6"/>
    <n v="4843"/>
    <n v="124"/>
    <n v="22"/>
    <n v="17"/>
    <n v="53.3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6"/>
    <n v="5864"/>
    <n v="95"/>
    <n v="12"/>
    <n v="11"/>
    <n v="62.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6"/>
    <n v="3144"/>
    <n v="0"/>
    <n v="10"/>
    <n v="2"/>
    <n v="31.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6"/>
    <n v="3316"/>
    <n v="0"/>
    <n v="6"/>
    <n v="3"/>
    <n v="33.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6"/>
    <n v="5617"/>
    <n v="99"/>
    <n v="19"/>
    <n v="21"/>
    <n v="60.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6"/>
    <n v="6012"/>
    <n v="183"/>
    <n v="25"/>
    <n v="14"/>
    <n v="66.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6"/>
    <n v="6574"/>
    <n v="10"/>
    <n v="27"/>
    <n v="12"/>
    <n v="67.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6"/>
    <n v="7890"/>
    <n v="78"/>
    <n v="26"/>
    <n v="24"/>
    <n v="82.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6"/>
    <n v="5826"/>
    <n v="139"/>
    <n v="24"/>
    <n v="16"/>
    <n v="63.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8"/>
    <x v="2"/>
    <x v="46"/>
    <n v="6481"/>
    <n v="258"/>
    <n v="20"/>
    <n v="20"/>
    <n v="73.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6"/>
    <n v="5253"/>
    <n v="42"/>
    <n v="29"/>
    <n v="20"/>
    <n v="55.3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46"/>
    <n v="4954"/>
    <n v="71"/>
    <n v="15"/>
    <n v="8"/>
    <n v="52.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46"/>
    <n v="5387"/>
    <n v="146"/>
    <n v="18"/>
    <n v="15"/>
    <n v="59.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46"/>
    <n v="920"/>
    <n v="0"/>
    <n v="0"/>
    <n v="1"/>
    <n v="9.22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6"/>
    <n v="3796"/>
    <n v="54"/>
    <n v="9"/>
    <n v="8"/>
    <n v="4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6"/>
    <n v="5859"/>
    <n v="50"/>
    <n v="28"/>
    <n v="16"/>
    <n v="61.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6"/>
    <n v="3075"/>
    <n v="26"/>
    <n v="13"/>
    <n v="10"/>
    <n v="32.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6"/>
    <n v="3896"/>
    <n v="8"/>
    <n v="11"/>
    <n v="10"/>
    <n v="39.84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7"/>
    <n v="3535"/>
    <n v="8"/>
    <n v="5"/>
    <n v="13"/>
    <n v="36.04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7"/>
    <n v="3434"/>
    <n v="14"/>
    <n v="4"/>
    <n v="8"/>
    <n v="35.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7"/>
    <n v="3816"/>
    <n v="0"/>
    <n v="13"/>
    <n v="14"/>
    <n v="38.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7"/>
    <n v="3728"/>
    <n v="0"/>
    <n v="2"/>
    <n v="3"/>
    <n v="37.4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47"/>
    <n v="3322"/>
    <n v="0"/>
    <n v="7"/>
    <n v="5"/>
    <n v="3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47"/>
    <n v="3880"/>
    <n v="12"/>
    <n v="14"/>
    <n v="11"/>
    <n v="3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7"/>
    <n v="2878"/>
    <n v="4"/>
    <n v="3"/>
    <n v="4"/>
    <n v="2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7"/>
    <n v="3666"/>
    <n v="0"/>
    <n v="3"/>
    <n v="13"/>
    <n v="37.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7"/>
    <n v="3370"/>
    <n v="5"/>
    <n v="11"/>
    <n v="11"/>
    <n v="34.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7"/>
    <n v="2319"/>
    <n v="22"/>
    <n v="6"/>
    <n v="6"/>
    <n v="24.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7"/>
    <n v="3806"/>
    <n v="42"/>
    <n v="8"/>
    <n v="13"/>
    <n v="3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7"/>
    <n v="2878"/>
    <n v="0"/>
    <n v="5"/>
    <n v="2"/>
    <n v="29.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7"/>
    <n v="3904"/>
    <n v="59"/>
    <n v="11"/>
    <n v="10"/>
    <n v="41.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7"/>
    <n v="4542"/>
    <n v="83"/>
    <n v="17"/>
    <n v="16"/>
    <n v="48.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7"/>
    <n v="3739"/>
    <n v="0"/>
    <n v="6"/>
    <n v="17"/>
    <n v="37.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7"/>
    <n v="3997"/>
    <n v="22"/>
    <n v="8"/>
    <n v="5"/>
    <n v="41.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7"/>
    <n v="3860"/>
    <n v="64"/>
    <n v="14"/>
    <n v="15"/>
    <n v="41.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7"/>
    <n v="3187"/>
    <n v="0"/>
    <n v="12"/>
    <n v="10"/>
    <n v="32.54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7"/>
    <n v="3303"/>
    <n v="9"/>
    <n v="5"/>
    <n v="5"/>
    <n v="3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7"/>
    <n v="3402"/>
    <n v="34"/>
    <n v="12"/>
    <n v="12"/>
    <n v="35.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7"/>
    <n v="3723"/>
    <n v="18"/>
    <n v="13"/>
    <n v="7"/>
    <n v="38.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7"/>
    <n v="3293"/>
    <n v="60"/>
    <n v="4"/>
    <n v="5"/>
    <n v="34.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8"/>
    <n v="11776"/>
    <n v="338"/>
    <n v="60"/>
    <n v="45"/>
    <n v="131.19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8"/>
    <n v="3974"/>
    <n v="0"/>
    <n v="10"/>
    <n v="11"/>
    <n v="40.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48"/>
    <n v="3759"/>
    <n v="24"/>
    <n v="3"/>
    <n v="8"/>
    <n v="38.59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8"/>
    <n v="10123"/>
    <n v="47"/>
    <n v="41"/>
    <n v="31"/>
    <n v="10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8"/>
    <n v="7508"/>
    <n v="39"/>
    <n v="32"/>
    <n v="9"/>
    <n v="77.7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48"/>
    <n v="6996"/>
    <n v="211"/>
    <n v="30"/>
    <n v="23"/>
    <n v="77.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48"/>
    <n v="11448"/>
    <n v="152"/>
    <n v="47"/>
    <n v="38"/>
    <n v="121.6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48"/>
    <n v="10908"/>
    <n v="178"/>
    <n v="39"/>
    <n v="29"/>
    <n v="116.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8"/>
    <n v="3326"/>
    <n v="0"/>
    <n v="9"/>
    <n v="12"/>
    <n v="33.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8"/>
    <n v="3237"/>
    <n v="23"/>
    <n v="6"/>
    <n v="8"/>
    <n v="33.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8"/>
    <n v="8748"/>
    <n v="74"/>
    <n v="37"/>
    <n v="29"/>
    <n v="91.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8"/>
    <n v="13312"/>
    <n v="435"/>
    <n v="55"/>
    <n v="55"/>
    <n v="149.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8"/>
    <n v="8427"/>
    <n v="74"/>
    <n v="35"/>
    <n v="15"/>
    <n v="88.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8"/>
    <n v="13489"/>
    <n v="76"/>
    <n v="41"/>
    <n v="32"/>
    <n v="139.44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8"/>
    <n v="9082"/>
    <n v="183"/>
    <n v="57"/>
    <n v="35"/>
    <n v="99.2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8"/>
    <n v="12744"/>
    <n v="232"/>
    <n v="62"/>
    <n v="45"/>
    <n v="137.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8"/>
    <n v="6873"/>
    <n v="151"/>
    <n v="17"/>
    <n v="30"/>
    <n v="74.54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8"/>
    <n v="3467"/>
    <n v="3"/>
    <n v="11"/>
    <n v="5"/>
    <n v="35.29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49"/>
    <n v="1198"/>
    <n v="0"/>
    <n v="0"/>
    <n v="3"/>
    <n v="12.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49"/>
    <n v="7362"/>
    <n v="27"/>
    <n v="27"/>
    <n v="38"/>
    <n v="76.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49"/>
    <n v="7824"/>
    <n v="28"/>
    <n v="21"/>
    <n v="13"/>
    <n v="80.18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49"/>
    <n v="7337"/>
    <n v="45"/>
    <n v="24"/>
    <n v="29"/>
    <n v="76.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49"/>
    <n v="1159"/>
    <n v="0"/>
    <n v="0"/>
    <n v="0"/>
    <n v="11.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49"/>
    <n v="3497"/>
    <n v="3"/>
    <n v="10"/>
    <n v="6"/>
    <n v="35.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49"/>
    <n v="6417"/>
    <n v="169"/>
    <n v="38"/>
    <n v="31"/>
    <n v="71.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49"/>
    <n v="1597"/>
    <n v="0"/>
    <n v="0"/>
    <n v="1"/>
    <n v="15.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49"/>
    <n v="6220"/>
    <n v="27"/>
    <n v="20"/>
    <n v="20"/>
    <n v="64.20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49"/>
    <n v="7104"/>
    <n v="79"/>
    <n v="38"/>
    <n v="34"/>
    <n v="75.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49"/>
    <n v="6721"/>
    <n v="53"/>
    <n v="27"/>
    <n v="14"/>
    <n v="70.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49"/>
    <n v="7696"/>
    <n v="170"/>
    <n v="26"/>
    <n v="25"/>
    <n v="83.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49"/>
    <n v="7002"/>
    <n v="33"/>
    <n v="17"/>
    <n v="12"/>
    <n v="71.9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49"/>
    <n v="1280"/>
    <n v="0"/>
    <n v="1"/>
    <n v="6"/>
    <n v="12.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49"/>
    <n v="1203"/>
    <n v="0"/>
    <n v="0"/>
    <n v="5"/>
    <n v="12.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49"/>
    <n v="1256"/>
    <n v="0"/>
    <n v="0"/>
    <n v="0"/>
    <n v="12.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49"/>
    <n v="1425"/>
    <n v="0"/>
    <n v="0"/>
    <n v="7"/>
    <n v="14.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49"/>
    <n v="1698"/>
    <n v="0"/>
    <n v="0"/>
    <n v="1"/>
    <n v="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49"/>
    <n v="1460"/>
    <n v="0"/>
    <n v="0"/>
    <n v="0"/>
    <n v="1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49"/>
    <n v="7222"/>
    <n v="73"/>
    <n v="21"/>
    <n v="28"/>
    <n v="75.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49"/>
    <n v="6863"/>
    <n v="107"/>
    <n v="16"/>
    <n v="15"/>
    <n v="72.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49"/>
    <n v="6835"/>
    <n v="126"/>
    <n v="24"/>
    <n v="25"/>
    <n v="73.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49"/>
    <n v="2639"/>
    <n v="15"/>
    <n v="10"/>
    <n v="7"/>
    <n v="27.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49"/>
    <n v="6792"/>
    <n v="66"/>
    <n v="42"/>
    <n v="29"/>
    <n v="72.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49"/>
    <n v="6413"/>
    <n v="56"/>
    <n v="28"/>
    <n v="25"/>
    <n v="67.4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49"/>
    <n v="6599"/>
    <n v="39"/>
    <n v="28"/>
    <n v="16"/>
    <n v="68.59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0"/>
    <n v="7295"/>
    <n v="170"/>
    <n v="26"/>
    <n v="21"/>
    <n v="79.5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0"/>
    <n v="11028"/>
    <n v="36"/>
    <n v="29"/>
    <n v="30"/>
    <n v="113.1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0"/>
    <n v="7132"/>
    <n v="82"/>
    <n v="25"/>
    <n v="25"/>
    <n v="75.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0"/>
    <n v="7036"/>
    <n v="38"/>
    <n v="12"/>
    <n v="17"/>
    <n v="72.3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0"/>
    <n v="11035"/>
    <n v="170"/>
    <n v="40"/>
    <n v="20"/>
    <n v="117.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50"/>
    <n v="13720"/>
    <n v="345"/>
    <n v="56"/>
    <n v="46"/>
    <n v="150.7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0"/>
    <n v="14079"/>
    <n v="188"/>
    <n v="64"/>
    <n v="59"/>
    <n v="150.16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0"/>
    <n v="9710"/>
    <n v="150"/>
    <n v="28"/>
    <n v="30"/>
    <n v="103.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0"/>
    <n v="9844"/>
    <n v="302"/>
    <n v="53"/>
    <n v="44"/>
    <n v="11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0"/>
    <n v="6374"/>
    <n v="27"/>
    <n v="7"/>
    <n v="15"/>
    <n v="65.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0"/>
    <n v="4344"/>
    <n v="0"/>
    <n v="7"/>
    <n v="9"/>
    <n v="4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0"/>
    <n v="4401"/>
    <n v="0"/>
    <n v="6"/>
    <n v="7"/>
    <n v="44.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0"/>
    <n v="8225"/>
    <n v="42"/>
    <n v="27"/>
    <n v="21"/>
    <n v="85.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0"/>
    <n v="8908"/>
    <n v="121"/>
    <n v="23"/>
    <n v="19"/>
    <n v="94.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0"/>
    <n v="9229"/>
    <n v="41"/>
    <n v="34"/>
    <n v="28"/>
    <n v="95.4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0"/>
    <n v="10978"/>
    <n v="61"/>
    <n v="24"/>
    <n v="32"/>
    <n v="113.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0"/>
    <n v="5188"/>
    <n v="3"/>
    <n v="12"/>
    <n v="6"/>
    <n v="52.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0"/>
    <n v="7845"/>
    <n v="44"/>
    <n v="18"/>
    <n v="22"/>
    <n v="80.93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0"/>
    <n v="10715"/>
    <n v="198"/>
    <n v="43"/>
    <n v="38"/>
    <n v="115.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0"/>
    <n v="10312"/>
    <n v="232"/>
    <n v="40"/>
    <n v="32"/>
    <n v="112.3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0"/>
    <n v="5225"/>
    <n v="0"/>
    <n v="9"/>
    <n v="18"/>
    <n v="52.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0"/>
    <n v="8490"/>
    <n v="94"/>
    <n v="43"/>
    <n v="28"/>
    <n v="9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50"/>
    <n v="4987"/>
    <n v="0"/>
    <n v="5"/>
    <n v="17"/>
    <n v="50.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0"/>
    <n v="7664"/>
    <n v="79"/>
    <n v="37"/>
    <n v="26"/>
    <n v="81.0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1"/>
    <n v="5703"/>
    <n v="11"/>
    <n v="20"/>
    <n v="28"/>
    <n v="58.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1"/>
    <n v="7368"/>
    <n v="37"/>
    <n v="39"/>
    <n v="52"/>
    <n v="77.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1"/>
    <n v="6450"/>
    <n v="83"/>
    <n v="35"/>
    <n v="38"/>
    <n v="69.15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1"/>
    <n v="6075"/>
    <n v="10"/>
    <n v="26"/>
    <n v="25"/>
    <n v="62.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1"/>
    <n v="5435"/>
    <n v="65"/>
    <n v="23"/>
    <n v="32"/>
    <n v="57.8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1"/>
    <n v="5751"/>
    <n v="49"/>
    <n v="14"/>
    <n v="21"/>
    <n v="59.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1"/>
    <n v="4943"/>
    <n v="11"/>
    <n v="17"/>
    <n v="36"/>
    <n v="51.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1"/>
    <n v="5842"/>
    <n v="31"/>
    <n v="26"/>
    <n v="36"/>
    <n v="61.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1"/>
    <n v="6174"/>
    <n v="25"/>
    <n v="27"/>
    <n v="27"/>
    <n v="64.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1"/>
    <n v="6750"/>
    <n v="80"/>
    <n v="38"/>
    <n v="42"/>
    <n v="72.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1"/>
    <n v="1500"/>
    <n v="2"/>
    <n v="18"/>
    <n v="15"/>
    <n v="16.079999999999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1"/>
    <n v="3190"/>
    <n v="11"/>
    <n v="15"/>
    <n v="37"/>
    <n v="33.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1"/>
    <n v="6466"/>
    <n v="179"/>
    <n v="27"/>
    <n v="35"/>
    <n v="71.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1"/>
    <n v="5545"/>
    <n v="5"/>
    <n v="17"/>
    <n v="27"/>
    <n v="56.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1"/>
    <n v="4681"/>
    <n v="0"/>
    <n v="30"/>
    <n v="32"/>
    <n v="48.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1"/>
    <n v="5709"/>
    <n v="125"/>
    <n v="34"/>
    <n v="38"/>
    <n v="62.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1"/>
    <n v="5959"/>
    <n v="43"/>
    <n v="17"/>
    <n v="20"/>
    <n v="61.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1"/>
    <n v="5577"/>
    <n v="33"/>
    <n v="24"/>
    <n v="13"/>
    <n v="57.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1"/>
    <n v="5829"/>
    <n v="96"/>
    <n v="32"/>
    <n v="31"/>
    <n v="63.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1"/>
    <n v="5270"/>
    <n v="11"/>
    <n v="41"/>
    <n v="33"/>
    <n v="55.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51"/>
    <n v="6155"/>
    <n v="121"/>
    <n v="23"/>
    <n v="37"/>
    <n v="66.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1"/>
    <n v="6402"/>
    <n v="46"/>
    <n v="32"/>
    <n v="25"/>
    <n v="67.18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2"/>
    <n v="4250"/>
    <n v="0"/>
    <n v="3"/>
    <n v="9"/>
    <n v="4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2"/>
    <n v="4647"/>
    <n v="0"/>
    <n v="13"/>
    <n v="16"/>
    <n v="47.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2"/>
    <n v="11520"/>
    <n v="190"/>
    <n v="37"/>
    <n v="33"/>
    <n v="123.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2"/>
    <n v="5751"/>
    <n v="7"/>
    <n v="15"/>
    <n v="13"/>
    <n v="58.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2"/>
    <n v="3856"/>
    <n v="0"/>
    <n v="8"/>
    <n v="7"/>
    <n v="39.02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2"/>
    <n v="4616"/>
    <n v="0"/>
    <n v="2"/>
    <n v="5"/>
    <n v="46.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2"/>
    <n v="9249"/>
    <n v="155"/>
    <n v="19"/>
    <n v="29"/>
    <n v="98.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2"/>
    <n v="8189"/>
    <n v="212"/>
    <n v="22"/>
    <n v="27"/>
    <n v="89.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2"/>
    <n v="12231"/>
    <n v="119"/>
    <n v="27"/>
    <n v="35"/>
    <n v="127.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2"/>
    <n v="12069"/>
    <n v="354"/>
    <n v="39"/>
    <n v="35"/>
    <n v="133.5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2"/>
    <n v="5858"/>
    <n v="2"/>
    <n v="15"/>
    <n v="12"/>
    <n v="59.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2"/>
    <n v="9133"/>
    <n v="69"/>
    <n v="20"/>
    <n v="22"/>
    <n v="94.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2"/>
    <n v="10434"/>
    <n v="133"/>
    <n v="25"/>
    <n v="28"/>
    <n v="109.8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2"/>
    <n v="13118"/>
    <n v="62"/>
    <n v="39"/>
    <n v="32"/>
    <n v="135.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2"/>
    <n v="5170"/>
    <n v="4"/>
    <n v="6"/>
    <n v="17"/>
    <n v="5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2"/>
    <n v="4912"/>
    <n v="0"/>
    <n v="14"/>
    <n v="15"/>
    <n v="49.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2"/>
    <n v="12564"/>
    <n v="72"/>
    <n v="24"/>
    <n v="21"/>
    <n v="129.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2"/>
    <n v="7483"/>
    <n v="78"/>
    <n v="32"/>
    <n v="30"/>
    <n v="79.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2"/>
    <n v="4332"/>
    <n v="14"/>
    <n v="15"/>
    <n v="25"/>
    <n v="44.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2"/>
    <n v="15084"/>
    <n v="113"/>
    <n v="54"/>
    <n v="37"/>
    <n v="157.1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52"/>
    <n v="7936"/>
    <n v="128"/>
    <n v="26"/>
    <n v="26"/>
    <n v="84.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2"/>
    <n v="9412"/>
    <n v="82"/>
    <n v="27"/>
    <n v="27"/>
    <n v="98.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3"/>
    <n v="6515"/>
    <n v="17"/>
    <n v="13"/>
    <n v="6"/>
    <n v="6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3"/>
    <n v="6283"/>
    <n v="3"/>
    <n v="16"/>
    <n v="17"/>
    <n v="6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3"/>
    <n v="7056"/>
    <n v="11"/>
    <n v="17"/>
    <n v="26"/>
    <n v="72.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3"/>
    <n v="5807"/>
    <n v="19"/>
    <n v="17"/>
    <n v="14"/>
    <n v="59.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3"/>
    <n v="7348"/>
    <n v="6"/>
    <n v="13"/>
    <n v="17"/>
    <n v="74.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3"/>
    <n v="6378"/>
    <n v="37"/>
    <n v="25"/>
    <n v="22"/>
    <n v="66.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3"/>
    <n v="6351"/>
    <n v="33"/>
    <n v="15"/>
    <n v="21"/>
    <n v="65.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3"/>
    <n v="5799"/>
    <n v="66"/>
    <n v="13"/>
    <n v="19"/>
    <n v="60.8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3"/>
    <n v="6300"/>
    <n v="19"/>
    <n v="28"/>
    <n v="25"/>
    <n v="65.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3"/>
    <n v="6370"/>
    <n v="33"/>
    <n v="10"/>
    <n v="12"/>
    <n v="65.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3"/>
    <n v="7364"/>
    <n v="53"/>
    <n v="26"/>
    <n v="27"/>
    <n v="76.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3"/>
    <n v="7378"/>
    <n v="52"/>
    <n v="27"/>
    <n v="28"/>
    <n v="76.9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3"/>
    <n v="6227"/>
    <n v="58"/>
    <n v="10"/>
    <n v="8"/>
    <n v="64.5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3"/>
    <n v="6642"/>
    <n v="34"/>
    <n v="22"/>
    <n v="25"/>
    <n v="68.81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3"/>
    <n v="5608"/>
    <n v="3"/>
    <n v="16"/>
    <n v="9"/>
    <n v="56.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3"/>
    <n v="6902"/>
    <n v="87"/>
    <n v="27"/>
    <n v="15"/>
    <n v="73.0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3"/>
    <n v="7422"/>
    <n v="17"/>
    <n v="37"/>
    <n v="41"/>
    <n v="77.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3"/>
    <n v="5808"/>
    <n v="4"/>
    <n v="33"/>
    <n v="24"/>
    <n v="6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3"/>
    <n v="7151"/>
    <n v="40"/>
    <n v="17"/>
    <n v="18"/>
    <n v="73.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3"/>
    <n v="6097"/>
    <n v="29"/>
    <n v="20"/>
    <n v="26"/>
    <n v="63.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3"/>
    <n v="6444"/>
    <n v="28"/>
    <n v="27"/>
    <n v="32"/>
    <n v="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3"/>
    <n v="6995"/>
    <n v="29"/>
    <n v="39"/>
    <n v="25"/>
    <n v="72.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4"/>
    <x v="1"/>
    <x v="53"/>
    <n v="6610"/>
    <n v="13"/>
    <n v="28"/>
    <n v="23"/>
    <n v="68.0699999999999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3"/>
    <n v="6125"/>
    <n v="63"/>
    <n v="22"/>
    <n v="27"/>
    <n v="64.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4"/>
    <n v="6589"/>
    <n v="150"/>
    <n v="23"/>
    <n v="24"/>
    <n v="71.79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4"/>
    <n v="12277"/>
    <n v="92"/>
    <n v="40"/>
    <n v="46"/>
    <n v="128.050000000000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4"/>
    <n v="9561"/>
    <n v="79"/>
    <n v="20"/>
    <n v="34"/>
    <n v="99.4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4"/>
    <n v="11010"/>
    <n v="138"/>
    <n v="31"/>
    <n v="26"/>
    <n v="1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4"/>
    <n v="14698"/>
    <n v="154"/>
    <n v="43"/>
    <n v="23"/>
    <n v="153.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4"/>
    <n v="11645"/>
    <n v="132"/>
    <n v="44"/>
    <n v="26"/>
    <n v="122.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4"/>
    <n v="11647"/>
    <n v="60"/>
    <n v="21"/>
    <n v="22"/>
    <n v="119.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4"/>
    <n v="12130"/>
    <n v="214"/>
    <n v="34"/>
    <n v="48"/>
    <n v="130.0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4"/>
    <n v="11985"/>
    <n v="193"/>
    <n v="56"/>
    <n v="43"/>
    <n v="128.7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4"/>
    <n v="11068"/>
    <n v="143"/>
    <n v="20"/>
    <n v="23"/>
    <n v="116.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4"/>
    <n v="6793"/>
    <n v="123"/>
    <n v="27"/>
    <n v="24"/>
    <n v="73.180000000000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4"/>
    <n v="7058"/>
    <n v="97"/>
    <n v="19"/>
    <n v="14"/>
    <n v="74.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4"/>
    <n v="8567"/>
    <n v="55"/>
    <n v="38"/>
    <n v="18"/>
    <n v="8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4"/>
    <n v="12503"/>
    <n v="492"/>
    <n v="66"/>
    <n v="38"/>
    <n v="143.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4"/>
    <n v="7846"/>
    <n v="72"/>
    <n v="23"/>
    <n v="9"/>
    <n v="81.7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4"/>
    <n v="8270"/>
    <n v="89"/>
    <n v="26"/>
    <n v="21"/>
    <n v="86.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4"/>
    <n v="14081"/>
    <n v="99"/>
    <n v="44"/>
    <n v="44"/>
    <n v="146.41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4"/>
    <n v="8004"/>
    <n v="131"/>
    <n v="31"/>
    <n v="23"/>
    <n v="85.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4"/>
    <n v="10967"/>
    <n v="169"/>
    <n v="37"/>
    <n v="28"/>
    <n v="116.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4"/>
    <n v="12496"/>
    <n v="93"/>
    <n v="33"/>
    <n v="34"/>
    <n v="129.7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4"/>
    <n v="7464"/>
    <n v="266"/>
    <n v="40"/>
    <n v="33"/>
    <n v="84.8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4"/>
    <n v="13110"/>
    <n v="320"/>
    <n v="77"/>
    <n v="39"/>
    <n v="144.5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4"/>
    <n v="7213"/>
    <n v="161"/>
    <n v="26"/>
    <n v="31"/>
    <n v="78.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5"/>
    <n v="4303"/>
    <n v="23"/>
    <n v="6"/>
    <n v="13"/>
    <n v="44.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5"/>
    <n v="4367"/>
    <n v="36"/>
    <n v="17"/>
    <n v="37"/>
    <n v="46.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5"/>
    <n v="3952"/>
    <n v="26"/>
    <n v="27"/>
    <n v="27"/>
    <n v="41.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5"/>
    <n v="3487"/>
    <n v="8"/>
    <n v="6"/>
    <n v="7"/>
    <n v="35.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5"/>
    <n v="4910"/>
    <n v="0"/>
    <n v="14"/>
    <n v="12"/>
    <n v="4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5"/>
    <n v="4438"/>
    <n v="76"/>
    <n v="4"/>
    <n v="13"/>
    <n v="47.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5"/>
    <n v="4877"/>
    <n v="14"/>
    <n v="16"/>
    <n v="40"/>
    <n v="50.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5"/>
    <n v="4642"/>
    <n v="16"/>
    <n v="6"/>
    <n v="17"/>
    <n v="47.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5"/>
    <n v="4614"/>
    <n v="0"/>
    <n v="7"/>
    <n v="24"/>
    <n v="4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5"/>
    <n v="4789"/>
    <n v="94"/>
    <n v="20"/>
    <n v="28"/>
    <n v="52.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5"/>
    <n v="4107"/>
    <n v="3"/>
    <n v="8"/>
    <n v="14"/>
    <n v="41.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5"/>
    <n v="4935"/>
    <n v="22"/>
    <n v="15"/>
    <n v="21"/>
    <n v="51.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5"/>
    <n v="4021"/>
    <n v="70"/>
    <n v="11"/>
    <n v="9"/>
    <n v="42.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5"/>
    <n v="3835"/>
    <n v="0"/>
    <n v="13"/>
    <n v="13"/>
    <n v="39.13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5"/>
    <n v="4671"/>
    <n v="31"/>
    <n v="22"/>
    <n v="21"/>
    <n v="48.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5"/>
    <n v="4379"/>
    <n v="15"/>
    <n v="28"/>
    <n v="36"/>
    <n v="46.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5"/>
    <n v="4965"/>
    <n v="32"/>
    <n v="29"/>
    <n v="35"/>
    <n v="52.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5"/>
    <n v="4718"/>
    <n v="0"/>
    <n v="3"/>
    <n v="11"/>
    <n v="47.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5"/>
    <n v="4425"/>
    <n v="18"/>
    <n v="18"/>
    <n v="20"/>
    <n v="45.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5"/>
    <n v="3949"/>
    <n v="0"/>
    <n v="5"/>
    <n v="9"/>
    <n v="39.86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5"/>
    <n v="4421"/>
    <n v="5"/>
    <n v="10"/>
    <n v="16"/>
    <n v="45.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5"/>
    <n v="4531"/>
    <n v="30"/>
    <n v="11"/>
    <n v="18"/>
    <n v="47.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5"/>
    <n v="4182"/>
    <n v="56"/>
    <n v="9"/>
    <n v="21"/>
    <n v="44.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5"/>
    <n v="4648"/>
    <n v="64"/>
    <n v="21"/>
    <n v="19"/>
    <n v="49.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5"/>
    <n v="4303"/>
    <n v="23"/>
    <n v="6"/>
    <n v="13"/>
    <n v="44.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5"/>
    <n v="4367"/>
    <n v="36"/>
    <n v="17"/>
    <n v="37"/>
    <n v="46.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5"/>
    <n v="3952"/>
    <n v="26"/>
    <n v="27"/>
    <n v="27"/>
    <n v="41.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5"/>
    <n v="3487"/>
    <n v="8"/>
    <n v="6"/>
    <n v="7"/>
    <n v="35.4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5"/>
    <n v="4910"/>
    <n v="0"/>
    <n v="14"/>
    <n v="12"/>
    <n v="4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5"/>
    <n v="4438"/>
    <n v="76"/>
    <n v="4"/>
    <n v="13"/>
    <n v="47.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5"/>
    <n v="4877"/>
    <n v="14"/>
    <n v="16"/>
    <n v="40"/>
    <n v="50.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5"/>
    <n v="4642"/>
    <n v="16"/>
    <n v="6"/>
    <n v="17"/>
    <n v="47.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5"/>
    <n v="4614"/>
    <n v="0"/>
    <n v="7"/>
    <n v="24"/>
    <n v="4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5"/>
    <n v="4789"/>
    <n v="94"/>
    <n v="20"/>
    <n v="28"/>
    <n v="52.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5"/>
    <n v="4107"/>
    <n v="3"/>
    <n v="8"/>
    <n v="14"/>
    <n v="41.7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5"/>
    <n v="4935"/>
    <n v="22"/>
    <n v="15"/>
    <n v="21"/>
    <n v="51.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5"/>
    <n v="4021"/>
    <n v="70"/>
    <n v="11"/>
    <n v="9"/>
    <n v="42.9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5"/>
    <n v="3835"/>
    <n v="0"/>
    <n v="13"/>
    <n v="13"/>
    <n v="39.13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5"/>
    <n v="4671"/>
    <n v="31"/>
    <n v="22"/>
    <n v="21"/>
    <n v="48.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5"/>
    <n v="4379"/>
    <n v="15"/>
    <n v="28"/>
    <n v="36"/>
    <n v="46.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5"/>
    <n v="4965"/>
    <n v="32"/>
    <n v="29"/>
    <n v="35"/>
    <n v="52.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5"/>
    <n v="4718"/>
    <n v="0"/>
    <n v="3"/>
    <n v="11"/>
    <n v="47.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5"/>
    <n v="4425"/>
    <n v="18"/>
    <n v="18"/>
    <n v="20"/>
    <n v="45.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5"/>
    <n v="3949"/>
    <n v="0"/>
    <n v="5"/>
    <n v="9"/>
    <n v="39.86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5"/>
    <n v="4421"/>
    <n v="5"/>
    <n v="10"/>
    <n v="16"/>
    <n v="45.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5"/>
    <n v="4531"/>
    <n v="30"/>
    <n v="11"/>
    <n v="18"/>
    <n v="47.0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5"/>
    <n v="4182"/>
    <n v="56"/>
    <n v="9"/>
    <n v="21"/>
    <n v="44.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5"/>
    <n v="4648"/>
    <n v="64"/>
    <n v="21"/>
    <n v="19"/>
    <n v="49.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6"/>
    <n v="10347"/>
    <n v="377"/>
    <n v="47"/>
    <n v="50"/>
    <n v="117.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6"/>
    <n v="11202"/>
    <n v="141"/>
    <n v="23"/>
    <n v="41"/>
    <n v="117.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
    <x v="1"/>
    <x v="56"/>
    <n v="3352"/>
    <n v="59"/>
    <n v="5"/>
    <n v="15"/>
    <n v="35.7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6"/>
    <n v="10291"/>
    <n v="169"/>
    <n v="26"/>
    <n v="18"/>
    <n v="109.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6"/>
    <n v="11896"/>
    <n v="129"/>
    <n v="52"/>
    <n v="18"/>
    <n v="125.2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6"/>
    <n v="9948"/>
    <n v="114"/>
    <n v="39"/>
    <n v="31"/>
    <n v="105.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6"/>
    <n v="9863"/>
    <n v="522"/>
    <n v="32"/>
    <n v="31"/>
    <n v="116.1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6"/>
    <n v="6589"/>
    <n v="98"/>
    <n v="14"/>
    <n v="23"/>
    <n v="69.84999999999999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6"/>
    <n v="6202"/>
    <n v="115"/>
    <n v="22"/>
    <n v="21"/>
    <n v="66.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6"/>
    <n v="1197"/>
    <n v="0"/>
    <n v="0"/>
    <n v="1"/>
    <n v="11.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6"/>
    <n v="1254"/>
    <n v="0"/>
    <n v="0"/>
    <n v="2"/>
    <n v="12.5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6"/>
    <n v="6884"/>
    <n v="119"/>
    <n v="30"/>
    <n v="22"/>
    <n v="74.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6"/>
    <n v="6329"/>
    <n v="64"/>
    <n v="22"/>
    <n v="7"/>
    <n v="66.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6"/>
    <n v="11718"/>
    <n v="493"/>
    <n v="69"/>
    <n v="50"/>
    <n v="135.72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6"/>
    <n v="6170"/>
    <n v="61"/>
    <n v="16"/>
    <n v="8"/>
    <n v="64.3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6"/>
    <n v="2533"/>
    <n v="48"/>
    <n v="14"/>
    <n v="4"/>
    <n v="27.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6"/>
    <n v="12046"/>
    <n v="193"/>
    <n v="43"/>
    <n v="46"/>
    <n v="128.889999999999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6"/>
    <n v="6087"/>
    <n v="182"/>
    <n v="33"/>
    <n v="23"/>
    <n v="68.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6"/>
    <n v="1178"/>
    <n v="0"/>
    <n v="0"/>
    <n v="0"/>
    <n v="11.7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6"/>
    <n v="5807"/>
    <n v="124"/>
    <n v="17"/>
    <n v="22"/>
    <n v="62.9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6"/>
    <n v="1007"/>
    <n v="0"/>
    <n v="0"/>
    <n v="0"/>
    <n v="10.0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6"/>
    <n v="9658"/>
    <n v="331"/>
    <n v="42"/>
    <n v="23"/>
    <n v="108.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6"/>
    <n v="10999"/>
    <n v="261"/>
    <n v="70"/>
    <n v="43"/>
    <n v="121.4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6"/>
    <n v="5374"/>
    <n v="169"/>
    <n v="33"/>
    <n v="36"/>
    <n v="60.8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7"/>
    <n v="1222"/>
    <n v="0"/>
    <n v="0"/>
    <n v="0"/>
    <n v="12.2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7"/>
    <n v="1444"/>
    <n v="0"/>
    <n v="1"/>
    <n v="1"/>
    <n v="1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7"/>
    <n v="2180"/>
    <n v="15"/>
    <n v="3"/>
    <n v="5"/>
    <n v="22.4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7"/>
    <n v="1229"/>
    <n v="0"/>
    <n v="0"/>
    <n v="1"/>
    <n v="12.3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7"/>
    <n v="8596"/>
    <n v="58"/>
    <n v="19"/>
    <n v="36"/>
    <n v="89.1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7"/>
    <n v="7595"/>
    <n v="175"/>
    <n v="32"/>
    <n v="30"/>
    <n v="83.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0"/>
    <x v="0"/>
    <x v="57"/>
    <n v="4807"/>
    <n v="0"/>
    <n v="9"/>
    <n v="19"/>
    <n v="48.8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7"/>
    <n v="9631"/>
    <n v="48"/>
    <n v="29"/>
    <n v="31"/>
    <n v="99.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7"/>
    <n v="7568"/>
    <n v="124"/>
    <n v="34"/>
    <n v="29"/>
    <n v="81.3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7"/>
    <n v="10997"/>
    <n v="46"/>
    <n v="42"/>
    <n v="20"/>
    <n v="113.4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6"/>
    <x v="3"/>
    <x v="57"/>
    <n v="5310"/>
    <n v="35"/>
    <n v="25"/>
    <n v="19"/>
    <n v="55.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7"/>
    <n v="1662"/>
    <n v="0"/>
    <n v="1"/>
    <n v="0"/>
    <n v="16.6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7"/>
    <n v="5739"/>
    <n v="125"/>
    <n v="36"/>
    <n v="24"/>
    <n v="63.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7"/>
    <n v="3641"/>
    <n v="0"/>
    <n v="0"/>
    <n v="2"/>
    <n v="36.4500000000000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9"/>
    <x v="2"/>
    <x v="57"/>
    <n v="9889"/>
    <n v="97"/>
    <n v="26"/>
    <n v="27"/>
    <n v="103.3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7"/>
    <n v="6575"/>
    <n v="62"/>
    <n v="14"/>
    <n v="12"/>
    <n v="68.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7"/>
    <n v="1322"/>
    <n v="0"/>
    <n v="0"/>
    <n v="1"/>
    <n v="13.2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7"/>
    <n v="6301"/>
    <n v="72"/>
    <n v="43"/>
    <n v="31"/>
    <n v="67.51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7"/>
    <n v="5861"/>
    <n v="118"/>
    <n v="27"/>
    <n v="30"/>
    <n v="63.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8"/>
    <n v="7637"/>
    <n v="19"/>
    <n v="27"/>
    <n v="31"/>
    <n v="78.6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8"/>
    <n v="9608"/>
    <n v="36"/>
    <n v="46"/>
    <n v="50"/>
    <n v="100"/>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58"/>
    <n v="6600"/>
    <n v="5"/>
    <n v="18"/>
    <n v="27"/>
    <n v="67.4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8"/>
    <n v="5741"/>
    <n v="5"/>
    <n v="18"/>
    <n v="12"/>
    <n v="58.5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8"/>
    <n v="9079"/>
    <n v="22"/>
    <n v="40"/>
    <n v="30"/>
    <n v="93.6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58"/>
    <n v="7534"/>
    <n v="44"/>
    <n v="36"/>
    <n v="55"/>
    <n v="79.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8"/>
    <n v="7391"/>
    <n v="38"/>
    <n v="29"/>
    <n v="16"/>
    <n v="76.5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8"/>
    <n v="6062"/>
    <n v="13"/>
    <n v="9"/>
    <n v="15"/>
    <n v="61.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8"/>
    <n v="6805"/>
    <n v="25"/>
    <n v="18"/>
    <n v="28"/>
    <n v="70.0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8"/>
    <n v="7377"/>
    <n v="2"/>
    <n v="31"/>
    <n v="44"/>
    <n v="75.9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8"/>
    <n v="7525"/>
    <n v="42"/>
    <n v="30"/>
    <n v="42"/>
    <n v="78.5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8"/>
    <n v="8601"/>
    <n v="4"/>
    <n v="21"/>
    <n v="21"/>
    <n v="87.3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8"/>
    <n v="7735"/>
    <n v="82"/>
    <n v="19"/>
    <n v="23"/>
    <n v="81.0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8"/>
    <n v="7566"/>
    <n v="60"/>
    <n v="33"/>
    <n v="42"/>
    <n v="79.6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8"/>
    <n v="7141"/>
    <n v="21"/>
    <n v="15"/>
    <n v="18"/>
    <n v="7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8"/>
    <n v="8651"/>
    <n v="48"/>
    <n v="38"/>
    <n v="49"/>
    <n v="90.4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8"/>
    <n v="8639"/>
    <n v="112"/>
    <n v="44"/>
    <n v="35"/>
    <n v="92.2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8"/>
    <n v="7933"/>
    <n v="6"/>
    <n v="7"/>
    <n v="22"/>
    <n v="80.2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8"/>
    <n v="6685"/>
    <n v="25"/>
    <n v="17"/>
    <n v="24"/>
    <n v="68.7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8"/>
    <n v="6849"/>
    <n v="52"/>
    <n v="18"/>
    <n v="17"/>
    <n v="71.1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8"/>
    <n v="7276"/>
    <n v="6"/>
    <n v="23"/>
    <n v="45"/>
    <n v="74.7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8"/>
    <n v="7933"/>
    <n v="50"/>
    <n v="47"/>
    <n v="45"/>
    <n v="83.6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8"/>
    <n v="5794"/>
    <n v="11"/>
    <n v="20"/>
    <n v="26"/>
    <n v="59.5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6"/>
    <x v="3"/>
    <x v="59"/>
    <n v="7709"/>
    <n v="148"/>
    <n v="22"/>
    <n v="21"/>
    <n v="82.8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0"/>
    <x v="0"/>
    <x v="59"/>
    <n v="7881"/>
    <n v="96"/>
    <n v="32"/>
    <n v="33"/>
    <n v="83.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
    <x v="1"/>
    <x v="59"/>
    <n v="8094"/>
    <n v="23"/>
    <n v="25"/>
    <n v="23"/>
    <n v="83.0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
    <x v="2"/>
    <x v="59"/>
    <n v="2062"/>
    <n v="10"/>
    <n v="3"/>
    <n v="1"/>
    <n v="21.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4"/>
    <x v="0"/>
    <x v="59"/>
    <n v="8259"/>
    <n v="155"/>
    <n v="25"/>
    <n v="8"/>
    <n v="88.4"/>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6"/>
    <x v="2"/>
    <x v="59"/>
    <n v="4867"/>
    <n v="34"/>
    <n v="15"/>
    <n v="17"/>
    <n v="50.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7"/>
    <x v="2"/>
    <x v="59"/>
    <n v="6938"/>
    <n v="173"/>
    <n v="27"/>
    <n v="20"/>
    <n v="76.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0"/>
    <x v="2"/>
    <x v="59"/>
    <n v="6823"/>
    <n v="79"/>
    <n v="13"/>
    <n v="14"/>
    <n v="71.40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8"/>
    <x v="2"/>
    <x v="59"/>
    <n v="7185"/>
    <n v="44"/>
    <n v="19"/>
    <n v="35"/>
    <n v="74.63"/>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9"/>
    <x v="1"/>
    <x v="59"/>
    <n v="3638"/>
    <n v="0"/>
    <n v="9"/>
    <n v="8"/>
    <n v="36.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1"/>
    <x v="3"/>
    <x v="59"/>
    <n v="7186"/>
    <n v="201"/>
    <n v="23"/>
    <n v="22"/>
    <n v="79.2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7"/>
    <x v="0"/>
    <x v="59"/>
    <n v="7666"/>
    <n v="5"/>
    <n v="32"/>
    <n v="29"/>
    <n v="78.6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3"/>
    <x v="0"/>
    <x v="59"/>
    <n v="3855"/>
    <n v="37"/>
    <n v="14"/>
    <n v="13"/>
    <n v="40.47999999999999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4"/>
    <x v="0"/>
    <x v="59"/>
    <n v="8061"/>
    <n v="215"/>
    <n v="44"/>
    <n v="23"/>
    <n v="89.28"/>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5"/>
    <x v="0"/>
    <x v="59"/>
    <n v="6209"/>
    <n v="26"/>
    <n v="10"/>
    <n v="12"/>
    <n v="63.51"/>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7"/>
    <x v="0"/>
    <x v="59"/>
    <n v="8094"/>
    <n v="107"/>
    <n v="35"/>
    <n v="31"/>
    <n v="86.1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8"/>
    <x v="3"/>
    <x v="59"/>
    <n v="7104"/>
    <n v="156"/>
    <n v="44"/>
    <n v="34"/>
    <n v="78.1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19"/>
    <x v="1"/>
    <x v="59"/>
    <n v="4253"/>
    <n v="0"/>
    <n v="10"/>
    <n v="3"/>
    <n v="42.99"/>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1"/>
    <x v="3"/>
    <x v="59"/>
    <n v="7123"/>
    <n v="169"/>
    <n v="13"/>
    <n v="22"/>
    <n v="77.2600000000000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32"/>
    <x v="3"/>
    <x v="59"/>
    <n v="7337"/>
    <n v="130"/>
    <n v="30"/>
    <n v="15"/>
    <n v="78.77"/>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1"/>
    <x v="1"/>
    <x v="59"/>
    <n v="6768"/>
    <n v="81"/>
    <n v="31"/>
    <n v="22"/>
    <n v="71.790000000000006"/>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2"/>
    <x v="0"/>
    <x v="59"/>
    <n v="7696"/>
    <n v="135"/>
    <n v="38"/>
    <n v="26"/>
    <n v="83.05"/>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r>
    <x v="25"/>
    <x v="0"/>
    <x v="59"/>
    <n v="7283"/>
    <n v="99"/>
    <n v="43"/>
    <n v="25"/>
    <n v="78.02"/>
    <n v="60.284000000000006"/>
    <n v="30.14200000000001"/>
    <n v="30.141999999999996"/>
    <n v="79.431999999999988"/>
    <n v="65.603999999999999"/>
    <n v="32.802000000000007"/>
    <n v="32.801999999999992"/>
    <n v="68.792000000000002"/>
    <n v="62.64"/>
    <n v="31.319999999999993"/>
    <n v="31.320000000000007"/>
    <n v="74.72"/>
    <n v="55.896000000000001"/>
    <n v="27.947999999999993"/>
    <n v="27.948000000000008"/>
    <n v="88.207999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WINGER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O3:T6" firstHeaderRow="0" firstDataRow="1" firstDataCol="1" rowPageCount="1" colPageCount="1"/>
  <pivotFields count="24">
    <pivotField axis="axisRow" showAll="0">
      <items count="35">
        <item h="1" x="24"/>
        <item h="1" x="18"/>
        <item h="1" x="23"/>
        <item x="26"/>
        <item h="1" x="10"/>
        <item h="1" x="17"/>
        <item h="1" x="2"/>
        <item h="1" x="19"/>
        <item h="1" x="28"/>
        <item h="1" x="6"/>
        <item h="1" x="27"/>
        <item x="16"/>
        <item h="1" x="12"/>
        <item x="11"/>
        <item h="1" x="22"/>
        <item x="20"/>
        <item h="1" x="0"/>
        <item h="1" x="1"/>
        <item h="1" x="29"/>
        <item h="1" x="13"/>
        <item h="1" x="4"/>
        <item h="1" x="5"/>
        <item h="1" x="3"/>
        <item h="1" x="9"/>
        <item h="1" x="14"/>
        <item h="1" x="21"/>
        <item h="1" x="15"/>
        <item h="1" x="25"/>
        <item h="1" x="8"/>
        <item h="1" x="7"/>
        <item h="1" x="30"/>
        <item h="1" x="31"/>
        <item h="1" x="32"/>
        <item h="1" m="1" x="33"/>
        <item t="default"/>
      </items>
    </pivotField>
    <pivotField showAll="0" defaultSubtotal="0"/>
    <pivotField axis="axisPage" numFmtId="14" showAll="0">
      <items count="63">
        <item x="0"/>
        <item x="1"/>
        <item x="2"/>
        <item x="3"/>
        <item x="4"/>
        <item x="5"/>
        <item x="6"/>
        <item x="7"/>
        <item x="8"/>
        <item x="9"/>
        <item x="10"/>
        <item x="11"/>
        <item x="12"/>
        <item x="13"/>
        <item x="14"/>
        <item x="15"/>
        <item x="16"/>
        <item x="17"/>
        <item x="18"/>
        <item x="19"/>
        <item x="20"/>
        <item x="21"/>
        <item m="1" x="61"/>
        <item m="1" x="60"/>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numFmtId="1" showAll="0" defaultSubtotal="0"/>
    <pivotField numFmtId="1" showAll="0" defaultSubtotal="0"/>
    <pivotField numFmtId="1" showAll="0" defaultSubtotal="0"/>
    <pivotField numFmtId="1" showAll="0" defaultSubtotal="0"/>
  </pivotFields>
  <rowFields count="1">
    <field x="0"/>
  </rowFields>
  <rowItems count="3">
    <i>
      <x v="3"/>
    </i>
    <i>
      <x v="13"/>
    </i>
    <i t="grand">
      <x/>
    </i>
  </rowItems>
  <colFields count="1">
    <field x="-2"/>
  </colFields>
  <colItems count="5">
    <i>
      <x/>
    </i>
    <i i="1">
      <x v="1"/>
    </i>
    <i i="2">
      <x v="2"/>
    </i>
    <i i="3">
      <x v="3"/>
    </i>
    <i i="4">
      <x v="4"/>
    </i>
  </colItems>
  <pageFields count="1">
    <pageField fld="2" item="61" hier="-1"/>
  </pageFields>
  <dataFields count="5">
    <dataField name="WINGERS EXERCISE LOAD" fld="7" subtotal="average" baseField="0" baseItem="3" numFmtId="2"/>
    <dataField name="LIGHT" fld="16" subtotal="average" baseField="0" baseItem="3"/>
    <dataField name="MODERATE" fld="17" subtotal="average" baseField="0" baseItem="3"/>
    <dataField name="VIGOROUS" fld="18" subtotal="average" baseField="0" baseItem="3"/>
    <dataField name="INTENSE" fld="19" subtotal="average" baseField="0" baseItem="3"/>
  </dataFields>
  <formats count="9">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type="all" dataOnly="0" outline="0" fieldPosition="0"/>
    </format>
    <format dxfId="176">
      <pivotArea outline="0" collapsedLevelsAreSubtotals="1" fieldPosition="0"/>
    </format>
    <format dxfId="175">
      <pivotArea field="0" type="button" dataOnly="0" labelOnly="1" outline="0" axis="axisRow" fieldPosition="0"/>
    </format>
    <format dxfId="174">
      <pivotArea dataOnly="0" labelOnly="1" fieldPosition="0">
        <references count="1">
          <reference field="0" count="3">
            <x v="3"/>
            <x v="11"/>
            <x v="13"/>
          </reference>
        </references>
      </pivotArea>
    </format>
    <format dxfId="173">
      <pivotArea dataOnly="0" labelOnly="1" grandRow="1" outline="0" fieldPosition="0"/>
    </format>
    <format dxfId="172">
      <pivotArea dataOnly="0" labelOnly="1" outline="0" fieldPosition="0">
        <references count="1">
          <reference field="4294967294" count="1">
            <x v="0"/>
          </reference>
        </references>
      </pivotArea>
    </format>
  </formats>
  <chartFormats count="6">
    <chartFormat chart="2" format="2" series="1">
      <pivotArea type="data" outline="0" fieldPosition="0">
        <references count="1">
          <reference field="4294967294" count="1" selected="0">
            <x v="0"/>
          </reference>
        </references>
      </pivotArea>
    </chartFormat>
    <chartFormat chart="4" format="35" series="1">
      <pivotArea type="data" outline="0" fieldPosition="0">
        <references count="1">
          <reference field="4294967294" count="1" selected="0">
            <x v="0"/>
          </reference>
        </references>
      </pivotArea>
    </chartFormat>
    <chartFormat chart="4" format="36" series="1">
      <pivotArea type="data" outline="0" fieldPosition="0">
        <references count="1">
          <reference field="4294967294" count="1" selected="0">
            <x v="1"/>
          </reference>
        </references>
      </pivotArea>
    </chartFormat>
    <chartFormat chart="4" format="37" series="1">
      <pivotArea type="data" outline="0" fieldPosition="0">
        <references count="1">
          <reference field="4294967294" count="1" selected="0">
            <x v="2"/>
          </reference>
        </references>
      </pivotArea>
    </chartFormat>
    <chartFormat chart="4" format="38" series="1">
      <pivotArea type="data" outline="0" fieldPosition="0">
        <references count="1">
          <reference field="4294967294" count="1" selected="0">
            <x v="3"/>
          </reference>
        </references>
      </pivotArea>
    </chartFormat>
    <chartFormat chart="4" format="39"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1:B23" firstHeaderRow="1" firstDataRow="1" firstDataCol="1"/>
  <pivotFields count="24">
    <pivotField showAll="0"/>
    <pivotField axis="axisRow" showAll="0" defaultSubtotal="0">
      <items count="5">
        <item h="1" x="4"/>
        <item x="2"/>
        <item h="1" x="0"/>
        <item h="1" x="1"/>
        <item h="1"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1"/>
    </i>
    <i t="grand">
      <x/>
    </i>
  </rowItems>
  <colItems count="1">
    <i/>
  </colItems>
  <dataFields count="1">
    <dataField name="Average of Exercise Load " fld="7"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21:I23" firstHeaderRow="1" firstDataRow="1" firstDataCol="1"/>
  <pivotFields count="24">
    <pivotField showAll="0"/>
    <pivotField axis="axisRow" showAll="0" defaultSubtotal="0">
      <items count="5">
        <item h="1" x="4"/>
        <item h="1" x="2"/>
        <item x="0"/>
        <item h="1" x="1"/>
        <item h="1"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2"/>
    </i>
    <i t="grand">
      <x/>
    </i>
  </rowItems>
  <colItems count="1">
    <i/>
  </colItems>
  <dataFields count="1">
    <dataField name="Average of Exercise Load " fld="7" subtotal="average" baseField="1"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17:W19" firstHeaderRow="1" firstDataRow="1" firstDataCol="1"/>
  <pivotFields count="24">
    <pivotField showAll="0"/>
    <pivotField axis="axisRow" showAll="0" defaultSubtotal="0">
      <items count="5">
        <item h="1" x="4"/>
        <item h="1" x="2"/>
        <item h="1" x="0"/>
        <item x="1"/>
        <item h="1"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3"/>
    </i>
    <i t="grand">
      <x/>
    </i>
  </rowItems>
  <colItems count="1">
    <i/>
  </colItems>
  <dataFields count="1">
    <dataField name="Max of Exercise Load " fld="7" subtotal="max"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summary strriker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6:E48" firstHeaderRow="0" firstDataRow="1" firstDataCol="1"/>
  <pivotFields count="24">
    <pivotField showAll="0"/>
    <pivotField axis="axisRow" showAll="0">
      <items count="6">
        <item h="1" x="4"/>
        <item h="1" x="2"/>
        <item h="1" x="0"/>
        <item x="1"/>
        <item h="1"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s>
  <rowFields count="1">
    <field x="1"/>
  </rowFields>
  <rowItems count="2">
    <i>
      <x v="3"/>
    </i>
    <i t="grand">
      <x/>
    </i>
  </rowItems>
  <colFields count="1">
    <field x="-2"/>
  </colFields>
  <colItems count="4">
    <i>
      <x/>
    </i>
    <i i="1">
      <x v="1"/>
    </i>
    <i i="2">
      <x v="2"/>
    </i>
    <i i="3">
      <x v="3"/>
    </i>
  </colItems>
  <dataFields count="4">
    <dataField name="Average of Total distance [m]" fld="3" subtotal="average" baseField="1" baseItem="1"/>
    <dataField name="Average of Speed zone 5 [m] (25.00- km/h)" fld="4" subtotal="average" baseField="1" baseItem="1"/>
    <dataField name="Average of Accelerations (3.00 - 50.00 m/s²)" fld="6" subtotal="average" baseField="1" baseItem="1"/>
    <dataField name="Average of Deaccelerations (-50.00 - -3.00 m/s²)" fld="5" subtotal="average"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summary midfielder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8:E40" firstHeaderRow="0" firstDataRow="1" firstDataCol="1"/>
  <pivotFields count="24">
    <pivotField showAll="0"/>
    <pivotField axis="axisRow" showAll="0">
      <items count="6">
        <item h="1" x="4"/>
        <item h="1" x="2"/>
        <item x="0"/>
        <item h="1" x="1"/>
        <item h="1"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s>
  <rowFields count="1">
    <field x="1"/>
  </rowFields>
  <rowItems count="2">
    <i>
      <x v="2"/>
    </i>
    <i t="grand">
      <x/>
    </i>
  </rowItems>
  <colFields count="1">
    <field x="-2"/>
  </colFields>
  <colItems count="4">
    <i>
      <x/>
    </i>
    <i i="1">
      <x v="1"/>
    </i>
    <i i="2">
      <x v="2"/>
    </i>
    <i i="3">
      <x v="3"/>
    </i>
  </colItems>
  <dataFields count="4">
    <dataField name="Average of Total distance [m]" fld="3" subtotal="average" baseField="1" baseItem="1"/>
    <dataField name="Average of Speed zone 5 [m] (25.00- km/h)" fld="4" subtotal="average" baseField="1" baseItem="1"/>
    <dataField name="Average of Accelerations (3.00 - 50.00 m/s²)" fld="6" subtotal="average" baseField="1" baseItem="1"/>
    <dataField name="Average of Deaccelerations (-50.00 - -3.00 m/s²)" fld="5" subtotal="average"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7:B19" firstHeaderRow="1" firstDataRow="1" firstDataCol="1"/>
  <pivotFields count="24">
    <pivotField showAll="0"/>
    <pivotField axis="axisRow" showAll="0" defaultSubtotal="0">
      <items count="5">
        <item h="1" x="4"/>
        <item x="2"/>
        <item h="1" x="0"/>
        <item h="1" x="1"/>
        <item h="1"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1"/>
    </i>
    <i t="grand">
      <x/>
    </i>
  </rowItems>
  <colItems count="1">
    <i/>
  </colItems>
  <dataFields count="1">
    <dataField name="Max of Exercise Load " fld="7" subtotal="max"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O21:P23" firstHeaderRow="1" firstDataRow="1" firstDataCol="1"/>
  <pivotFields count="24">
    <pivotField showAll="0"/>
    <pivotField axis="axisRow" showAll="0" defaultSubtotal="0">
      <items count="5">
        <item h="1" x="4"/>
        <item h="1" x="2"/>
        <item h="1" x="0"/>
        <item h="1" x="1"/>
        <item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4"/>
    </i>
    <i t="grand">
      <x/>
    </i>
  </rowItems>
  <colItems count="1">
    <i/>
  </colItems>
  <dataFields count="1">
    <dataField name="Average of Exercise Load " fld="7" subtotal="average" baseField="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O17:P19" firstHeaderRow="1" firstDataRow="1" firstDataCol="1"/>
  <pivotFields count="24">
    <pivotField showAll="0"/>
    <pivotField axis="axisRow" showAll="0" defaultSubtotal="0">
      <items count="5">
        <item h="1" x="4"/>
        <item h="1" x="2"/>
        <item h="1" x="0"/>
        <item h="1" x="1"/>
        <item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4"/>
    </i>
    <i t="grand">
      <x/>
    </i>
  </rowItems>
  <colItems count="1">
    <i/>
  </colItems>
  <dataFields count="1">
    <dataField name="Max of Exercise Load " fld="7" subtotal="max"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MIDFIELDER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3:M12" firstHeaderRow="0" firstDataRow="1" firstDataCol="1" rowPageCount="1" colPageCount="1"/>
  <pivotFields count="24">
    <pivotField axis="axisRow" showAll="0">
      <items count="35">
        <item h="1" x="24"/>
        <item h="1" x="18"/>
        <item h="1" x="23"/>
        <item h="1" x="26"/>
        <item x="10"/>
        <item x="17"/>
        <item h="1" x="2"/>
        <item h="1" x="19"/>
        <item h="1" x="28"/>
        <item h="1" x="6"/>
        <item x="27"/>
        <item h="1" x="16"/>
        <item h="1" x="12"/>
        <item h="1" x="11"/>
        <item x="22"/>
        <item h="1" x="20"/>
        <item x="0"/>
        <item h="1" x="1"/>
        <item h="1" x="29"/>
        <item h="1" x="13"/>
        <item x="4"/>
        <item x="5"/>
        <item h="1" x="3"/>
        <item h="1" x="9"/>
        <item x="14"/>
        <item h="1" x="21"/>
        <item x="15"/>
        <item x="25"/>
        <item h="1" x="8"/>
        <item h="1" x="7"/>
        <item h="1" x="30"/>
        <item h="1" x="31"/>
        <item h="1" x="32"/>
        <item h="1" m="1" x="33"/>
        <item t="default"/>
      </items>
    </pivotField>
    <pivotField showAll="0" defaultSubtotal="0"/>
    <pivotField axis="axisPage" numFmtId="14" showAll="0">
      <items count="63">
        <item x="0"/>
        <item x="1"/>
        <item x="2"/>
        <item x="3"/>
        <item x="4"/>
        <item x="5"/>
        <item x="6"/>
        <item x="7"/>
        <item x="8"/>
        <item x="9"/>
        <item x="10"/>
        <item x="11"/>
        <item x="12"/>
        <item x="13"/>
        <item x="14"/>
        <item x="15"/>
        <item x="16"/>
        <item x="17"/>
        <item x="18"/>
        <item x="19"/>
        <item x="20"/>
        <item x="21"/>
        <item m="1" x="61"/>
        <item m="1" x="60"/>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dataField="1" numFmtId="1" showAll="0" defaultSubtotal="0"/>
    <pivotField dataField="1" numFmtId="1" showAll="0" defaultSubtotal="0"/>
    <pivotField dataField="1" numFmtId="1" showAll="0" defaultSubtotal="0"/>
    <pivotField dataField="1"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0"/>
  </rowFields>
  <rowItems count="9">
    <i>
      <x v="5"/>
    </i>
    <i>
      <x v="10"/>
    </i>
    <i>
      <x v="14"/>
    </i>
    <i>
      <x v="16"/>
    </i>
    <i>
      <x v="20"/>
    </i>
    <i>
      <x v="24"/>
    </i>
    <i>
      <x v="26"/>
    </i>
    <i>
      <x v="27"/>
    </i>
    <i t="grand">
      <x/>
    </i>
  </rowItems>
  <colFields count="1">
    <field x="-2"/>
  </colFields>
  <colItems count="5">
    <i>
      <x/>
    </i>
    <i i="1">
      <x v="1"/>
    </i>
    <i i="2">
      <x v="2"/>
    </i>
    <i i="3">
      <x v="3"/>
    </i>
    <i i="4">
      <x v="4"/>
    </i>
  </colItems>
  <pageFields count="1">
    <pageField fld="2" item="61" hier="-1"/>
  </pageFields>
  <dataFields count="5">
    <dataField name="MIDFIELDERS EXERCISE LOAD" fld="7" subtotal="average" baseField="0" baseItem="4" numFmtId="2"/>
    <dataField name="LIGHT" fld="12" subtotal="average" baseField="0" baseItem="4"/>
    <dataField name="MODERATE" fld="13" subtotal="average" baseField="0" baseItem="4"/>
    <dataField name="VIGOROUS" fld="14" subtotal="average" baseField="0" baseItem="4"/>
    <dataField name="INTENSE" fld="15" subtotal="average" baseField="0" baseItem="4"/>
  </dataFields>
  <formats count="7">
    <format dxfId="187">
      <pivotArea outline="0" collapsedLevelsAreSubtotals="1" fieldPosition="0"/>
    </format>
    <format dxfId="186">
      <pivotArea type="all" dataOnly="0" outline="0" fieldPosition="0"/>
    </format>
    <format dxfId="185">
      <pivotArea outline="0" collapsedLevelsAreSubtotals="1" fieldPosition="0"/>
    </format>
    <format dxfId="184">
      <pivotArea field="0" type="button" dataOnly="0" labelOnly="1" outline="0" axis="axisRow" fieldPosition="0"/>
    </format>
    <format dxfId="183">
      <pivotArea dataOnly="0" labelOnly="1" fieldPosition="0">
        <references count="1">
          <reference field="0" count="9">
            <x v="4"/>
            <x v="5"/>
            <x v="10"/>
            <x v="14"/>
            <x v="16"/>
            <x v="20"/>
            <x v="24"/>
            <x v="26"/>
            <x v="27"/>
          </reference>
        </references>
      </pivotArea>
    </format>
    <format dxfId="182">
      <pivotArea dataOnly="0" labelOnly="1" grandRow="1" outline="0" fieldPosition="0"/>
    </format>
    <format dxfId="181">
      <pivotArea dataOnly="0" labelOnly="1"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3" series="1">
      <pivotArea type="data" outline="0" fieldPosition="0">
        <references count="1">
          <reference field="4294967294" count="1" selected="0">
            <x v="0"/>
          </reference>
        </references>
      </pivotArea>
    </chartFormat>
    <chartFormat chart="2" format="24" series="1">
      <pivotArea type="data" outline="0" fieldPosition="0">
        <references count="1">
          <reference field="4294967294" count="1" selected="0">
            <x v="1"/>
          </reference>
        </references>
      </pivotArea>
    </chartFormat>
    <chartFormat chart="2" format="25" series="1">
      <pivotArea type="data" outline="0" fieldPosition="0">
        <references count="1">
          <reference field="4294967294" count="1" selected="0">
            <x v="2"/>
          </reference>
        </references>
      </pivotArea>
    </chartFormat>
    <chartFormat chart="2" format="26" series="1">
      <pivotArea type="data" outline="0" fieldPosition="0">
        <references count="1">
          <reference field="4294967294" count="1" selected="0">
            <x v="3"/>
          </reference>
        </references>
      </pivotArea>
    </chartFormat>
    <chartFormat chart="2" format="27"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Summary Defender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2:E60" firstHeaderRow="0" firstDataRow="1" firstDataCol="1" rowPageCount="1" colPageCount="1"/>
  <pivotFields count="24">
    <pivotField axis="axisRow" showAll="0">
      <items count="35">
        <item x="24"/>
        <item x="18"/>
        <item x="23"/>
        <item x="26"/>
        <item x="10"/>
        <item x="17"/>
        <item x="2"/>
        <item x="30"/>
        <item x="19"/>
        <item x="28"/>
        <item x="6"/>
        <item x="27"/>
        <item x="16"/>
        <item x="12"/>
        <item x="11"/>
        <item x="22"/>
        <item x="31"/>
        <item x="20"/>
        <item x="0"/>
        <item x="1"/>
        <item x="29"/>
        <item x="13"/>
        <item x="4"/>
        <item x="5"/>
        <item x="3"/>
        <item x="9"/>
        <item x="14"/>
        <item x="21"/>
        <item x="15"/>
        <item x="32"/>
        <item x="25"/>
        <item x="8"/>
        <item x="7"/>
        <item m="1" x="33"/>
        <item t="default"/>
      </items>
    </pivotField>
    <pivotField axis="axisPage" showAll="0">
      <items count="6">
        <item x="4"/>
        <item x="2"/>
        <item x="0"/>
        <item x="1"/>
        <item x="3"/>
        <item t="default"/>
      </items>
    </pivotField>
    <pivotField numFmtId="14" showAll="0"/>
    <pivotField dataField="1" numFmtId="1" showAll="0"/>
    <pivotField dataField="1" numFmtId="1" showAll="0"/>
    <pivotField dataField="1" numFmtId="1" showAll="0"/>
    <pivotField dataField="1"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s>
  <rowFields count="1">
    <field x="0"/>
  </rowFields>
  <rowItems count="8">
    <i>
      <x v="7"/>
    </i>
    <i>
      <x v="9"/>
    </i>
    <i>
      <x v="10"/>
    </i>
    <i>
      <x v="20"/>
    </i>
    <i>
      <x v="24"/>
    </i>
    <i>
      <x v="31"/>
    </i>
    <i>
      <x v="32"/>
    </i>
    <i t="grand">
      <x/>
    </i>
  </rowItems>
  <colFields count="1">
    <field x="-2"/>
  </colFields>
  <colItems count="4">
    <i>
      <x/>
    </i>
    <i i="1">
      <x v="1"/>
    </i>
    <i i="2">
      <x v="2"/>
    </i>
    <i i="3">
      <x v="3"/>
    </i>
  </colItems>
  <pageFields count="1">
    <pageField fld="1" item="1" hier="-1"/>
  </pageFields>
  <dataFields count="4">
    <dataField name="Average of Total distance [m]" fld="3" subtotal="average" baseField="0" baseItem="7"/>
    <dataField name="Average of Speed zone 5 [m] (25.00- km/h)" fld="4" subtotal="average" baseField="0" baseItem="7"/>
    <dataField name="Average of Accelerations (3.00 - 50.00 m/s²)" fld="6" subtotal="average" baseField="0" baseItem="7"/>
    <dataField name="Average of Deaccelerations (-50.00 - -3.00 m/s²)" fld="5" subtotal="average" baseField="0" baseItem="7"/>
  </dataFields>
  <formats count="3">
    <format dxfId="190">
      <pivotArea collapsedLevelsAreSubtotals="1" fieldPosition="0">
        <references count="1">
          <reference field="0" count="7">
            <x v="7"/>
            <x v="9"/>
            <x v="10"/>
            <x v="20"/>
            <x v="24"/>
            <x v="31"/>
            <x v="32"/>
          </reference>
        </references>
      </pivotArea>
    </format>
    <format dxfId="189">
      <pivotArea collapsedLevelsAreSubtotals="1" fieldPosition="0">
        <references count="1">
          <reference field="0" count="7">
            <x v="7"/>
            <x v="9"/>
            <x v="10"/>
            <x v="20"/>
            <x v="24"/>
            <x v="31"/>
            <x v="32"/>
          </reference>
        </references>
      </pivotArea>
    </format>
    <format dxfId="188">
      <pivotArea collapsedLevelsAreSubtotals="1" fieldPosition="0">
        <references count="1">
          <reference field="0" count="7">
            <x v="7"/>
            <x v="9"/>
            <x v="10"/>
            <x v="20"/>
            <x v="24"/>
            <x v="31"/>
            <x v="3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summary wingers "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2:E44" firstHeaderRow="0" firstDataRow="1" firstDataCol="1"/>
  <pivotFields count="24">
    <pivotField showAll="0"/>
    <pivotField axis="axisRow" showAll="0">
      <items count="6">
        <item h="1" x="4"/>
        <item h="1" x="2"/>
        <item h="1" x="0"/>
        <item h="1" x="1"/>
        <item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s>
  <rowFields count="1">
    <field x="1"/>
  </rowFields>
  <rowItems count="2">
    <i>
      <x v="4"/>
    </i>
    <i t="grand">
      <x/>
    </i>
  </rowItems>
  <colFields count="1">
    <field x="-2"/>
  </colFields>
  <colItems count="4">
    <i>
      <x/>
    </i>
    <i i="1">
      <x v="1"/>
    </i>
    <i i="2">
      <x v="2"/>
    </i>
    <i i="3">
      <x v="3"/>
    </i>
  </colItems>
  <dataFields count="4">
    <dataField name="Average of Total distance [m]" fld="3" subtotal="average" baseField="1" baseItem="1"/>
    <dataField name="Average of Speed zone 5 [m] (25.00- km/h)" fld="4" subtotal="average" baseField="1" baseItem="1"/>
    <dataField name="Average of Accelerations (3.00 - 50.00 m/s²)" fld="6" subtotal="average" baseField="1" baseItem="1"/>
    <dataField name="Average of Deaccelerations (-50.00 - -3.00 m/s²)" fld="5" subtotal="average"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summary defenders "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4:E36" firstHeaderRow="0" firstDataRow="1" firstDataCol="1"/>
  <pivotFields count="24">
    <pivotField showAll="0"/>
    <pivotField axis="axisRow" showAll="0">
      <items count="6">
        <item h="1" x="4"/>
        <item x="2"/>
        <item h="1" x="0"/>
        <item h="1" x="1"/>
        <item h="1"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 numFmtId="1" showAll="0" defaultSubtotal="0"/>
    <pivotField numFmtId="1" showAll="0"/>
    <pivotField numFmtId="1" showAll="0" defaultSubtotal="0"/>
    <pivotField numFmtId="1" showAll="0" defaultSubtotal="0"/>
  </pivotFields>
  <rowFields count="1">
    <field x="1"/>
  </rowFields>
  <rowItems count="2">
    <i>
      <x v="1"/>
    </i>
    <i t="grand">
      <x/>
    </i>
  </rowItems>
  <colFields count="1">
    <field x="-2"/>
  </colFields>
  <colItems count="4">
    <i>
      <x/>
    </i>
    <i i="1">
      <x v="1"/>
    </i>
    <i i="2">
      <x v="2"/>
    </i>
    <i i="3">
      <x v="3"/>
    </i>
  </colItems>
  <dataFields count="4">
    <dataField name="Average of Total distance [m]" fld="3" subtotal="average" baseField="1" baseItem="1"/>
    <dataField name="Average of Speed zone 5 [m] (25.00- km/h)" fld="4" subtotal="average" baseField="1" baseItem="1"/>
    <dataField name="Average of Accelerations (3.00 - 50.00 m/s²)" fld="6" subtotal="average" baseField="1" baseItem="1"/>
    <dataField name="Average of Deaccelerations (-50.00 - -3.00 m/s²)" fld="5" subtotal="average"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STRIKERS "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V3:AA8" firstHeaderRow="0" firstDataRow="1" firstDataCol="1" rowPageCount="1" colPageCount="1"/>
  <pivotFields count="24">
    <pivotField axis="axisRow" showAll="0">
      <items count="35">
        <item x="24"/>
        <item h="1" x="18"/>
        <item h="1" x="23"/>
        <item h="1" x="26"/>
        <item h="1" x="10"/>
        <item h="1" x="17"/>
        <item x="2"/>
        <item x="19"/>
        <item h="1" x="28"/>
        <item h="1" x="6"/>
        <item h="1" x="27"/>
        <item h="1" x="16"/>
        <item h="1" x="12"/>
        <item h="1" x="11"/>
        <item h="1" x="22"/>
        <item h="1" x="20"/>
        <item h="1" x="0"/>
        <item x="1"/>
        <item h="1" x="29"/>
        <item h="1" x="13"/>
        <item h="1" x="4"/>
        <item h="1" x="5"/>
        <item h="1" x="3"/>
        <item x="9"/>
        <item h="1" x="14"/>
        <item x="21"/>
        <item h="1" x="15"/>
        <item h="1" x="25"/>
        <item h="1" x="8"/>
        <item h="1" x="7"/>
        <item h="1" x="30"/>
        <item h="1" x="31"/>
        <item h="1" x="32"/>
        <item h="1" m="1" x="33"/>
        <item t="default"/>
      </items>
    </pivotField>
    <pivotField showAll="0" defaultSubtotal="0"/>
    <pivotField axis="axisPage" numFmtId="14" showAll="0">
      <items count="63">
        <item x="0"/>
        <item x="1"/>
        <item x="2"/>
        <item x="3"/>
        <item x="4"/>
        <item x="5"/>
        <item x="6"/>
        <item x="7"/>
        <item x="8"/>
        <item x="9"/>
        <item x="10"/>
        <item x="11"/>
        <item x="12"/>
        <item x="13"/>
        <item x="14"/>
        <item x="15"/>
        <item x="16"/>
        <item x="17"/>
        <item x="18"/>
        <item x="19"/>
        <item x="20"/>
        <item x="21"/>
        <item m="1" x="61"/>
        <item m="1" x="60"/>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dataField="1" numFmtId="1" showAll="0" defaultSubtotal="0"/>
    <pivotField dataField="1" numFmtId="1" showAll="0" defaultSubtotal="0"/>
    <pivotField dataField="1" numFmtId="1" showAll="0" defaultSubtotal="0"/>
    <pivotField dataField="1" numFmtId="1" showAll="0" defaultSubtotal="0"/>
  </pivotFields>
  <rowFields count="1">
    <field x="0"/>
  </rowFields>
  <rowItems count="5">
    <i>
      <x v="7"/>
    </i>
    <i>
      <x v="17"/>
    </i>
    <i>
      <x v="23"/>
    </i>
    <i>
      <x v="25"/>
    </i>
    <i t="grand">
      <x/>
    </i>
  </rowItems>
  <colFields count="1">
    <field x="-2"/>
  </colFields>
  <colItems count="5">
    <i>
      <x/>
    </i>
    <i i="1">
      <x v="1"/>
    </i>
    <i i="2">
      <x v="2"/>
    </i>
    <i i="3">
      <x v="3"/>
    </i>
    <i i="4">
      <x v="4"/>
    </i>
  </colItems>
  <pageFields count="1">
    <pageField fld="2" item="61" hier="-1"/>
  </pageFields>
  <dataFields count="5">
    <dataField name="STRIKERS EXERCISE LOAD" fld="7" subtotal="average" baseField="0" baseItem="6"/>
    <dataField name="LIGHT" fld="20" subtotal="average" baseField="0" baseItem="6"/>
    <dataField name="MODERATE" fld="21" baseField="0" baseItem="6"/>
    <dataField name="VIGOROUS" fld="22" baseField="0" baseItem="6"/>
    <dataField name="INTENSE" fld="23" baseField="0" baseItem="6"/>
  </dataFields>
  <formats count="3">
    <format dxfId="193">
      <pivotArea collapsedLevelsAreSubtotals="1" fieldPosition="0">
        <references count="1">
          <reference field="0" count="0"/>
        </references>
      </pivotArea>
    </format>
    <format dxfId="192">
      <pivotArea dataOnly="0" labelOnly="1" outline="0" axis="axisValues" fieldPosition="0"/>
    </format>
    <format dxfId="191">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2" format="24" series="1">
      <pivotArea type="data" outline="0" fieldPosition="0">
        <references count="1">
          <reference field="4294967294" count="1" selected="0">
            <x v="1"/>
          </reference>
        </references>
      </pivotArea>
    </chartFormat>
    <chartFormat chart="2" format="25" series="1">
      <pivotArea type="data" outline="0" fieldPosition="0">
        <references count="1">
          <reference field="4294967294" count="1" selected="0">
            <x v="0"/>
          </reference>
        </references>
      </pivotArea>
    </chartFormat>
    <chartFormat chart="2" format="26" series="1">
      <pivotArea type="data" outline="0" fieldPosition="0">
        <references count="1">
          <reference field="4294967294" count="1" selected="0">
            <x v="2"/>
          </reference>
        </references>
      </pivotArea>
    </chartFormat>
    <chartFormat chart="2" format="27" series="1">
      <pivotArea type="data" outline="0" fieldPosition="0">
        <references count="1">
          <reference field="4294967294" count="1" selected="0">
            <x v="3"/>
          </reference>
        </references>
      </pivotArea>
    </chartFormat>
    <chartFormat chart="2" format="2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7:I19" firstHeaderRow="1" firstDataRow="1" firstDataCol="1"/>
  <pivotFields count="24">
    <pivotField showAll="0"/>
    <pivotField axis="axisRow" showAll="0" defaultSubtotal="0">
      <items count="5">
        <item h="1" x="4"/>
        <item h="1" x="2"/>
        <item x="0"/>
        <item h="1" x="1"/>
        <item h="1"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2"/>
    </i>
    <i t="grand">
      <x/>
    </i>
  </rowItems>
  <colItems count="1">
    <i/>
  </colItems>
  <dataFields count="1">
    <dataField name="Max of Exercise Load " fld="7" subtotal="max"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21:W23" firstHeaderRow="1" firstDataRow="1" firstDataCol="1"/>
  <pivotFields count="24">
    <pivotField showAll="0"/>
    <pivotField axis="axisRow" showAll="0" defaultSubtotal="0">
      <items count="5">
        <item h="1" x="4"/>
        <item h="1" x="2"/>
        <item h="1" x="0"/>
        <item x="1"/>
        <item h="1" x="3"/>
      </items>
    </pivotField>
    <pivotField numFmtId="14" showAll="0"/>
    <pivotField numFmtId="1" showAll="0"/>
    <pivotField numFmtId="1" showAll="0"/>
    <pivotField numFmtId="1" showAll="0"/>
    <pivotField numFmtId="1" showAll="0"/>
    <pivotField dataField="1" showAl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1"/>
  </rowFields>
  <rowItems count="2">
    <i>
      <x v="3"/>
    </i>
    <i t="grand">
      <x/>
    </i>
  </rowItems>
  <colItems count="1">
    <i/>
  </colItems>
  <dataFields count="1">
    <dataField name="Average of Exercise Load " fld="7" subtotal="average" baseField="1"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DEFENDERS "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F10" firstHeaderRow="0" firstDataRow="1" firstDataCol="1" rowPageCount="1" colPageCount="1"/>
  <pivotFields count="24">
    <pivotField axis="axisRow" showAll="0">
      <items count="35">
        <item h="1" x="24"/>
        <item h="1" x="18"/>
        <item h="1" x="23"/>
        <item h="1" x="26"/>
        <item h="1" x="10"/>
        <item h="1" x="17"/>
        <item h="1" x="2"/>
        <item h="1" x="19"/>
        <item x="28"/>
        <item x="6"/>
        <item h="1" x="27"/>
        <item h="1" x="16"/>
        <item h="1" x="12"/>
        <item h="1" x="11"/>
        <item h="1" x="22"/>
        <item h="1" x="20"/>
        <item h="1" x="0"/>
        <item h="1" x="1"/>
        <item x="29"/>
        <item h="1" x="13"/>
        <item h="1" x="4"/>
        <item h="1" x="5"/>
        <item x="3"/>
        <item h="1" x="9"/>
        <item h="1" x="14"/>
        <item h="1" x="21"/>
        <item h="1" x="15"/>
        <item h="1" x="25"/>
        <item x="8"/>
        <item x="7"/>
        <item x="30"/>
        <item x="31"/>
        <item h="1" x="32"/>
        <item h="1" m="1" x="33"/>
        <item t="default"/>
      </items>
    </pivotField>
    <pivotField showAll="0" defaultSubtotal="0"/>
    <pivotField axis="axisPage" numFmtId="14" showAll="0">
      <items count="63">
        <item x="0"/>
        <item x="1"/>
        <item x="2"/>
        <item x="3"/>
        <item x="4"/>
        <item x="5"/>
        <item x="6"/>
        <item x="7"/>
        <item x="8"/>
        <item x="9"/>
        <item x="10"/>
        <item x="11"/>
        <item x="12"/>
        <item x="13"/>
        <item x="14"/>
        <item x="15"/>
        <item x="16"/>
        <item x="17"/>
        <item x="18"/>
        <item x="19"/>
        <item x="20"/>
        <item x="21"/>
        <item m="1" x="61"/>
        <item m="1" x="60"/>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numFmtId="1" showAll="0"/>
    <pivotField numFmtId="1" showAll="0"/>
    <pivotField numFmtId="1" showAll="0"/>
    <pivotField numFmtId="1" showAll="0"/>
    <pivotField dataField="1" showAll="0"/>
    <pivotField dataField="1" numFmtId="1" showAll="0" defaultSubtotal="0"/>
    <pivotField dataField="1" numFmtId="1" showAll="0" defaultSubtotal="0"/>
    <pivotField dataField="1" numFmtId="1" showAll="0" defaultSubtotal="0"/>
    <pivotField dataField="1"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 numFmtId="1" showAll="0" defaultSubtotal="0"/>
  </pivotFields>
  <rowFields count="1">
    <field x="0"/>
  </rowFields>
  <rowItems count="7">
    <i>
      <x v="9"/>
    </i>
    <i>
      <x v="22"/>
    </i>
    <i>
      <x v="28"/>
    </i>
    <i>
      <x v="29"/>
    </i>
    <i>
      <x v="30"/>
    </i>
    <i>
      <x v="31"/>
    </i>
    <i t="grand">
      <x/>
    </i>
  </rowItems>
  <colFields count="1">
    <field x="-2"/>
  </colFields>
  <colItems count="5">
    <i>
      <x/>
    </i>
    <i i="1">
      <x v="1"/>
    </i>
    <i i="2">
      <x v="2"/>
    </i>
    <i i="3">
      <x v="3"/>
    </i>
    <i i="4">
      <x v="4"/>
    </i>
  </colItems>
  <pageFields count="1">
    <pageField fld="2" item="61" hier="-1"/>
  </pageFields>
  <dataFields count="5">
    <dataField name="DEFENDERS EXERCISE LOAD " fld="7" subtotal="average" baseField="0" baseItem="18" numFmtId="2"/>
    <dataField name="LIGHT" fld="8" subtotal="average" baseField="0" baseItem="18"/>
    <dataField name="MODERATE" fld="9" subtotal="average" baseField="0" baseItem="18"/>
    <dataField name="VIGOROUS" fld="10" subtotal="average" baseField="0" baseItem="18"/>
    <dataField name="INTENSE " fld="11" subtotal="average" baseField="0" baseItem="18"/>
  </dataFields>
  <formats count="7">
    <format dxfId="200">
      <pivotArea outline="0" collapsedLevelsAreSubtotals="1" fieldPosition="0"/>
    </format>
    <format dxfId="199">
      <pivotArea type="all" dataOnly="0" outline="0" fieldPosition="0"/>
    </format>
    <format dxfId="198">
      <pivotArea outline="0" collapsedLevelsAreSubtotals="1" fieldPosition="0"/>
    </format>
    <format dxfId="197">
      <pivotArea field="0" type="button" dataOnly="0" labelOnly="1" outline="0" axis="axisRow" fieldPosition="0"/>
    </format>
    <format dxfId="196">
      <pivotArea dataOnly="0" labelOnly="1" fieldPosition="0">
        <references count="1">
          <reference field="0" count="5">
            <x v="18"/>
            <x v="22"/>
            <x v="28"/>
            <x v="29"/>
            <x v="30"/>
          </reference>
        </references>
      </pivotArea>
    </format>
    <format dxfId="195">
      <pivotArea dataOnly="0" labelOnly="1" grandRow="1" outline="0" fieldPosition="0"/>
    </format>
    <format dxfId="194">
      <pivotArea dataOnly="0" labelOnly="1"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0"/>
          </reference>
        </references>
      </pivotArea>
    </chartFormat>
    <chartFormat chart="2" format="35" series="1">
      <pivotArea type="data" outline="0" fieldPosition="0">
        <references count="1">
          <reference field="4294967294" count="1" selected="0">
            <x v="1"/>
          </reference>
        </references>
      </pivotArea>
    </chartFormat>
    <chartFormat chart="2" format="36" series="1">
      <pivotArea type="data" outline="0" fieldPosition="0">
        <references count="1">
          <reference field="4294967294" count="1" selected="0">
            <x v="2"/>
          </reference>
        </references>
      </pivotArea>
    </chartFormat>
    <chartFormat chart="2" format="37" series="1">
      <pivotArea type="data" outline="0" fieldPosition="0">
        <references count="1">
          <reference field="4294967294" count="1" selected="0">
            <x v="3"/>
          </reference>
        </references>
      </pivotArea>
    </chartFormat>
    <chartFormat chart="2" format="3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DEFsummary" cacheId="0" applyNumberFormats="0" applyBorderFormats="0" applyFontFormats="0" applyPatternFormats="0" applyAlignmentFormats="0" applyWidthHeightFormats="1" dataCaption="Values" grandTotalCaption="Average" updatedVersion="6" minRefreshableVersion="3" useAutoFormatting="1" itemPrintTitles="1" createdVersion="6" indent="0" outline="1" outlineData="1" multipleFieldFilters="0" rowHeaderCaption="Player Names">
  <location ref="B9:F15" firstHeaderRow="0" firstDataRow="1" firstDataCol="1" rowPageCount="1" colPageCount="1"/>
  <pivotFields count="24">
    <pivotField axis="axisRow" showAll="0">
      <items count="35">
        <item x="24"/>
        <item x="18"/>
        <item x="23"/>
        <item x="26"/>
        <item x="10"/>
        <item x="17"/>
        <item x="2"/>
        <item x="30"/>
        <item x="19"/>
        <item x="28"/>
        <item x="6"/>
        <item x="27"/>
        <item x="16"/>
        <item x="12"/>
        <item x="11"/>
        <item x="22"/>
        <item x="31"/>
        <item x="20"/>
        <item x="0"/>
        <item x="1"/>
        <item x="29"/>
        <item x="13"/>
        <item x="4"/>
        <item x="5"/>
        <item x="3"/>
        <item x="9"/>
        <item x="14"/>
        <item x="21"/>
        <item x="15"/>
        <item x="32"/>
        <item x="25"/>
        <item x="8"/>
        <item x="7"/>
        <item m="1" x="33"/>
        <item t="default"/>
      </items>
    </pivotField>
    <pivotField axis="axisPage" showAll="0">
      <items count="6">
        <item x="4"/>
        <item x="2"/>
        <item x="0"/>
        <item x="1"/>
        <item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s>
  <rowFields count="1">
    <field x="0"/>
  </rowFields>
  <rowItems count="6">
    <i>
      <x v="7"/>
    </i>
    <i>
      <x v="10"/>
    </i>
    <i>
      <x v="24"/>
    </i>
    <i>
      <x v="31"/>
    </i>
    <i>
      <x v="32"/>
    </i>
    <i t="grand">
      <x/>
    </i>
  </rowItems>
  <colFields count="1">
    <field x="-2"/>
  </colFields>
  <colItems count="4">
    <i>
      <x/>
    </i>
    <i i="1">
      <x v="1"/>
    </i>
    <i i="2">
      <x v="2"/>
    </i>
    <i i="3">
      <x v="3"/>
    </i>
  </colItems>
  <pageFields count="1">
    <pageField fld="1" item="1" hier="-1"/>
  </pageFields>
  <dataFields count="4">
    <dataField name="Total distance (m)" fld="3" subtotal="average" baseField="0" baseItem="7" numFmtId="1"/>
    <dataField name="HSR Distance (m) " fld="4" subtotal="average" baseField="0" baseItem="7" numFmtId="1"/>
    <dataField name="Accelerations (n)" fld="6" subtotal="average" baseField="0" baseItem="7" numFmtId="1"/>
    <dataField name="Deaccelerations (n)" fld="5" subtotal="average" baseField="0" baseItem="7" numFmtId="1"/>
  </dataFields>
  <formats count="43">
    <format dxfId="42">
      <pivotArea outline="0" collapsedLevelsAreSubtotals="1" fieldPosition="0">
        <references count="1">
          <reference field="4294967294" count="1" selected="0">
            <x v="0"/>
          </reference>
        </references>
      </pivotArea>
    </format>
    <format dxfId="41">
      <pivotArea dataOnly="0" labelOnly="1" outline="0" fieldPosition="0">
        <references count="1">
          <reference field="4294967294" count="1">
            <x v="0"/>
          </reference>
        </references>
      </pivotArea>
    </format>
    <format dxfId="40">
      <pivotArea outline="0" collapsedLevelsAreSubtotals="1" fieldPosition="0">
        <references count="1">
          <reference field="4294967294" count="1" selected="0">
            <x v="0"/>
          </reference>
        </references>
      </pivotArea>
    </format>
    <format dxfId="39">
      <pivotArea dataOnly="0" labelOnly="1" outline="0" fieldPosition="0">
        <references count="1">
          <reference field="4294967294" count="1">
            <x v="0"/>
          </reference>
        </references>
      </pivotArea>
    </format>
    <format dxfId="38">
      <pivotArea outline="0" collapsedLevelsAreSubtotals="1" fieldPosition="0">
        <references count="1">
          <reference field="4294967294" count="1" selected="0">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2">
          <reference field="4294967294" count="1">
            <x v="3"/>
          </reference>
          <reference field="1" count="1" selected="0">
            <x v="1"/>
          </reference>
        </references>
      </pivotArea>
    </format>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3"/>
          </reference>
        </references>
      </pivotArea>
    </format>
    <format dxfId="32">
      <pivotArea dataOnly="0" labelOnly="1" outline="0" fieldPosition="0">
        <references count="1">
          <reference field="4294967294" count="1">
            <x v="3"/>
          </reference>
        </references>
      </pivotArea>
    </format>
    <format dxfId="31">
      <pivotArea outline="0" collapsedLevelsAreSubtotals="1" fieldPosition="0">
        <references count="1">
          <reference field="4294967294" count="1" selected="0">
            <x v="2"/>
          </reference>
        </references>
      </pivotArea>
    </format>
    <format dxfId="30">
      <pivotArea dataOnly="0" labelOnly="1" outline="0" fieldPosition="0">
        <references count="1">
          <reference field="4294967294" count="1">
            <x v="2"/>
          </reference>
        </references>
      </pivotArea>
    </format>
    <format dxfId="29">
      <pivotArea outline="0" collapsedLevelsAreSubtotals="1" fieldPosition="0">
        <references count="1">
          <reference field="4294967294" count="1" selected="0">
            <x v="2"/>
          </reference>
        </references>
      </pivotArea>
    </format>
    <format dxfId="28">
      <pivotArea dataOnly="0" labelOnly="1" outline="0" fieldPosition="0">
        <references count="1">
          <reference field="4294967294" count="1">
            <x v="2"/>
          </reference>
        </references>
      </pivotArea>
    </format>
    <format dxfId="27">
      <pivotArea outline="0" collapsedLevelsAreSubtotals="1" fieldPosition="0">
        <references count="1">
          <reference field="4294967294" count="1" selected="0">
            <x v="2"/>
          </reference>
        </references>
      </pivotArea>
    </format>
    <format dxfId="26">
      <pivotArea dataOnly="0" labelOnly="1" outline="0" fieldPosition="0">
        <references count="1">
          <reference field="4294967294" count="1">
            <x v="2"/>
          </reference>
        </references>
      </pivotArea>
    </format>
    <format dxfId="25">
      <pivotArea outline="0" collapsedLevelsAreSubtotals="1" fieldPosition="0">
        <references count="1">
          <reference field="4294967294" count="1" selected="0">
            <x v="1"/>
          </reference>
        </references>
      </pivotArea>
    </format>
    <format dxfId="24">
      <pivotArea dataOnly="0" labelOnly="1" outline="0" fieldPosition="0">
        <references count="1">
          <reference field="4294967294" count="1">
            <x v="1"/>
          </reference>
        </references>
      </pivotArea>
    </format>
    <format dxfId="23">
      <pivotArea outline="0" collapsedLevelsAreSubtotals="1" fieldPosition="0">
        <references count="1">
          <reference field="4294967294" count="1" selected="0">
            <x v="1"/>
          </reference>
        </references>
      </pivotArea>
    </format>
    <format dxfId="22">
      <pivotArea dataOnly="0" labelOnly="1" outline="0" fieldPosition="0">
        <references count="1">
          <reference field="4294967294" count="1">
            <x v="1"/>
          </reference>
        </references>
      </pivotArea>
    </format>
    <format dxfId="21">
      <pivotArea outline="0" collapsedLevelsAreSubtotals="1" fieldPosition="0">
        <references count="1">
          <reference field="4294967294" count="1" selected="0">
            <x v="1"/>
          </reference>
        </references>
      </pivotArea>
    </format>
    <format dxfId="20">
      <pivotArea dataOnly="0" labelOnly="1" outline="0" fieldPosition="0">
        <references count="1">
          <reference field="4294967294" count="1">
            <x v="1"/>
          </reference>
        </references>
      </pivotArea>
    </format>
    <format dxfId="19">
      <pivotArea outline="0" collapsedLevelsAreSubtotals="1" fieldPosition="0">
        <references count="1">
          <reference field="4294967294" count="2" selected="0">
            <x v="2"/>
            <x v="3"/>
          </reference>
        </references>
      </pivotArea>
    </format>
    <format dxfId="18">
      <pivotArea dataOnly="0" labelOnly="1" outline="0" fieldPosition="0">
        <references count="1">
          <reference field="4294967294" count="2">
            <x v="2"/>
            <x v="3"/>
          </reference>
        </references>
      </pivotArea>
    </format>
    <format dxfId="17">
      <pivotArea dataOnly="0" labelOnly="1" outline="0" fieldPosition="0">
        <references count="1">
          <reference field="4294967294" count="1">
            <x v="2"/>
          </reference>
        </references>
      </pivotArea>
    </format>
    <format dxfId="16">
      <pivotArea field="1" type="button" dataOnly="0" labelOnly="1" outline="0" axis="axisPage" fieldPosition="0"/>
    </format>
    <format dxfId="15">
      <pivotArea dataOnly="0" labelOnly="1" outline="0" fieldPosition="0">
        <references count="1">
          <reference field="1" count="1">
            <x v="1"/>
          </reference>
        </references>
      </pivotArea>
    </format>
    <format dxfId="14">
      <pivotArea dataOnly="0" labelOnly="1" outline="0" fieldPosition="0">
        <references count="1">
          <reference field="1" count="1">
            <x v="1"/>
          </reference>
        </references>
      </pivotArea>
    </format>
    <format dxfId="13">
      <pivotArea field="1" type="button" dataOnly="0" labelOnly="1" outline="0" axis="axisPage" fieldPosition="0"/>
    </format>
    <format dxfId="12">
      <pivotArea field="1" type="button" dataOnly="0" labelOnly="1" outline="0" axis="axisPage" fieldPosition="0"/>
    </format>
    <format dxfId="11">
      <pivotArea field="0" type="button" dataOnly="0" labelOnly="1" outline="0" axis="axisRow" fieldPosition="0"/>
    </format>
    <format dxfId="10">
      <pivotArea dataOnly="0" labelOnly="1" outline="0" fieldPosition="0">
        <references count="1">
          <reference field="4294967294" count="4">
            <x v="0"/>
            <x v="1"/>
            <x v="2"/>
            <x v="3"/>
          </reference>
        </references>
      </pivotArea>
    </format>
    <format dxfId="9">
      <pivotArea field="0" type="button" dataOnly="0" labelOnly="1" outline="0" axis="axisRow" fieldPosition="0"/>
    </format>
    <format dxfId="8">
      <pivotArea dataOnly="0" labelOnly="1" outline="0" fieldPosition="0">
        <references count="1">
          <reference field="4294967294" count="4">
            <x v="0"/>
            <x v="1"/>
            <x v="2"/>
            <x v="3"/>
          </reference>
        </references>
      </pivotArea>
    </format>
    <format dxfId="7">
      <pivotArea grandRow="1" outline="0" collapsedLevelsAreSubtotals="1" fieldPosition="0"/>
    </format>
    <format dxfId="6">
      <pivotArea dataOnly="0" labelOnly="1" grandRow="1" outline="0" fieldPosition="0"/>
    </format>
    <format dxfId="5">
      <pivotArea grandRow="1" outline="0" collapsedLevelsAreSubtotals="1" fieldPosition="0"/>
    </format>
    <format dxfId="4">
      <pivotArea dataOnly="0" labelOnly="1" grandRow="1" outline="0" fieldPosition="0"/>
    </format>
    <format dxfId="3">
      <pivotArea outline="0" collapsedLevelsAreSubtotals="1" fieldPosition="0">
        <references count="1">
          <reference field="4294967294" count="1" selected="0">
            <x v="0"/>
          </reference>
        </references>
      </pivotArea>
    </format>
    <format dxfId="2">
      <pivotArea outline="0" collapsedLevelsAreSubtotals="1" fieldPosition="0">
        <references count="1">
          <reference field="4294967294" count="1" selected="0">
            <x v="0"/>
          </reference>
        </references>
      </pivotArea>
    </format>
    <format dxfId="1">
      <pivotArea field="0" type="button" dataOnly="0" labelOnly="1" outline="0" axis="axisRow" fieldPosition="0"/>
    </format>
    <format dxfId="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Strikersummary" cacheId="0" applyNumberFormats="0" applyBorderFormats="0" applyFontFormats="0" applyPatternFormats="0" applyAlignmentFormats="0" applyWidthHeightFormats="1" dataCaption="Values" grandTotalCaption="Average" updatedVersion="6" minRefreshableVersion="3" useAutoFormatting="1" itemPrintTitles="1" createdVersion="6" indent="0" outline="1" outlineData="1" multipleFieldFilters="0" rowHeaderCaption="Player Names">
  <location ref="H25:L30" firstHeaderRow="0" firstDataRow="1" firstDataCol="1" rowPageCount="1" colPageCount="1"/>
  <pivotFields count="24">
    <pivotField axis="axisRow" showAll="0">
      <items count="35">
        <item x="24"/>
        <item x="18"/>
        <item x="23"/>
        <item x="26"/>
        <item x="10"/>
        <item x="17"/>
        <item x="2"/>
        <item x="30"/>
        <item x="19"/>
        <item x="28"/>
        <item x="6"/>
        <item x="27"/>
        <item x="16"/>
        <item x="12"/>
        <item x="11"/>
        <item x="22"/>
        <item x="31"/>
        <item x="20"/>
        <item x="0"/>
        <item x="1"/>
        <item x="29"/>
        <item x="13"/>
        <item x="4"/>
        <item x="5"/>
        <item x="3"/>
        <item x="9"/>
        <item x="14"/>
        <item x="21"/>
        <item x="15"/>
        <item x="32"/>
        <item x="25"/>
        <item x="8"/>
        <item x="7"/>
        <item m="1" x="33"/>
        <item t="default"/>
      </items>
    </pivotField>
    <pivotField axis="axisPage" showAll="0">
      <items count="6">
        <item x="4"/>
        <item x="2"/>
        <item x="0"/>
        <item x="1"/>
        <item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s>
  <rowFields count="1">
    <field x="0"/>
  </rowFields>
  <rowItems count="5">
    <i>
      <x v="8"/>
    </i>
    <i>
      <x v="19"/>
    </i>
    <i>
      <x v="25"/>
    </i>
    <i>
      <x v="27"/>
    </i>
    <i t="grand">
      <x/>
    </i>
  </rowItems>
  <colFields count="1">
    <field x="-2"/>
  </colFields>
  <colItems count="4">
    <i>
      <x/>
    </i>
    <i i="1">
      <x v="1"/>
    </i>
    <i i="2">
      <x v="2"/>
    </i>
    <i i="3">
      <x v="3"/>
    </i>
  </colItems>
  <pageFields count="1">
    <pageField fld="1" item="3" hier="-1"/>
  </pageFields>
  <dataFields count="4">
    <dataField name="Total distance (m)" fld="3" subtotal="average" baseField="0" baseItem="7" numFmtId="1"/>
    <dataField name="HSR Distance (m) " fld="4" subtotal="average" baseField="0" baseItem="7" numFmtId="1"/>
    <dataField name="Accelerations (n)" fld="6" subtotal="average" baseField="0" baseItem="7" numFmtId="1"/>
    <dataField name="Deaccelerations (n)" fld="5" subtotal="average" baseField="0" baseItem="7" numFmtId="1"/>
  </dataFields>
  <formats count="43">
    <format dxfId="85">
      <pivotArea outline="0" collapsedLevelsAreSubtotals="1" fieldPosition="0">
        <references count="1">
          <reference field="4294967294" count="1" selected="0">
            <x v="0"/>
          </reference>
        </references>
      </pivotArea>
    </format>
    <format dxfId="84">
      <pivotArea dataOnly="0" labelOnly="1" outline="0" fieldPosition="0">
        <references count="1">
          <reference field="4294967294" count="1">
            <x v="0"/>
          </reference>
        </references>
      </pivotArea>
    </format>
    <format dxfId="83">
      <pivotArea outline="0" collapsedLevelsAreSubtotals="1" fieldPosition="0">
        <references count="1">
          <reference field="4294967294" count="1" selected="0">
            <x v="0"/>
          </reference>
        </references>
      </pivotArea>
    </format>
    <format dxfId="82">
      <pivotArea dataOnly="0" labelOnly="1" outline="0" fieldPosition="0">
        <references count="1">
          <reference field="4294967294" count="1">
            <x v="0"/>
          </reference>
        </references>
      </pivotArea>
    </format>
    <format dxfId="81">
      <pivotArea outline="0" collapsedLevelsAreSubtotals="1" fieldPosition="0">
        <references count="1">
          <reference field="4294967294" count="1" selected="0">
            <x v="1"/>
          </reference>
        </references>
      </pivotArea>
    </format>
    <format dxfId="80">
      <pivotArea dataOnly="0" labelOnly="1" outline="0" fieldPosition="0">
        <references count="1">
          <reference field="4294967294" count="1">
            <x v="1"/>
          </reference>
        </references>
      </pivotArea>
    </format>
    <format dxfId="79">
      <pivotArea dataOnly="0" outline="0" fieldPosition="0">
        <references count="2">
          <reference field="4294967294" count="1">
            <x v="3"/>
          </reference>
          <reference field="1" count="1" selected="0">
            <x v="1"/>
          </reference>
        </references>
      </pivotArea>
    </format>
    <format dxfId="78">
      <pivotArea outline="0" collapsedLevelsAreSubtotals="1" fieldPosition="0">
        <references count="1">
          <reference field="4294967294" count="1" selected="0">
            <x v="3"/>
          </reference>
        </references>
      </pivotArea>
    </format>
    <format dxfId="77">
      <pivotArea dataOnly="0" labelOnly="1" outline="0" fieldPosition="0">
        <references count="1">
          <reference field="4294967294" count="1">
            <x v="3"/>
          </reference>
        </references>
      </pivotArea>
    </format>
    <format dxfId="76">
      <pivotArea outline="0" collapsedLevelsAreSubtotals="1" fieldPosition="0">
        <references count="1">
          <reference field="4294967294" count="1" selected="0">
            <x v="3"/>
          </reference>
        </references>
      </pivotArea>
    </format>
    <format dxfId="75">
      <pivotArea dataOnly="0" labelOnly="1" outline="0" fieldPosition="0">
        <references count="1">
          <reference field="4294967294" count="1">
            <x v="3"/>
          </reference>
        </references>
      </pivotArea>
    </format>
    <format dxfId="74">
      <pivotArea outline="0" collapsedLevelsAreSubtotals="1" fieldPosition="0">
        <references count="1">
          <reference field="4294967294" count="1" selected="0">
            <x v="2"/>
          </reference>
        </references>
      </pivotArea>
    </format>
    <format dxfId="73">
      <pivotArea dataOnly="0" labelOnly="1" outline="0" fieldPosition="0">
        <references count="1">
          <reference field="4294967294" count="1">
            <x v="2"/>
          </reference>
        </references>
      </pivotArea>
    </format>
    <format dxfId="72">
      <pivotArea outline="0" collapsedLevelsAreSubtotals="1" fieldPosition="0">
        <references count="1">
          <reference field="4294967294" count="1" selected="0">
            <x v="2"/>
          </reference>
        </references>
      </pivotArea>
    </format>
    <format dxfId="71">
      <pivotArea dataOnly="0" labelOnly="1" outline="0" fieldPosition="0">
        <references count="1">
          <reference field="4294967294" count="1">
            <x v="2"/>
          </reference>
        </references>
      </pivotArea>
    </format>
    <format dxfId="70">
      <pivotArea outline="0" collapsedLevelsAreSubtotals="1" fieldPosition="0">
        <references count="1">
          <reference field="4294967294" count="1" selected="0">
            <x v="2"/>
          </reference>
        </references>
      </pivotArea>
    </format>
    <format dxfId="69">
      <pivotArea dataOnly="0" labelOnly="1" outline="0" fieldPosition="0">
        <references count="1">
          <reference field="4294967294" count="1">
            <x v="2"/>
          </reference>
        </references>
      </pivotArea>
    </format>
    <format dxfId="68">
      <pivotArea outline="0" collapsedLevelsAreSubtotals="1" fieldPosition="0">
        <references count="1">
          <reference field="4294967294" count="1" selected="0">
            <x v="1"/>
          </reference>
        </references>
      </pivotArea>
    </format>
    <format dxfId="67">
      <pivotArea dataOnly="0" labelOnly="1" outline="0" fieldPosition="0">
        <references count="1">
          <reference field="4294967294" count="1">
            <x v="1"/>
          </reference>
        </references>
      </pivotArea>
    </format>
    <format dxfId="66">
      <pivotArea outline="0" collapsedLevelsAreSubtotals="1" fieldPosition="0">
        <references count="1">
          <reference field="4294967294" count="1" selected="0">
            <x v="1"/>
          </reference>
        </references>
      </pivotArea>
    </format>
    <format dxfId="65">
      <pivotArea dataOnly="0" labelOnly="1" outline="0" fieldPosition="0">
        <references count="1">
          <reference field="4294967294" count="1">
            <x v="1"/>
          </reference>
        </references>
      </pivotArea>
    </format>
    <format dxfId="64">
      <pivotArea outline="0" collapsedLevelsAreSubtotals="1" fieldPosition="0">
        <references count="1">
          <reference field="4294967294" count="1" selected="0">
            <x v="1"/>
          </reference>
        </references>
      </pivotArea>
    </format>
    <format dxfId="63">
      <pivotArea dataOnly="0" labelOnly="1" outline="0" fieldPosition="0">
        <references count="1">
          <reference field="4294967294" count="1">
            <x v="1"/>
          </reference>
        </references>
      </pivotArea>
    </format>
    <format dxfId="62">
      <pivotArea outline="0" collapsedLevelsAreSubtotals="1" fieldPosition="0">
        <references count="1">
          <reference field="4294967294" count="2" selected="0">
            <x v="2"/>
            <x v="3"/>
          </reference>
        </references>
      </pivotArea>
    </format>
    <format dxfId="61">
      <pivotArea dataOnly="0" labelOnly="1" outline="0" fieldPosition="0">
        <references count="1">
          <reference field="4294967294" count="2">
            <x v="2"/>
            <x v="3"/>
          </reference>
        </references>
      </pivotArea>
    </format>
    <format dxfId="60">
      <pivotArea dataOnly="0" labelOnly="1" outline="0" fieldPosition="0">
        <references count="1">
          <reference field="4294967294" count="1">
            <x v="2"/>
          </reference>
        </references>
      </pivotArea>
    </format>
    <format dxfId="59">
      <pivotArea field="1" type="button" dataOnly="0" labelOnly="1" outline="0" axis="axisPage" fieldPosition="0"/>
    </format>
    <format dxfId="58">
      <pivotArea dataOnly="0" labelOnly="1" outline="0" fieldPosition="0">
        <references count="1">
          <reference field="1" count="1">
            <x v="1"/>
          </reference>
        </references>
      </pivotArea>
    </format>
    <format dxfId="57">
      <pivotArea dataOnly="0" labelOnly="1" outline="0" fieldPosition="0">
        <references count="1">
          <reference field="1" count="1">
            <x v="1"/>
          </reference>
        </references>
      </pivotArea>
    </format>
    <format dxfId="56">
      <pivotArea field="1" type="button" dataOnly="0" labelOnly="1" outline="0" axis="axisPage" fieldPosition="0"/>
    </format>
    <format dxfId="55">
      <pivotArea field="1" type="button" dataOnly="0" labelOnly="1" outline="0" axis="axisPage" fieldPosition="0"/>
    </format>
    <format dxfId="54">
      <pivotArea field="0" type="button" dataOnly="0" labelOnly="1" outline="0" axis="axisRow" fieldPosition="0"/>
    </format>
    <format dxfId="53">
      <pivotArea dataOnly="0" labelOnly="1" outline="0" fieldPosition="0">
        <references count="1">
          <reference field="4294967294" count="4">
            <x v="0"/>
            <x v="1"/>
            <x v="2"/>
            <x v="3"/>
          </reference>
        </references>
      </pivotArea>
    </format>
    <format dxfId="52">
      <pivotArea field="0" type="button" dataOnly="0" labelOnly="1" outline="0" axis="axisRow" fieldPosition="0"/>
    </format>
    <format dxfId="51">
      <pivotArea dataOnly="0" labelOnly="1" outline="0" fieldPosition="0">
        <references count="1">
          <reference field="4294967294" count="4">
            <x v="0"/>
            <x v="1"/>
            <x v="2"/>
            <x v="3"/>
          </reference>
        </references>
      </pivotArea>
    </format>
    <format dxfId="50">
      <pivotArea grandRow="1" outline="0" collapsedLevelsAreSubtotals="1" fieldPosition="0"/>
    </format>
    <format dxfId="49">
      <pivotArea dataOnly="0" labelOnly="1" grandRow="1" outline="0" fieldPosition="0"/>
    </format>
    <format dxfId="48">
      <pivotArea grandRow="1" outline="0" collapsedLevelsAreSubtotals="1" fieldPosition="0"/>
    </format>
    <format dxfId="47">
      <pivotArea dataOnly="0" labelOnly="1" grandRow="1" outline="0" fieldPosition="0"/>
    </format>
    <format dxfId="46">
      <pivotArea outline="0" collapsedLevelsAreSubtotals="1" fieldPosition="0">
        <references count="1">
          <reference field="4294967294" count="1" selected="0">
            <x v="0"/>
          </reference>
        </references>
      </pivotArea>
    </format>
    <format dxfId="45">
      <pivotArea outline="0" collapsedLevelsAreSubtotals="1" fieldPosition="0">
        <references count="1">
          <reference field="4294967294" count="1" selected="0">
            <x v="0"/>
          </reference>
        </references>
      </pivotArea>
    </format>
    <format dxfId="44">
      <pivotArea dataOnly="0" labelOnly="1" outline="0" fieldPosition="0">
        <references count="1">
          <reference field="1" count="1">
            <x v="3"/>
          </reference>
        </references>
      </pivotArea>
    </format>
    <format dxfId="43">
      <pivotArea dataOnly="0" labelOnly="1" outline="0" fieldPosition="0">
        <references count="1">
          <reference field="1"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Wingersummary" cacheId="0" applyNumberFormats="0" applyBorderFormats="0" applyFontFormats="0" applyPatternFormats="0" applyAlignmentFormats="0" applyWidthHeightFormats="1" dataCaption="Values" grandTotalCaption="Average" updatedVersion="6" minRefreshableVersion="3" useAutoFormatting="1" itemPrintTitles="1" createdVersion="6" indent="0" outline="1" outlineData="1" multipleFieldFilters="0" rowHeaderCaption="Player Names">
  <location ref="B25:F31" firstHeaderRow="0" firstDataRow="1" firstDataCol="1" rowPageCount="1" colPageCount="1"/>
  <pivotFields count="24">
    <pivotField axis="axisRow" showAll="0">
      <items count="35">
        <item x="24"/>
        <item x="18"/>
        <item x="23"/>
        <item x="26"/>
        <item x="10"/>
        <item x="17"/>
        <item x="2"/>
        <item x="30"/>
        <item x="19"/>
        <item x="28"/>
        <item x="6"/>
        <item x="27"/>
        <item x="16"/>
        <item x="12"/>
        <item x="11"/>
        <item x="22"/>
        <item x="31"/>
        <item x="20"/>
        <item x="0"/>
        <item x="1"/>
        <item x="29"/>
        <item x="13"/>
        <item x="4"/>
        <item x="5"/>
        <item x="3"/>
        <item x="9"/>
        <item x="14"/>
        <item x="21"/>
        <item x="15"/>
        <item x="32"/>
        <item x="25"/>
        <item x="8"/>
        <item x="7"/>
        <item m="1" x="33"/>
        <item t="default"/>
      </items>
    </pivotField>
    <pivotField axis="axisPage" showAll="0">
      <items count="6">
        <item x="4"/>
        <item x="2"/>
        <item x="0"/>
        <item x="1"/>
        <item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s>
  <rowFields count="1">
    <field x="0"/>
  </rowFields>
  <rowItems count="6">
    <i>
      <x v="1"/>
    </i>
    <i>
      <x v="3"/>
    </i>
    <i>
      <x v="14"/>
    </i>
    <i>
      <x v="16"/>
    </i>
    <i>
      <x v="29"/>
    </i>
    <i t="grand">
      <x/>
    </i>
  </rowItems>
  <colFields count="1">
    <field x="-2"/>
  </colFields>
  <colItems count="4">
    <i>
      <x/>
    </i>
    <i i="1">
      <x v="1"/>
    </i>
    <i i="2">
      <x v="2"/>
    </i>
    <i i="3">
      <x v="3"/>
    </i>
  </colItems>
  <pageFields count="1">
    <pageField fld="1" item="4" hier="-1"/>
  </pageFields>
  <dataFields count="4">
    <dataField name="Total distance (m)" fld="3" subtotal="average" baseField="0" baseItem="7" numFmtId="1"/>
    <dataField name="HSR Distance (m) " fld="4" subtotal="average" baseField="0" baseItem="7" numFmtId="1"/>
    <dataField name="Accelerations (n)" fld="6" subtotal="average" baseField="0" baseItem="7" numFmtId="1"/>
    <dataField name="Deaccelerations (n)" fld="5" subtotal="average" baseField="0" baseItem="7" numFmtId="1"/>
  </dataFields>
  <formats count="43">
    <format dxfId="128">
      <pivotArea outline="0" collapsedLevelsAreSubtotals="1" fieldPosition="0">
        <references count="1">
          <reference field="4294967294" count="1" selected="0">
            <x v="0"/>
          </reference>
        </references>
      </pivotArea>
    </format>
    <format dxfId="127">
      <pivotArea dataOnly="0" labelOnly="1" outline="0" fieldPosition="0">
        <references count="1">
          <reference field="4294967294" count="1">
            <x v="0"/>
          </reference>
        </references>
      </pivotArea>
    </format>
    <format dxfId="126">
      <pivotArea outline="0" collapsedLevelsAreSubtotals="1" fieldPosition="0">
        <references count="1">
          <reference field="4294967294" count="1" selected="0">
            <x v="0"/>
          </reference>
        </references>
      </pivotArea>
    </format>
    <format dxfId="125">
      <pivotArea dataOnly="0" labelOnly="1" outline="0" fieldPosition="0">
        <references count="1">
          <reference field="4294967294" count="1">
            <x v="0"/>
          </reference>
        </references>
      </pivotArea>
    </format>
    <format dxfId="124">
      <pivotArea outline="0" collapsedLevelsAreSubtotals="1" fieldPosition="0">
        <references count="1">
          <reference field="4294967294" count="1" selected="0">
            <x v="1"/>
          </reference>
        </references>
      </pivotArea>
    </format>
    <format dxfId="123">
      <pivotArea dataOnly="0" labelOnly="1" outline="0" fieldPosition="0">
        <references count="1">
          <reference field="4294967294" count="1">
            <x v="1"/>
          </reference>
        </references>
      </pivotArea>
    </format>
    <format dxfId="122">
      <pivotArea dataOnly="0" outline="0" fieldPosition="0">
        <references count="2">
          <reference field="4294967294" count="1">
            <x v="3"/>
          </reference>
          <reference field="1" count="1" selected="0">
            <x v="1"/>
          </reference>
        </references>
      </pivotArea>
    </format>
    <format dxfId="121">
      <pivotArea outline="0" collapsedLevelsAreSubtotals="1" fieldPosition="0">
        <references count="1">
          <reference field="4294967294" count="1" selected="0">
            <x v="3"/>
          </reference>
        </references>
      </pivotArea>
    </format>
    <format dxfId="120">
      <pivotArea dataOnly="0" labelOnly="1" outline="0" fieldPosition="0">
        <references count="1">
          <reference field="4294967294" count="1">
            <x v="3"/>
          </reference>
        </references>
      </pivotArea>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2"/>
          </reference>
        </references>
      </pivotArea>
    </format>
    <format dxfId="116">
      <pivotArea dataOnly="0" labelOnly="1" outline="0" fieldPosition="0">
        <references count="1">
          <reference field="4294967294" count="1">
            <x v="2"/>
          </reference>
        </references>
      </pivotArea>
    </format>
    <format dxfId="115">
      <pivotArea outline="0" collapsedLevelsAreSubtotals="1" fieldPosition="0">
        <references count="1">
          <reference field="4294967294" count="1" selected="0">
            <x v="2"/>
          </reference>
        </references>
      </pivotArea>
    </format>
    <format dxfId="114">
      <pivotArea dataOnly="0" labelOnly="1" outline="0" fieldPosition="0">
        <references count="1">
          <reference field="4294967294" count="1">
            <x v="2"/>
          </reference>
        </references>
      </pivotArea>
    </format>
    <format dxfId="113">
      <pivotArea outline="0" collapsedLevelsAreSubtotals="1" fieldPosition="0">
        <references count="1">
          <reference field="4294967294" count="1" selected="0">
            <x v="2"/>
          </reference>
        </references>
      </pivotArea>
    </format>
    <format dxfId="112">
      <pivotArea dataOnly="0" labelOnly="1" outline="0" fieldPosition="0">
        <references count="1">
          <reference field="4294967294" count="1">
            <x v="2"/>
          </reference>
        </references>
      </pivotArea>
    </format>
    <format dxfId="111">
      <pivotArea outline="0" collapsedLevelsAreSubtotals="1" fieldPosition="0">
        <references count="1">
          <reference field="4294967294" count="1" selected="0">
            <x v="1"/>
          </reference>
        </references>
      </pivotArea>
    </format>
    <format dxfId="110">
      <pivotArea dataOnly="0" labelOnly="1" outline="0" fieldPosition="0">
        <references count="1">
          <reference field="4294967294" count="1">
            <x v="1"/>
          </reference>
        </references>
      </pivotArea>
    </format>
    <format dxfId="109">
      <pivotArea outline="0" collapsedLevelsAreSubtotals="1" fieldPosition="0">
        <references count="1">
          <reference field="4294967294" count="1" selected="0">
            <x v="1"/>
          </reference>
        </references>
      </pivotArea>
    </format>
    <format dxfId="108">
      <pivotArea dataOnly="0" labelOnly="1" outline="0" fieldPosition="0">
        <references count="1">
          <reference field="4294967294" count="1">
            <x v="1"/>
          </reference>
        </references>
      </pivotArea>
    </format>
    <format dxfId="107">
      <pivotArea outline="0" collapsedLevelsAreSubtotals="1" fieldPosition="0">
        <references count="1">
          <reference field="4294967294" count="1" selected="0">
            <x v="1"/>
          </reference>
        </references>
      </pivotArea>
    </format>
    <format dxfId="106">
      <pivotArea dataOnly="0" labelOnly="1" outline="0" fieldPosition="0">
        <references count="1">
          <reference field="4294967294" count="1">
            <x v="1"/>
          </reference>
        </references>
      </pivotArea>
    </format>
    <format dxfId="105">
      <pivotArea outline="0" collapsedLevelsAreSubtotals="1" fieldPosition="0">
        <references count="1">
          <reference field="4294967294" count="2" selected="0">
            <x v="2"/>
            <x v="3"/>
          </reference>
        </references>
      </pivotArea>
    </format>
    <format dxfId="104">
      <pivotArea dataOnly="0" labelOnly="1" outline="0" fieldPosition="0">
        <references count="1">
          <reference field="4294967294" count="2">
            <x v="2"/>
            <x v="3"/>
          </reference>
        </references>
      </pivotArea>
    </format>
    <format dxfId="103">
      <pivotArea dataOnly="0" labelOnly="1" outline="0" fieldPosition="0">
        <references count="1">
          <reference field="4294967294" count="1">
            <x v="2"/>
          </reference>
        </references>
      </pivotArea>
    </format>
    <format dxfId="102">
      <pivotArea field="1" type="button" dataOnly="0" labelOnly="1" outline="0" axis="axisPage" fieldPosition="0"/>
    </format>
    <format dxfId="101">
      <pivotArea dataOnly="0" labelOnly="1" outline="0" fieldPosition="0">
        <references count="1">
          <reference field="1" count="1">
            <x v="1"/>
          </reference>
        </references>
      </pivotArea>
    </format>
    <format dxfId="100">
      <pivotArea dataOnly="0" labelOnly="1" outline="0" fieldPosition="0">
        <references count="1">
          <reference field="1" count="1">
            <x v="1"/>
          </reference>
        </references>
      </pivotArea>
    </format>
    <format dxfId="99">
      <pivotArea field="1" type="button" dataOnly="0" labelOnly="1" outline="0" axis="axisPage" fieldPosition="0"/>
    </format>
    <format dxfId="98">
      <pivotArea field="1" type="button" dataOnly="0" labelOnly="1" outline="0" axis="axisPage" fieldPosition="0"/>
    </format>
    <format dxfId="97">
      <pivotArea field="0" type="button" dataOnly="0" labelOnly="1" outline="0" axis="axisRow" fieldPosition="0"/>
    </format>
    <format dxfId="96">
      <pivotArea dataOnly="0" labelOnly="1" outline="0" fieldPosition="0">
        <references count="1">
          <reference field="4294967294" count="4">
            <x v="0"/>
            <x v="1"/>
            <x v="2"/>
            <x v="3"/>
          </reference>
        </references>
      </pivotArea>
    </format>
    <format dxfId="95">
      <pivotArea field="0" type="button" dataOnly="0" labelOnly="1" outline="0" axis="axisRow" fieldPosition="0"/>
    </format>
    <format dxfId="94">
      <pivotArea dataOnly="0" labelOnly="1" outline="0" fieldPosition="0">
        <references count="1">
          <reference field="4294967294" count="4">
            <x v="0"/>
            <x v="1"/>
            <x v="2"/>
            <x v="3"/>
          </reference>
        </references>
      </pivotArea>
    </format>
    <format dxfId="93">
      <pivotArea grandRow="1" outline="0" collapsedLevelsAreSubtotals="1" fieldPosition="0"/>
    </format>
    <format dxfId="92">
      <pivotArea dataOnly="0" labelOnly="1" grandRow="1" outline="0" fieldPosition="0"/>
    </format>
    <format dxfId="91">
      <pivotArea grandRow="1" outline="0" collapsedLevelsAreSubtotals="1" fieldPosition="0"/>
    </format>
    <format dxfId="90">
      <pivotArea dataOnly="0" labelOnly="1" grandRow="1" outline="0" fieldPosition="0"/>
    </format>
    <format dxfId="89">
      <pivotArea outline="0" collapsedLevelsAreSubtotals="1" fieldPosition="0">
        <references count="1">
          <reference field="4294967294" count="1" selected="0">
            <x v="0"/>
          </reference>
        </references>
      </pivotArea>
    </format>
    <format dxfId="88">
      <pivotArea outline="0" collapsedLevelsAreSubtotals="1" fieldPosition="0">
        <references count="1">
          <reference field="4294967294" count="1" selected="0">
            <x v="0"/>
          </reference>
        </references>
      </pivotArea>
    </format>
    <format dxfId="87">
      <pivotArea dataOnly="0" labelOnly="1" outline="0" fieldPosition="0">
        <references count="1">
          <reference field="1" count="1">
            <x v="4"/>
          </reference>
        </references>
      </pivotArea>
    </format>
    <format dxfId="86">
      <pivotArea dataOnly="0" labelOnly="1" outline="0" fieldPosition="0">
        <references count="1">
          <reference field="1"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MIDsummary" cacheId="0" applyNumberFormats="0" applyBorderFormats="0" applyFontFormats="0" applyPatternFormats="0" applyAlignmentFormats="0" applyWidthHeightFormats="1" dataCaption="Values" grandTotalCaption="Average" updatedVersion="6" minRefreshableVersion="3" useAutoFormatting="1" itemPrintTitles="1" createdVersion="6" indent="0" outline="1" outlineData="1" multipleFieldFilters="0" rowHeaderCaption="Player Names">
  <location ref="H9:L19" firstHeaderRow="0" firstDataRow="1" firstDataCol="1" rowPageCount="1" colPageCount="1"/>
  <pivotFields count="24">
    <pivotField axis="axisRow" showAll="0">
      <items count="35">
        <item x="24"/>
        <item x="18"/>
        <item x="23"/>
        <item x="26"/>
        <item x="10"/>
        <item x="17"/>
        <item x="2"/>
        <item x="30"/>
        <item x="19"/>
        <item x="28"/>
        <item x="6"/>
        <item x="27"/>
        <item x="16"/>
        <item x="12"/>
        <item x="11"/>
        <item x="22"/>
        <item x="31"/>
        <item x="20"/>
        <item x="0"/>
        <item x="1"/>
        <item x="29"/>
        <item x="13"/>
        <item x="4"/>
        <item x="5"/>
        <item x="3"/>
        <item x="9"/>
        <item x="14"/>
        <item x="21"/>
        <item x="15"/>
        <item x="32"/>
        <item x="25"/>
        <item x="8"/>
        <item x="7"/>
        <item m="1" x="33"/>
        <item t="default"/>
      </items>
    </pivotField>
    <pivotField axis="axisPage" showAll="0">
      <items count="6">
        <item x="4"/>
        <item x="2"/>
        <item x="0"/>
        <item x="1"/>
        <item x="3"/>
        <item t="default"/>
      </items>
    </pivotField>
    <pivotField numFmtId="14" showAll="0">
      <items count="63">
        <item h="1" x="0"/>
        <item h="1" x="1"/>
        <item h="1" x="2"/>
        <item h="1" x="3"/>
        <item h="1" x="4"/>
        <item h="1" x="5"/>
        <item h="1" x="6"/>
        <item h="1" x="7"/>
        <item h="1" x="8"/>
        <item h="1" x="9"/>
        <item h="1" x="10"/>
        <item h="1" x="11"/>
        <item h="1" x="12"/>
        <item h="1" x="13"/>
        <item h="1" x="14"/>
        <item h="1" x="15"/>
        <item h="1" x="17"/>
        <item h="1" x="16"/>
        <item h="1" x="18"/>
        <item h="1" x="19"/>
        <item h="1" x="20"/>
        <item h="1" x="21"/>
        <item h="1" x="22"/>
        <item h="1" m="1" x="61"/>
        <item h="1" m="1" x="60"/>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x="59"/>
        <item t="default"/>
      </items>
    </pivotField>
    <pivotField dataField="1" numFmtId="1" showAll="0"/>
    <pivotField dataField="1" numFmtId="1" showAll="0"/>
    <pivotField dataField="1" numFmtId="1" showAll="0"/>
    <pivotField dataField="1" numFmtId="1" showAll="0"/>
    <pivotField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 numFmtId="1" showAll="0"/>
  </pivotFields>
  <rowFields count="1">
    <field x="0"/>
  </rowFields>
  <rowItems count="10">
    <i>
      <x v="5"/>
    </i>
    <i>
      <x v="11"/>
    </i>
    <i>
      <x v="15"/>
    </i>
    <i>
      <x v="18"/>
    </i>
    <i>
      <x v="21"/>
    </i>
    <i>
      <x v="22"/>
    </i>
    <i>
      <x v="26"/>
    </i>
    <i>
      <x v="28"/>
    </i>
    <i>
      <x v="30"/>
    </i>
    <i t="grand">
      <x/>
    </i>
  </rowItems>
  <colFields count="1">
    <field x="-2"/>
  </colFields>
  <colItems count="4">
    <i>
      <x/>
    </i>
    <i i="1">
      <x v="1"/>
    </i>
    <i i="2">
      <x v="2"/>
    </i>
    <i i="3">
      <x v="3"/>
    </i>
  </colItems>
  <pageFields count="1">
    <pageField fld="1" item="2" hier="-1"/>
  </pageFields>
  <dataFields count="4">
    <dataField name="Total distance (m)" fld="3" subtotal="average" baseField="0" baseItem="7" numFmtId="1"/>
    <dataField name="HSR Distance (m) " fld="4" subtotal="average" baseField="0" baseItem="7" numFmtId="1"/>
    <dataField name="Accelerations (n)" fld="6" subtotal="average" baseField="0" baseItem="7" numFmtId="1"/>
    <dataField name="Deaccelerations (n)" fld="5" subtotal="average" baseField="0" baseItem="7" numFmtId="1"/>
  </dataFields>
  <formats count="43">
    <format dxfId="171">
      <pivotArea outline="0" collapsedLevelsAreSubtotals="1" fieldPosition="0">
        <references count="1">
          <reference field="4294967294" count="1" selected="0">
            <x v="0"/>
          </reference>
        </references>
      </pivotArea>
    </format>
    <format dxfId="170">
      <pivotArea dataOnly="0" labelOnly="1" outline="0" fieldPosition="0">
        <references count="1">
          <reference field="4294967294" count="1">
            <x v="0"/>
          </reference>
        </references>
      </pivotArea>
    </format>
    <format dxfId="169">
      <pivotArea outline="0" collapsedLevelsAreSubtotals="1" fieldPosition="0">
        <references count="1">
          <reference field="4294967294" count="1" selected="0">
            <x v="0"/>
          </reference>
        </references>
      </pivotArea>
    </format>
    <format dxfId="168">
      <pivotArea dataOnly="0" labelOnly="1" outline="0" fieldPosition="0">
        <references count="1">
          <reference field="4294967294" count="1">
            <x v="0"/>
          </reference>
        </references>
      </pivotArea>
    </format>
    <format dxfId="167">
      <pivotArea outline="0" collapsedLevelsAreSubtotals="1" fieldPosition="0">
        <references count="1">
          <reference field="4294967294" count="1" selected="0">
            <x v="1"/>
          </reference>
        </references>
      </pivotArea>
    </format>
    <format dxfId="166">
      <pivotArea dataOnly="0" labelOnly="1" outline="0" fieldPosition="0">
        <references count="1">
          <reference field="4294967294" count="1">
            <x v="1"/>
          </reference>
        </references>
      </pivotArea>
    </format>
    <format dxfId="165">
      <pivotArea dataOnly="0" outline="0" fieldPosition="0">
        <references count="2">
          <reference field="4294967294" count="1">
            <x v="3"/>
          </reference>
          <reference field="1" count="1" selected="0">
            <x v="1"/>
          </reference>
        </references>
      </pivotArea>
    </format>
    <format dxfId="164">
      <pivotArea outline="0" collapsedLevelsAreSubtotals="1" fieldPosition="0">
        <references count="1">
          <reference field="4294967294" count="1" selected="0">
            <x v="3"/>
          </reference>
        </references>
      </pivotArea>
    </format>
    <format dxfId="163">
      <pivotArea dataOnly="0" labelOnly="1" outline="0" fieldPosition="0">
        <references count="1">
          <reference field="4294967294" count="1">
            <x v="3"/>
          </reference>
        </references>
      </pivotArea>
    </format>
    <format dxfId="162">
      <pivotArea outline="0" collapsedLevelsAreSubtotals="1" fieldPosition="0">
        <references count="1">
          <reference field="4294967294" count="1" selected="0">
            <x v="3"/>
          </reference>
        </references>
      </pivotArea>
    </format>
    <format dxfId="161">
      <pivotArea dataOnly="0" labelOnly="1" outline="0" fieldPosition="0">
        <references count="1">
          <reference field="4294967294" count="1">
            <x v="3"/>
          </reference>
        </references>
      </pivotArea>
    </format>
    <format dxfId="160">
      <pivotArea outline="0" collapsedLevelsAreSubtotals="1" fieldPosition="0">
        <references count="1">
          <reference field="4294967294" count="1" selected="0">
            <x v="2"/>
          </reference>
        </references>
      </pivotArea>
    </format>
    <format dxfId="159">
      <pivotArea dataOnly="0" labelOnly="1" outline="0" fieldPosition="0">
        <references count="1">
          <reference field="4294967294" count="1">
            <x v="2"/>
          </reference>
        </references>
      </pivotArea>
    </format>
    <format dxfId="158">
      <pivotArea outline="0" collapsedLevelsAreSubtotals="1" fieldPosition="0">
        <references count="1">
          <reference field="4294967294" count="1" selected="0">
            <x v="2"/>
          </reference>
        </references>
      </pivotArea>
    </format>
    <format dxfId="157">
      <pivotArea dataOnly="0" labelOnly="1" outline="0" fieldPosition="0">
        <references count="1">
          <reference field="4294967294" count="1">
            <x v="2"/>
          </reference>
        </references>
      </pivotArea>
    </format>
    <format dxfId="156">
      <pivotArea outline="0" collapsedLevelsAreSubtotals="1" fieldPosition="0">
        <references count="1">
          <reference field="4294967294" count="1" selected="0">
            <x v="2"/>
          </reference>
        </references>
      </pivotArea>
    </format>
    <format dxfId="155">
      <pivotArea dataOnly="0" labelOnly="1" outline="0" fieldPosition="0">
        <references count="1">
          <reference field="4294967294" count="1">
            <x v="2"/>
          </reference>
        </references>
      </pivotArea>
    </format>
    <format dxfId="154">
      <pivotArea outline="0" collapsedLevelsAreSubtotals="1" fieldPosition="0">
        <references count="1">
          <reference field="4294967294" count="1" selected="0">
            <x v="1"/>
          </reference>
        </references>
      </pivotArea>
    </format>
    <format dxfId="153">
      <pivotArea dataOnly="0" labelOnly="1" outline="0" fieldPosition="0">
        <references count="1">
          <reference field="4294967294" count="1">
            <x v="1"/>
          </reference>
        </references>
      </pivotArea>
    </format>
    <format dxfId="152">
      <pivotArea outline="0" collapsedLevelsAreSubtotals="1" fieldPosition="0">
        <references count="1">
          <reference field="4294967294" count="1" selected="0">
            <x v="1"/>
          </reference>
        </references>
      </pivotArea>
    </format>
    <format dxfId="151">
      <pivotArea dataOnly="0" labelOnly="1" outline="0" fieldPosition="0">
        <references count="1">
          <reference field="4294967294" count="1">
            <x v="1"/>
          </reference>
        </references>
      </pivotArea>
    </format>
    <format dxfId="150">
      <pivotArea outline="0" collapsedLevelsAreSubtotals="1" fieldPosition="0">
        <references count="1">
          <reference field="4294967294" count="1" selected="0">
            <x v="1"/>
          </reference>
        </references>
      </pivotArea>
    </format>
    <format dxfId="149">
      <pivotArea dataOnly="0" labelOnly="1" outline="0" fieldPosition="0">
        <references count="1">
          <reference field="4294967294" count="1">
            <x v="1"/>
          </reference>
        </references>
      </pivotArea>
    </format>
    <format dxfId="148">
      <pivotArea outline="0" collapsedLevelsAreSubtotals="1" fieldPosition="0">
        <references count="1">
          <reference field="4294967294" count="2" selected="0">
            <x v="2"/>
            <x v="3"/>
          </reference>
        </references>
      </pivotArea>
    </format>
    <format dxfId="147">
      <pivotArea dataOnly="0" labelOnly="1" outline="0" fieldPosition="0">
        <references count="1">
          <reference field="4294967294" count="2">
            <x v="2"/>
            <x v="3"/>
          </reference>
        </references>
      </pivotArea>
    </format>
    <format dxfId="146">
      <pivotArea dataOnly="0" labelOnly="1" outline="0" fieldPosition="0">
        <references count="1">
          <reference field="4294967294" count="1">
            <x v="2"/>
          </reference>
        </references>
      </pivotArea>
    </format>
    <format dxfId="145">
      <pivotArea field="1" type="button" dataOnly="0" labelOnly="1" outline="0" axis="axisPage" fieldPosition="0"/>
    </format>
    <format dxfId="144">
      <pivotArea dataOnly="0" labelOnly="1" outline="0" fieldPosition="0">
        <references count="1">
          <reference field="1" count="1">
            <x v="1"/>
          </reference>
        </references>
      </pivotArea>
    </format>
    <format dxfId="143">
      <pivotArea dataOnly="0" labelOnly="1" outline="0" fieldPosition="0">
        <references count="1">
          <reference field="1" count="1">
            <x v="1"/>
          </reference>
        </references>
      </pivotArea>
    </format>
    <format dxfId="142">
      <pivotArea field="1" type="button" dataOnly="0" labelOnly="1" outline="0" axis="axisPage" fieldPosition="0"/>
    </format>
    <format dxfId="141">
      <pivotArea field="1" type="button" dataOnly="0" labelOnly="1" outline="0" axis="axisPage" fieldPosition="0"/>
    </format>
    <format dxfId="140">
      <pivotArea field="0" type="button" dataOnly="0" labelOnly="1" outline="0" axis="axisRow" fieldPosition="0"/>
    </format>
    <format dxfId="139">
      <pivotArea dataOnly="0" labelOnly="1" outline="0" fieldPosition="0">
        <references count="1">
          <reference field="4294967294" count="4">
            <x v="0"/>
            <x v="1"/>
            <x v="2"/>
            <x v="3"/>
          </reference>
        </references>
      </pivotArea>
    </format>
    <format dxfId="138">
      <pivotArea field="0" type="button" dataOnly="0" labelOnly="1" outline="0" axis="axisRow" fieldPosition="0"/>
    </format>
    <format dxfId="137">
      <pivotArea dataOnly="0" labelOnly="1" outline="0" fieldPosition="0">
        <references count="1">
          <reference field="4294967294" count="4">
            <x v="0"/>
            <x v="1"/>
            <x v="2"/>
            <x v="3"/>
          </reference>
        </references>
      </pivotArea>
    </format>
    <format dxfId="136">
      <pivotArea grandRow="1" outline="0" collapsedLevelsAreSubtotals="1" fieldPosition="0"/>
    </format>
    <format dxfId="135">
      <pivotArea dataOnly="0" labelOnly="1" grandRow="1" outline="0" fieldPosition="0"/>
    </format>
    <format dxfId="134">
      <pivotArea grandRow="1" outline="0" collapsedLevelsAreSubtotals="1" fieldPosition="0"/>
    </format>
    <format dxfId="133">
      <pivotArea dataOnly="0" labelOnly="1" grandRow="1" outline="0" fieldPosition="0"/>
    </format>
    <format dxfId="132">
      <pivotArea outline="0" collapsedLevelsAreSubtotals="1" fieldPosition="0">
        <references count="1">
          <reference field="4294967294" count="1" selected="0">
            <x v="0"/>
          </reference>
        </references>
      </pivotArea>
    </format>
    <format dxfId="131">
      <pivotArea outline="0" collapsedLevelsAreSubtotals="1" fieldPosition="0">
        <references count="1">
          <reference field="4294967294" count="1" selected="0">
            <x v="0"/>
          </reference>
        </references>
      </pivotArea>
    </format>
    <format dxfId="130">
      <pivotArea dataOnly="0" labelOnly="1" outline="0" fieldPosition="0">
        <references count="1">
          <reference field="1" count="1">
            <x v="2"/>
          </reference>
        </references>
      </pivotArea>
    </format>
    <format dxfId="129">
      <pivotArea dataOnly="0" labelOnly="1" outline="0" fieldPosition="0">
        <references count="1">
          <reference field="1"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
  <pivotTables>
    <pivotTable tabId="28" name="WINGERS"/>
    <pivotTable tabId="28" name="DEFENDERS "/>
    <pivotTable tabId="28" name="MIDFIELDERS"/>
    <pivotTable tabId="28" name="STRIKERS "/>
    <pivotTable tabId="28" name="summary defenders "/>
    <pivotTable tabId="28" name="summary midfielders"/>
    <pivotTable tabId="28" name="summary strrikers"/>
    <pivotTable tabId="28" name="summary wingers "/>
    <pivotTable tabId="32" name="DEFsummary"/>
    <pivotTable tabId="32" name="MIDsummary"/>
    <pivotTable tabId="32" name="Strikersummary"/>
    <pivotTable tabId="32" name="Wingersummary"/>
  </pivotTables>
  <data>
    <tabular pivotCacheId="1">
      <items count="62">
        <i x="0"/>
        <i x="1"/>
        <i x="2"/>
        <i x="3"/>
        <i x="4"/>
        <i x="5"/>
        <i x="6"/>
        <i x="7"/>
        <i x="8"/>
        <i x="9"/>
        <i x="10"/>
        <i x="11"/>
        <i x="12"/>
        <i x="13"/>
        <i x="14"/>
        <i x="15"/>
        <i x="17"/>
        <i x="16"/>
        <i x="18"/>
        <i x="19"/>
        <i x="20"/>
        <i x="21"/>
        <i x="22"/>
        <i x="23"/>
        <i x="24"/>
        <i x="25"/>
        <i x="26"/>
        <i x="27"/>
        <i x="28"/>
        <i x="29"/>
        <i x="30"/>
        <i x="31"/>
        <i x="32"/>
        <i x="33"/>
        <i x="34"/>
        <i x="35"/>
        <i x="36"/>
        <i x="37"/>
        <i x="38"/>
        <i x="39"/>
        <i x="40"/>
        <i x="41"/>
        <i x="42"/>
        <i x="43"/>
        <i x="44"/>
        <i x="45"/>
        <i x="46"/>
        <i x="47"/>
        <i x="48"/>
        <i x="49"/>
        <i x="50"/>
        <i x="51"/>
        <i x="52"/>
        <i x="53"/>
        <i x="54"/>
        <i x="55"/>
        <i x="56"/>
        <i x="57"/>
        <i x="58"/>
        <i x="59" s="1"/>
        <i x="61" nd="1"/>
        <i x="6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 cache="Slicer_Date" caption="AMATUKS DATES" startItem="51" columnCount="3" rowHeight="241300"/>
</slicers>
</file>

<file path=xl/tables/table1.xml><?xml version="1.0" encoding="utf-8"?>
<table xmlns="http://schemas.openxmlformats.org/spreadsheetml/2006/main" id="3" name="Table3" displayName="Table3" ref="A1:X1420" totalsRowShown="0" headerRowDxfId="226" dataDxfId="225">
  <autoFilter ref="A1:X1420"/>
  <tableColumns count="24">
    <tableColumn id="1" name="Player name" dataDxfId="224"/>
    <tableColumn id="8" name="Position " dataDxfId="223">
      <calculatedColumnFormula>IF(A2="Sihle Gum","Defender",IF(A2="Kenny Langa","Defender",IF(A2="Tshepang Makara","Defender",IF(A2="Tshepiso Mahlangu","Defender",IF(A2="Neo Ramashala","Defender",IF(A2="Keabetswe Nkogatse","Defender",IF(A2="Kaketso Harold Majadibodu","Defender",IF(A2="Samuel Julies","Midfielder",IF(A2="Frank Mpedi","Midfielder",IF(A2="Sapholwethu Kelepu","Midfielder",IF(A2="Manelisi Sithole","Midfielder",IF(A2="Thabiso Mokoena","Midfielder",IF(A2="Khomotso Marebane","Midfielder",IF(A2="Tebogo Mohlamonyane","Midfielder",IF(A2="Thulani Zandamela","Midfielder",IF(A2="Mdevulana Camagu","Midfielder",IF(A2="Promise Mkhuma","Midfielder",IF(A2="Essien Makwarimba","Midfielder",IF(A2="Ayanda Mvambi","Winger",IF(A2="Delano Abrahams","Winger",IF(A2="Thokozani Sekotlong","Winger",IF(A2="Maselaelo Seanego","Winger",IF(A2="Lesedi Motha","Winger",IF(A2="Malekgene Mampuru","Winger",IF(A2="Matome Rangata","Winger",IF(A2="Thabang Sibanyoni","Striker",IF(A2="Tebogo Makungo","Striker",IF(A2="Neo Dikgale","Striker",IF(A2="Kamohelo Pheeane","Striker",IF(A2="Athenkosi Tonisi","Striker",IF(A2="Jesse Francis","Striker","####")))))))))))))))))))))))))))))))</calculatedColumnFormula>
    </tableColumn>
    <tableColumn id="2" name="Date " dataDxfId="222"/>
    <tableColumn id="3" name="Total distance [m]" dataDxfId="221"/>
    <tableColumn id="4" name="Speed zone 5 [m] (25.00- km/h)" dataDxfId="220"/>
    <tableColumn id="5" name="Deaccelerations (-50.00 - -3.00 m/s²)" dataDxfId="219"/>
    <tableColumn id="6" name="Accelerations (3.00 - 50.00 m/s²)" dataDxfId="218"/>
    <tableColumn id="7" name="Exercise Load " dataDxfId="217">
      <calculatedColumnFormula>((((D2*1)+(F2*4)+(E2*3)+(G2*2))))/100</calculatedColumnFormula>
    </tableColumn>
    <tableColumn id="9" name="D - LIGHT" dataDxfId="216">
      <calculatedColumnFormula>'PIVOT TABLES'!$B$26</calculatedColumnFormula>
    </tableColumn>
    <tableColumn id="10" name="D - MODERATE" dataDxfId="215">
      <calculatedColumnFormula>'PIVOT TABLES'!$B$27-'PIVOT TABLES'!$B$26</calculatedColumnFormula>
    </tableColumn>
    <tableColumn id="11" name="D - VIGOROUS" dataDxfId="214">
      <calculatedColumnFormula>'PIVOT TABLES'!$B$28-'PIVOT TABLES'!$B$27</calculatedColumnFormula>
    </tableColumn>
    <tableColumn id="21" name="D - INTENSE " dataDxfId="213">
      <calculatedColumnFormula>200-SUM(Table3[[#This Row],[D - LIGHT]:[D - VIGOROUS]])</calculatedColumnFormula>
    </tableColumn>
    <tableColumn id="12" name="M - LIGHT" dataDxfId="212">
      <calculatedColumnFormula>'PIVOT TABLES'!$I$26</calculatedColumnFormula>
    </tableColumn>
    <tableColumn id="13" name="M - MODERATE" dataDxfId="211">
      <calculatedColumnFormula>'PIVOT TABLES'!$I$27-'PIVOT TABLES'!$I$26</calculatedColumnFormula>
    </tableColumn>
    <tableColumn id="14" name="M - VIGOROUS" dataDxfId="210">
      <calculatedColumnFormula>'PIVOT TABLES'!$I$28-'PIVOT TABLES'!$I$27</calculatedColumnFormula>
    </tableColumn>
    <tableColumn id="22" name="M - INTENSE" dataDxfId="209">
      <calculatedColumnFormula>200-SUM(Table3[[#This Row],[M - LIGHT]:[M - VIGOROUS]])</calculatedColumnFormula>
    </tableColumn>
    <tableColumn id="15" name="W - LIGHT" dataDxfId="208">
      <calculatedColumnFormula>'PIVOT TABLES'!$P$26</calculatedColumnFormula>
    </tableColumn>
    <tableColumn id="16" name="W - MODERATE" dataDxfId="207">
      <calculatedColumnFormula>'PIVOT TABLES'!$P$27-'PIVOT TABLES'!$P$26</calculatedColumnFormula>
    </tableColumn>
    <tableColumn id="17" name="W - VIGOROUS" dataDxfId="206">
      <calculatedColumnFormula>'PIVOT TABLES'!$P$28-'PIVOT TABLES'!$P$27</calculatedColumnFormula>
    </tableColumn>
    <tableColumn id="23" name="W - INTENSE" dataDxfId="205">
      <calculatedColumnFormula>200-SUM(Table3[[#This Row],[W - LIGHT]:[W - VIGOROUS]])</calculatedColumnFormula>
    </tableColumn>
    <tableColumn id="18" name="S - LIGHT" dataDxfId="204">
      <calculatedColumnFormula>'PIVOT TABLES'!$W$26</calculatedColumnFormula>
    </tableColumn>
    <tableColumn id="19" name="S - MODERATE" dataDxfId="203">
      <calculatedColumnFormula>'PIVOT TABLES'!$W$27-'PIVOT TABLES'!$W$26</calculatedColumnFormula>
    </tableColumn>
    <tableColumn id="20" name="S - VIGOROUS" dataDxfId="202">
      <calculatedColumnFormula>'PIVOT TABLES'!$W$28-'PIVOT TABLES'!$W$27</calculatedColumnFormula>
    </tableColumn>
    <tableColumn id="24" name="S - INTENSE" dataDxfId="201">
      <calculatedColumnFormula>200-SUM(Table3[[#This Row],[S - LIGHT]:[S - VIGOROUS]])</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4.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drawing" Target="../drawings/drawing8.xml"/><Relationship Id="rId5" Type="http://schemas.openxmlformats.org/officeDocument/2006/relationships/printerSettings" Target="../printerSettings/printerSettings11.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5"/>
  <sheetViews>
    <sheetView topLeftCell="A14" zoomScale="115" zoomScaleNormal="115" workbookViewId="0">
      <selection activeCell="D25" sqref="D25"/>
    </sheetView>
  </sheetViews>
  <sheetFormatPr defaultColWidth="5.28515625" defaultRowHeight="15" x14ac:dyDescent="0.25"/>
  <cols>
    <col min="1" max="1" width="23.28515625" style="85" customWidth="1"/>
    <col min="2" max="2" width="3.7109375" style="85" customWidth="1"/>
    <col min="3" max="7" width="5.28515625" style="85"/>
    <col min="8" max="8" width="9.5703125" style="85" customWidth="1"/>
    <col min="9" max="9" width="5.28515625" style="85"/>
    <col min="142" max="142" width="3" customWidth="1"/>
    <col min="143" max="143" width="23.85546875" customWidth="1"/>
    <col min="144" max="144" width="2.7109375" customWidth="1"/>
    <col min="145" max="145" width="7.7109375" customWidth="1"/>
    <col min="146" max="146" width="12.85546875" customWidth="1"/>
    <col min="147" max="147" width="7.42578125" customWidth="1"/>
    <col min="148" max="149" width="18.7109375" customWidth="1"/>
    <col min="150" max="150" width="3" customWidth="1"/>
    <col min="151" max="152" width="4.140625" customWidth="1"/>
    <col min="153" max="154" width="3" customWidth="1"/>
    <col min="155" max="155" width="4.140625" customWidth="1"/>
    <col min="156" max="160" width="7.42578125" customWidth="1"/>
    <col min="161" max="161" width="5.140625" customWidth="1"/>
    <col min="162" max="162" width="4.140625" customWidth="1"/>
    <col min="163" max="163" width="4.7109375" customWidth="1"/>
    <col min="164" max="164" width="3.5703125" customWidth="1"/>
    <col min="165" max="165" width="3" customWidth="1"/>
    <col min="166" max="168" width="5.140625" customWidth="1"/>
    <col min="169" max="172" width="4.140625" customWidth="1"/>
    <col min="173" max="173" width="4.7109375" customWidth="1"/>
    <col min="174" max="174" width="5.140625" customWidth="1"/>
    <col min="175" max="175" width="3" customWidth="1"/>
    <col min="176" max="181" width="4.140625" customWidth="1"/>
    <col min="182" max="182" width="3" customWidth="1"/>
    <col min="183" max="187" width="7.42578125" customWidth="1"/>
    <col min="188" max="191" width="3" customWidth="1"/>
    <col min="192" max="194" width="4.140625" customWidth="1"/>
    <col min="195" max="195" width="5.140625" customWidth="1"/>
    <col min="196" max="196" width="4.140625" customWidth="1"/>
    <col min="197" max="197" width="3" customWidth="1"/>
    <col min="398" max="398" width="3" customWidth="1"/>
    <col min="399" max="399" width="23.85546875" customWidth="1"/>
    <col min="400" max="400" width="2.7109375" customWidth="1"/>
    <col min="401" max="401" width="7.7109375" customWidth="1"/>
    <col min="402" max="402" width="12.85546875" customWidth="1"/>
    <col min="403" max="403" width="7.42578125" customWidth="1"/>
    <col min="404" max="405" width="18.7109375" customWidth="1"/>
    <col min="406" max="406" width="3" customWidth="1"/>
    <col min="407" max="408" width="4.140625" customWidth="1"/>
    <col min="409" max="410" width="3" customWidth="1"/>
    <col min="411" max="411" width="4.140625" customWidth="1"/>
    <col min="412" max="416" width="7.42578125" customWidth="1"/>
    <col min="417" max="417" width="5.140625" customWidth="1"/>
    <col min="418" max="418" width="4.140625" customWidth="1"/>
    <col min="419" max="419" width="4.7109375" customWidth="1"/>
    <col min="420" max="420" width="3.5703125" customWidth="1"/>
    <col min="421" max="421" width="3" customWidth="1"/>
    <col min="422" max="424" width="5.140625" customWidth="1"/>
    <col min="425" max="428" width="4.140625" customWidth="1"/>
    <col min="429" max="429" width="4.7109375" customWidth="1"/>
    <col min="430" max="430" width="5.140625" customWidth="1"/>
    <col min="431" max="431" width="3" customWidth="1"/>
    <col min="432" max="437" width="4.140625" customWidth="1"/>
    <col min="438" max="438" width="3" customWidth="1"/>
    <col min="439" max="443" width="7.42578125" customWidth="1"/>
    <col min="444" max="447" width="3" customWidth="1"/>
    <col min="448" max="450" width="4.140625" customWidth="1"/>
    <col min="451" max="451" width="5.140625" customWidth="1"/>
    <col min="452" max="452" width="4.140625" customWidth="1"/>
    <col min="453" max="453" width="3" customWidth="1"/>
    <col min="654" max="654" width="3" customWidth="1"/>
    <col min="655" max="655" width="23.85546875" customWidth="1"/>
    <col min="656" max="656" width="2.7109375" customWidth="1"/>
    <col min="657" max="657" width="7.7109375" customWidth="1"/>
    <col min="658" max="658" width="12.85546875" customWidth="1"/>
    <col min="659" max="659" width="7.42578125" customWidth="1"/>
    <col min="660" max="661" width="18.7109375" customWidth="1"/>
    <col min="662" max="662" width="3" customWidth="1"/>
    <col min="663" max="664" width="4.140625" customWidth="1"/>
    <col min="665" max="666" width="3" customWidth="1"/>
    <col min="667" max="667" width="4.140625" customWidth="1"/>
    <col min="668" max="672" width="7.42578125" customWidth="1"/>
    <col min="673" max="673" width="5.140625" customWidth="1"/>
    <col min="674" max="674" width="4.140625" customWidth="1"/>
    <col min="675" max="675" width="4.7109375" customWidth="1"/>
    <col min="676" max="676" width="3.5703125" customWidth="1"/>
    <col min="677" max="677" width="3" customWidth="1"/>
    <col min="678" max="680" width="5.140625" customWidth="1"/>
    <col min="681" max="684" width="4.140625" customWidth="1"/>
    <col min="685" max="685" width="4.7109375" customWidth="1"/>
    <col min="686" max="686" width="5.140625" customWidth="1"/>
    <col min="687" max="687" width="3" customWidth="1"/>
    <col min="688" max="693" width="4.140625" customWidth="1"/>
    <col min="694" max="694" width="3" customWidth="1"/>
    <col min="695" max="699" width="7.42578125" customWidth="1"/>
    <col min="700" max="703" width="3" customWidth="1"/>
    <col min="704" max="706" width="4.140625" customWidth="1"/>
    <col min="707" max="707" width="5.140625" customWidth="1"/>
    <col min="708" max="708" width="4.140625" customWidth="1"/>
    <col min="709" max="709" width="3" customWidth="1"/>
    <col min="910" max="910" width="3" customWidth="1"/>
    <col min="911" max="911" width="23.85546875" customWidth="1"/>
    <col min="912" max="912" width="2.7109375" customWidth="1"/>
    <col min="913" max="913" width="7.7109375" customWidth="1"/>
    <col min="914" max="914" width="12.85546875" customWidth="1"/>
    <col min="915" max="915" width="7.42578125" customWidth="1"/>
    <col min="916" max="917" width="18.7109375" customWidth="1"/>
    <col min="918" max="918" width="3" customWidth="1"/>
    <col min="919" max="920" width="4.140625" customWidth="1"/>
    <col min="921" max="922" width="3" customWidth="1"/>
    <col min="923" max="923" width="4.140625" customWidth="1"/>
    <col min="924" max="928" width="7.42578125" customWidth="1"/>
    <col min="929" max="929" width="5.140625" customWidth="1"/>
    <col min="930" max="930" width="4.140625" customWidth="1"/>
    <col min="931" max="931" width="4.7109375" customWidth="1"/>
    <col min="932" max="932" width="3.5703125" customWidth="1"/>
    <col min="933" max="933" width="3" customWidth="1"/>
    <col min="934" max="936" width="5.140625" customWidth="1"/>
    <col min="937" max="940" width="4.140625" customWidth="1"/>
    <col min="941" max="941" width="4.7109375" customWidth="1"/>
    <col min="942" max="942" width="5.140625" customWidth="1"/>
    <col min="943" max="943" width="3" customWidth="1"/>
    <col min="944" max="949" width="4.140625" customWidth="1"/>
    <col min="950" max="950" width="3" customWidth="1"/>
    <col min="951" max="955" width="7.42578125" customWidth="1"/>
    <col min="956" max="959" width="3" customWidth="1"/>
    <col min="960" max="962" width="4.140625" customWidth="1"/>
    <col min="963" max="963" width="5.140625" customWidth="1"/>
    <col min="964" max="964" width="4.140625" customWidth="1"/>
    <col min="965" max="965" width="3" customWidth="1"/>
    <col min="1166" max="1166" width="3" customWidth="1"/>
    <col min="1167" max="1167" width="23.85546875" customWidth="1"/>
    <col min="1168" max="1168" width="2.7109375" customWidth="1"/>
    <col min="1169" max="1169" width="7.7109375" customWidth="1"/>
    <col min="1170" max="1170" width="12.85546875" customWidth="1"/>
    <col min="1171" max="1171" width="7.42578125" customWidth="1"/>
    <col min="1172" max="1173" width="18.7109375" customWidth="1"/>
    <col min="1174" max="1174" width="3" customWidth="1"/>
    <col min="1175" max="1176" width="4.140625" customWidth="1"/>
    <col min="1177" max="1178" width="3" customWidth="1"/>
    <col min="1179" max="1179" width="4.140625" customWidth="1"/>
    <col min="1180" max="1184" width="7.42578125" customWidth="1"/>
    <col min="1185" max="1185" width="5.140625" customWidth="1"/>
    <col min="1186" max="1186" width="4.140625" customWidth="1"/>
    <col min="1187" max="1187" width="4.7109375" customWidth="1"/>
    <col min="1188" max="1188" width="3.5703125" customWidth="1"/>
    <col min="1189" max="1189" width="3" customWidth="1"/>
    <col min="1190" max="1192" width="5.140625" customWidth="1"/>
    <col min="1193" max="1196" width="4.140625" customWidth="1"/>
    <col min="1197" max="1197" width="4.7109375" customWidth="1"/>
    <col min="1198" max="1198" width="5.140625" customWidth="1"/>
    <col min="1199" max="1199" width="3" customWidth="1"/>
    <col min="1200" max="1205" width="4.140625" customWidth="1"/>
    <col min="1206" max="1206" width="3" customWidth="1"/>
    <col min="1207" max="1211" width="7.42578125" customWidth="1"/>
    <col min="1212" max="1215" width="3" customWidth="1"/>
    <col min="1216" max="1218" width="4.140625" customWidth="1"/>
    <col min="1219" max="1219" width="5.140625" customWidth="1"/>
    <col min="1220" max="1220" width="4.140625" customWidth="1"/>
    <col min="1221" max="1221" width="3" customWidth="1"/>
    <col min="1422" max="1422" width="3" customWidth="1"/>
    <col min="1423" max="1423" width="23.85546875" customWidth="1"/>
    <col min="1424" max="1424" width="2.7109375" customWidth="1"/>
    <col min="1425" max="1425" width="7.7109375" customWidth="1"/>
    <col min="1426" max="1426" width="12.85546875" customWidth="1"/>
    <col min="1427" max="1427" width="7.42578125" customWidth="1"/>
    <col min="1428" max="1429" width="18.7109375" customWidth="1"/>
    <col min="1430" max="1430" width="3" customWidth="1"/>
    <col min="1431" max="1432" width="4.140625" customWidth="1"/>
    <col min="1433" max="1434" width="3" customWidth="1"/>
    <col min="1435" max="1435" width="4.140625" customWidth="1"/>
    <col min="1436" max="1440" width="7.42578125" customWidth="1"/>
    <col min="1441" max="1441" width="5.140625" customWidth="1"/>
    <col min="1442" max="1442" width="4.140625" customWidth="1"/>
    <col min="1443" max="1443" width="4.7109375" customWidth="1"/>
    <col min="1444" max="1444" width="3.5703125" customWidth="1"/>
    <col min="1445" max="1445" width="3" customWidth="1"/>
    <col min="1446" max="1448" width="5.140625" customWidth="1"/>
    <col min="1449" max="1452" width="4.140625" customWidth="1"/>
    <col min="1453" max="1453" width="4.7109375" customWidth="1"/>
    <col min="1454" max="1454" width="5.140625" customWidth="1"/>
    <col min="1455" max="1455" width="3" customWidth="1"/>
    <col min="1456" max="1461" width="4.140625" customWidth="1"/>
    <col min="1462" max="1462" width="3" customWidth="1"/>
    <col min="1463" max="1467" width="7.42578125" customWidth="1"/>
    <col min="1468" max="1471" width="3" customWidth="1"/>
    <col min="1472" max="1474" width="4.140625" customWidth="1"/>
    <col min="1475" max="1475" width="5.140625" customWidth="1"/>
    <col min="1476" max="1476" width="4.140625" customWidth="1"/>
    <col min="1477" max="1477" width="3" customWidth="1"/>
    <col min="1678" max="1678" width="3" customWidth="1"/>
    <col min="1679" max="1679" width="23.85546875" customWidth="1"/>
    <col min="1680" max="1680" width="2.7109375" customWidth="1"/>
    <col min="1681" max="1681" width="7.7109375" customWidth="1"/>
    <col min="1682" max="1682" width="12.85546875" customWidth="1"/>
    <col min="1683" max="1683" width="7.42578125" customWidth="1"/>
    <col min="1684" max="1685" width="18.7109375" customWidth="1"/>
    <col min="1686" max="1686" width="3" customWidth="1"/>
    <col min="1687" max="1688" width="4.140625" customWidth="1"/>
    <col min="1689" max="1690" width="3" customWidth="1"/>
    <col min="1691" max="1691" width="4.140625" customWidth="1"/>
    <col min="1692" max="1696" width="7.42578125" customWidth="1"/>
    <col min="1697" max="1697" width="5.140625" customWidth="1"/>
    <col min="1698" max="1698" width="4.140625" customWidth="1"/>
    <col min="1699" max="1699" width="4.7109375" customWidth="1"/>
    <col min="1700" max="1700" width="3.5703125" customWidth="1"/>
    <col min="1701" max="1701" width="3" customWidth="1"/>
    <col min="1702" max="1704" width="5.140625" customWidth="1"/>
    <col min="1705" max="1708" width="4.140625" customWidth="1"/>
    <col min="1709" max="1709" width="4.7109375" customWidth="1"/>
    <col min="1710" max="1710" width="5.140625" customWidth="1"/>
    <col min="1711" max="1711" width="3" customWidth="1"/>
    <col min="1712" max="1717" width="4.140625" customWidth="1"/>
    <col min="1718" max="1718" width="3" customWidth="1"/>
    <col min="1719" max="1723" width="7.42578125" customWidth="1"/>
    <col min="1724" max="1727" width="3" customWidth="1"/>
    <col min="1728" max="1730" width="4.140625" customWidth="1"/>
    <col min="1731" max="1731" width="5.140625" customWidth="1"/>
    <col min="1732" max="1732" width="4.140625" customWidth="1"/>
    <col min="1733" max="1733" width="3" customWidth="1"/>
    <col min="1934" max="1934" width="3" customWidth="1"/>
    <col min="1935" max="1935" width="23.85546875" customWidth="1"/>
    <col min="1936" max="1936" width="2.7109375" customWidth="1"/>
    <col min="1937" max="1937" width="7.7109375" customWidth="1"/>
    <col min="1938" max="1938" width="12.85546875" customWidth="1"/>
    <col min="1939" max="1939" width="7.42578125" customWidth="1"/>
    <col min="1940" max="1941" width="18.7109375" customWidth="1"/>
    <col min="1942" max="1942" width="3" customWidth="1"/>
    <col min="1943" max="1944" width="4.140625" customWidth="1"/>
    <col min="1945" max="1946" width="3" customWidth="1"/>
    <col min="1947" max="1947" width="4.140625" customWidth="1"/>
    <col min="1948" max="1952" width="7.42578125" customWidth="1"/>
    <col min="1953" max="1953" width="5.140625" customWidth="1"/>
    <col min="1954" max="1954" width="4.140625" customWidth="1"/>
    <col min="1955" max="1955" width="4.7109375" customWidth="1"/>
    <col min="1956" max="1956" width="3.5703125" customWidth="1"/>
    <col min="1957" max="1957" width="3" customWidth="1"/>
    <col min="1958" max="1960" width="5.140625" customWidth="1"/>
    <col min="1961" max="1964" width="4.140625" customWidth="1"/>
    <col min="1965" max="1965" width="4.7109375" customWidth="1"/>
    <col min="1966" max="1966" width="5.140625" customWidth="1"/>
    <col min="1967" max="1967" width="3" customWidth="1"/>
    <col min="1968" max="1973" width="4.140625" customWidth="1"/>
    <col min="1974" max="1974" width="3" customWidth="1"/>
    <col min="1975" max="1979" width="7.42578125" customWidth="1"/>
    <col min="1980" max="1983" width="3" customWidth="1"/>
    <col min="1984" max="1986" width="4.140625" customWidth="1"/>
    <col min="1987" max="1987" width="5.140625" customWidth="1"/>
    <col min="1988" max="1988" width="4.140625" customWidth="1"/>
    <col min="1989" max="1989" width="3" customWidth="1"/>
    <col min="2190" max="2190" width="3" customWidth="1"/>
    <col min="2191" max="2191" width="23.85546875" customWidth="1"/>
    <col min="2192" max="2192" width="2.7109375" customWidth="1"/>
    <col min="2193" max="2193" width="7.7109375" customWidth="1"/>
    <col min="2194" max="2194" width="12.85546875" customWidth="1"/>
    <col min="2195" max="2195" width="7.42578125" customWidth="1"/>
    <col min="2196" max="2197" width="18.7109375" customWidth="1"/>
    <col min="2198" max="2198" width="3" customWidth="1"/>
    <col min="2199" max="2200" width="4.140625" customWidth="1"/>
    <col min="2201" max="2202" width="3" customWidth="1"/>
    <col min="2203" max="2203" width="4.140625" customWidth="1"/>
    <col min="2204" max="2208" width="7.42578125" customWidth="1"/>
    <col min="2209" max="2209" width="5.140625" customWidth="1"/>
    <col min="2210" max="2210" width="4.140625" customWidth="1"/>
    <col min="2211" max="2211" width="4.7109375" customWidth="1"/>
    <col min="2212" max="2212" width="3.5703125" customWidth="1"/>
    <col min="2213" max="2213" width="3" customWidth="1"/>
    <col min="2214" max="2216" width="5.140625" customWidth="1"/>
    <col min="2217" max="2220" width="4.140625" customWidth="1"/>
    <col min="2221" max="2221" width="4.7109375" customWidth="1"/>
    <col min="2222" max="2222" width="5.140625" customWidth="1"/>
    <col min="2223" max="2223" width="3" customWidth="1"/>
    <col min="2224" max="2229" width="4.140625" customWidth="1"/>
    <col min="2230" max="2230" width="3" customWidth="1"/>
    <col min="2231" max="2235" width="7.42578125" customWidth="1"/>
    <col min="2236" max="2239" width="3" customWidth="1"/>
    <col min="2240" max="2242" width="4.140625" customWidth="1"/>
    <col min="2243" max="2243" width="5.140625" customWidth="1"/>
    <col min="2244" max="2244" width="4.140625" customWidth="1"/>
    <col min="2245" max="2245" width="3" customWidth="1"/>
    <col min="2446" max="2446" width="3" customWidth="1"/>
    <col min="2447" max="2447" width="23.85546875" customWidth="1"/>
    <col min="2448" max="2448" width="2.7109375" customWidth="1"/>
    <col min="2449" max="2449" width="7.7109375" customWidth="1"/>
    <col min="2450" max="2450" width="12.85546875" customWidth="1"/>
    <col min="2451" max="2451" width="7.42578125" customWidth="1"/>
    <col min="2452" max="2453" width="18.7109375" customWidth="1"/>
    <col min="2454" max="2454" width="3" customWidth="1"/>
    <col min="2455" max="2456" width="4.140625" customWidth="1"/>
    <col min="2457" max="2458" width="3" customWidth="1"/>
    <col min="2459" max="2459" width="4.140625" customWidth="1"/>
    <col min="2460" max="2464" width="7.42578125" customWidth="1"/>
    <col min="2465" max="2465" width="5.140625" customWidth="1"/>
    <col min="2466" max="2466" width="4.140625" customWidth="1"/>
    <col min="2467" max="2467" width="4.7109375" customWidth="1"/>
    <col min="2468" max="2468" width="3.5703125" customWidth="1"/>
    <col min="2469" max="2469" width="3" customWidth="1"/>
    <col min="2470" max="2472" width="5.140625" customWidth="1"/>
    <col min="2473" max="2476" width="4.140625" customWidth="1"/>
    <col min="2477" max="2477" width="4.7109375" customWidth="1"/>
    <col min="2478" max="2478" width="5.140625" customWidth="1"/>
    <col min="2479" max="2479" width="3" customWidth="1"/>
    <col min="2480" max="2485" width="4.140625" customWidth="1"/>
    <col min="2486" max="2486" width="3" customWidth="1"/>
    <col min="2487" max="2491" width="7.42578125" customWidth="1"/>
    <col min="2492" max="2495" width="3" customWidth="1"/>
    <col min="2496" max="2498" width="4.140625" customWidth="1"/>
    <col min="2499" max="2499" width="5.140625" customWidth="1"/>
    <col min="2500" max="2500" width="4.140625" customWidth="1"/>
    <col min="2501" max="2501" width="3" customWidth="1"/>
    <col min="2702" max="2702" width="3" customWidth="1"/>
    <col min="2703" max="2703" width="23.85546875" customWidth="1"/>
    <col min="2704" max="2704" width="2.7109375" customWidth="1"/>
    <col min="2705" max="2705" width="7.7109375" customWidth="1"/>
    <col min="2706" max="2706" width="12.85546875" customWidth="1"/>
    <col min="2707" max="2707" width="7.42578125" customWidth="1"/>
    <col min="2708" max="2709" width="18.7109375" customWidth="1"/>
    <col min="2710" max="2710" width="3" customWidth="1"/>
    <col min="2711" max="2712" width="4.140625" customWidth="1"/>
    <col min="2713" max="2714" width="3" customWidth="1"/>
    <col min="2715" max="2715" width="4.140625" customWidth="1"/>
    <col min="2716" max="2720" width="7.42578125" customWidth="1"/>
    <col min="2721" max="2721" width="5.140625" customWidth="1"/>
    <col min="2722" max="2722" width="4.140625" customWidth="1"/>
    <col min="2723" max="2723" width="4.7109375" customWidth="1"/>
    <col min="2724" max="2724" width="3.5703125" customWidth="1"/>
    <col min="2725" max="2725" width="3" customWidth="1"/>
    <col min="2726" max="2728" width="5.140625" customWidth="1"/>
    <col min="2729" max="2732" width="4.140625" customWidth="1"/>
    <col min="2733" max="2733" width="4.7109375" customWidth="1"/>
    <col min="2734" max="2734" width="5.140625" customWidth="1"/>
    <col min="2735" max="2735" width="3" customWidth="1"/>
    <col min="2736" max="2741" width="4.140625" customWidth="1"/>
    <col min="2742" max="2742" width="3" customWidth="1"/>
    <col min="2743" max="2747" width="7.42578125" customWidth="1"/>
    <col min="2748" max="2751" width="3" customWidth="1"/>
    <col min="2752" max="2754" width="4.140625" customWidth="1"/>
    <col min="2755" max="2755" width="5.140625" customWidth="1"/>
    <col min="2756" max="2756" width="4.140625" customWidth="1"/>
    <col min="2757" max="2757" width="3" customWidth="1"/>
    <col min="2958" max="2958" width="3" customWidth="1"/>
    <col min="2959" max="2959" width="23.85546875" customWidth="1"/>
    <col min="2960" max="2960" width="2.7109375" customWidth="1"/>
    <col min="2961" max="2961" width="7.7109375" customWidth="1"/>
    <col min="2962" max="2962" width="12.85546875" customWidth="1"/>
    <col min="2963" max="2963" width="7.42578125" customWidth="1"/>
    <col min="2964" max="2965" width="18.7109375" customWidth="1"/>
    <col min="2966" max="2966" width="3" customWidth="1"/>
    <col min="2967" max="2968" width="4.140625" customWidth="1"/>
    <col min="2969" max="2970" width="3" customWidth="1"/>
    <col min="2971" max="2971" width="4.140625" customWidth="1"/>
    <col min="2972" max="2976" width="7.42578125" customWidth="1"/>
    <col min="2977" max="2977" width="5.140625" customWidth="1"/>
    <col min="2978" max="2978" width="4.140625" customWidth="1"/>
    <col min="2979" max="2979" width="4.7109375" customWidth="1"/>
    <col min="2980" max="2980" width="3.5703125" customWidth="1"/>
    <col min="2981" max="2981" width="3" customWidth="1"/>
    <col min="2982" max="2984" width="5.140625" customWidth="1"/>
    <col min="2985" max="2988" width="4.140625" customWidth="1"/>
    <col min="2989" max="2989" width="4.7109375" customWidth="1"/>
    <col min="2990" max="2990" width="5.140625" customWidth="1"/>
    <col min="2991" max="2991" width="3" customWidth="1"/>
    <col min="2992" max="2997" width="4.140625" customWidth="1"/>
    <col min="2998" max="2998" width="3" customWidth="1"/>
    <col min="2999" max="3003" width="7.42578125" customWidth="1"/>
    <col min="3004" max="3007" width="3" customWidth="1"/>
    <col min="3008" max="3010" width="4.140625" customWidth="1"/>
    <col min="3011" max="3011" width="5.140625" customWidth="1"/>
    <col min="3012" max="3012" width="4.140625" customWidth="1"/>
    <col min="3013" max="3013" width="3" customWidth="1"/>
    <col min="3214" max="3214" width="3" customWidth="1"/>
    <col min="3215" max="3215" width="23.85546875" customWidth="1"/>
    <col min="3216" max="3216" width="2.7109375" customWidth="1"/>
    <col min="3217" max="3217" width="7.7109375" customWidth="1"/>
    <col min="3218" max="3218" width="12.85546875" customWidth="1"/>
    <col min="3219" max="3219" width="7.42578125" customWidth="1"/>
    <col min="3220" max="3221" width="18.7109375" customWidth="1"/>
    <col min="3222" max="3222" width="3" customWidth="1"/>
    <col min="3223" max="3224" width="4.140625" customWidth="1"/>
    <col min="3225" max="3226" width="3" customWidth="1"/>
    <col min="3227" max="3227" width="4.140625" customWidth="1"/>
    <col min="3228" max="3232" width="7.42578125" customWidth="1"/>
    <col min="3233" max="3233" width="5.140625" customWidth="1"/>
    <col min="3234" max="3234" width="4.140625" customWidth="1"/>
    <col min="3235" max="3235" width="4.7109375" customWidth="1"/>
    <col min="3236" max="3236" width="3.5703125" customWidth="1"/>
    <col min="3237" max="3237" width="3" customWidth="1"/>
    <col min="3238" max="3240" width="5.140625" customWidth="1"/>
    <col min="3241" max="3244" width="4.140625" customWidth="1"/>
    <col min="3245" max="3245" width="4.7109375" customWidth="1"/>
    <col min="3246" max="3246" width="5.140625" customWidth="1"/>
    <col min="3247" max="3247" width="3" customWidth="1"/>
    <col min="3248" max="3253" width="4.140625" customWidth="1"/>
    <col min="3254" max="3254" width="3" customWidth="1"/>
    <col min="3255" max="3259" width="7.42578125" customWidth="1"/>
    <col min="3260" max="3263" width="3" customWidth="1"/>
    <col min="3264" max="3266" width="4.140625" customWidth="1"/>
    <col min="3267" max="3267" width="5.140625" customWidth="1"/>
    <col min="3268" max="3268" width="4.140625" customWidth="1"/>
    <col min="3269" max="3269" width="3" customWidth="1"/>
    <col min="3470" max="3470" width="3" customWidth="1"/>
    <col min="3471" max="3471" width="23.85546875" customWidth="1"/>
    <col min="3472" max="3472" width="2.7109375" customWidth="1"/>
    <col min="3473" max="3473" width="7.7109375" customWidth="1"/>
    <col min="3474" max="3474" width="12.85546875" customWidth="1"/>
    <col min="3475" max="3475" width="7.42578125" customWidth="1"/>
    <col min="3476" max="3477" width="18.7109375" customWidth="1"/>
    <col min="3478" max="3478" width="3" customWidth="1"/>
    <col min="3479" max="3480" width="4.140625" customWidth="1"/>
    <col min="3481" max="3482" width="3" customWidth="1"/>
    <col min="3483" max="3483" width="4.140625" customWidth="1"/>
    <col min="3484" max="3488" width="7.42578125" customWidth="1"/>
    <col min="3489" max="3489" width="5.140625" customWidth="1"/>
    <col min="3490" max="3490" width="4.140625" customWidth="1"/>
    <col min="3491" max="3491" width="4.7109375" customWidth="1"/>
    <col min="3492" max="3492" width="3.5703125" customWidth="1"/>
    <col min="3493" max="3493" width="3" customWidth="1"/>
    <col min="3494" max="3496" width="5.140625" customWidth="1"/>
    <col min="3497" max="3500" width="4.140625" customWidth="1"/>
    <col min="3501" max="3501" width="4.7109375" customWidth="1"/>
    <col min="3502" max="3502" width="5.140625" customWidth="1"/>
    <col min="3503" max="3503" width="3" customWidth="1"/>
    <col min="3504" max="3509" width="4.140625" customWidth="1"/>
    <col min="3510" max="3510" width="3" customWidth="1"/>
    <col min="3511" max="3515" width="7.42578125" customWidth="1"/>
    <col min="3516" max="3519" width="3" customWidth="1"/>
    <col min="3520" max="3522" width="4.140625" customWidth="1"/>
    <col min="3523" max="3523" width="5.140625" customWidth="1"/>
    <col min="3524" max="3524" width="4.140625" customWidth="1"/>
    <col min="3525" max="3525" width="3" customWidth="1"/>
    <col min="3726" max="3726" width="3" customWidth="1"/>
    <col min="3727" max="3727" width="23.85546875" customWidth="1"/>
    <col min="3728" max="3728" width="2.7109375" customWidth="1"/>
    <col min="3729" max="3729" width="7.7109375" customWidth="1"/>
    <col min="3730" max="3730" width="12.85546875" customWidth="1"/>
    <col min="3731" max="3731" width="7.42578125" customWidth="1"/>
    <col min="3732" max="3733" width="18.7109375" customWidth="1"/>
    <col min="3734" max="3734" width="3" customWidth="1"/>
    <col min="3735" max="3736" width="4.140625" customWidth="1"/>
    <col min="3737" max="3738" width="3" customWidth="1"/>
    <col min="3739" max="3739" width="4.140625" customWidth="1"/>
    <col min="3740" max="3744" width="7.42578125" customWidth="1"/>
    <col min="3745" max="3745" width="5.140625" customWidth="1"/>
    <col min="3746" max="3746" width="4.140625" customWidth="1"/>
    <col min="3747" max="3747" width="4.7109375" customWidth="1"/>
    <col min="3748" max="3748" width="3.5703125" customWidth="1"/>
    <col min="3749" max="3749" width="3" customWidth="1"/>
    <col min="3750" max="3752" width="5.140625" customWidth="1"/>
    <col min="3753" max="3756" width="4.140625" customWidth="1"/>
    <col min="3757" max="3757" width="4.7109375" customWidth="1"/>
    <col min="3758" max="3758" width="5.140625" customWidth="1"/>
    <col min="3759" max="3759" width="3" customWidth="1"/>
    <col min="3760" max="3765" width="4.140625" customWidth="1"/>
    <col min="3766" max="3766" width="3" customWidth="1"/>
    <col min="3767" max="3771" width="7.42578125" customWidth="1"/>
    <col min="3772" max="3775" width="3" customWidth="1"/>
    <col min="3776" max="3778" width="4.140625" customWidth="1"/>
    <col min="3779" max="3779" width="5.140625" customWidth="1"/>
    <col min="3780" max="3780" width="4.140625" customWidth="1"/>
    <col min="3781" max="3781" width="3" customWidth="1"/>
    <col min="3982" max="3982" width="3" customWidth="1"/>
    <col min="3983" max="3983" width="23.85546875" customWidth="1"/>
    <col min="3984" max="3984" width="2.7109375" customWidth="1"/>
    <col min="3985" max="3985" width="7.7109375" customWidth="1"/>
    <col min="3986" max="3986" width="12.85546875" customWidth="1"/>
    <col min="3987" max="3987" width="7.42578125" customWidth="1"/>
    <col min="3988" max="3989" width="18.7109375" customWidth="1"/>
    <col min="3990" max="3990" width="3" customWidth="1"/>
    <col min="3991" max="3992" width="4.140625" customWidth="1"/>
    <col min="3993" max="3994" width="3" customWidth="1"/>
    <col min="3995" max="3995" width="4.140625" customWidth="1"/>
    <col min="3996" max="4000" width="7.42578125" customWidth="1"/>
    <col min="4001" max="4001" width="5.140625" customWidth="1"/>
    <col min="4002" max="4002" width="4.140625" customWidth="1"/>
    <col min="4003" max="4003" width="4.7109375" customWidth="1"/>
    <col min="4004" max="4004" width="3.5703125" customWidth="1"/>
    <col min="4005" max="4005" width="3" customWidth="1"/>
    <col min="4006" max="4008" width="5.140625" customWidth="1"/>
    <col min="4009" max="4012" width="4.140625" customWidth="1"/>
    <col min="4013" max="4013" width="4.7109375" customWidth="1"/>
    <col min="4014" max="4014" width="5.140625" customWidth="1"/>
    <col min="4015" max="4015" width="3" customWidth="1"/>
    <col min="4016" max="4021" width="4.140625" customWidth="1"/>
    <col min="4022" max="4022" width="3" customWidth="1"/>
    <col min="4023" max="4027" width="7.42578125" customWidth="1"/>
    <col min="4028" max="4031" width="3" customWidth="1"/>
    <col min="4032" max="4034" width="4.140625" customWidth="1"/>
    <col min="4035" max="4035" width="5.140625" customWidth="1"/>
    <col min="4036" max="4036" width="4.140625" customWidth="1"/>
    <col min="4037" max="4037" width="3" customWidth="1"/>
    <col min="4238" max="4238" width="3" customWidth="1"/>
    <col min="4239" max="4239" width="23.85546875" customWidth="1"/>
    <col min="4240" max="4240" width="2.7109375" customWidth="1"/>
    <col min="4241" max="4241" width="7.7109375" customWidth="1"/>
    <col min="4242" max="4242" width="12.85546875" customWidth="1"/>
    <col min="4243" max="4243" width="7.42578125" customWidth="1"/>
    <col min="4244" max="4245" width="18.7109375" customWidth="1"/>
    <col min="4246" max="4246" width="3" customWidth="1"/>
    <col min="4247" max="4248" width="4.140625" customWidth="1"/>
    <col min="4249" max="4250" width="3" customWidth="1"/>
    <col min="4251" max="4251" width="4.140625" customWidth="1"/>
    <col min="4252" max="4256" width="7.42578125" customWidth="1"/>
    <col min="4257" max="4257" width="5.140625" customWidth="1"/>
    <col min="4258" max="4258" width="4.140625" customWidth="1"/>
    <col min="4259" max="4259" width="4.7109375" customWidth="1"/>
    <col min="4260" max="4260" width="3.5703125" customWidth="1"/>
    <col min="4261" max="4261" width="3" customWidth="1"/>
    <col min="4262" max="4264" width="5.140625" customWidth="1"/>
    <col min="4265" max="4268" width="4.140625" customWidth="1"/>
    <col min="4269" max="4269" width="4.7109375" customWidth="1"/>
    <col min="4270" max="4270" width="5.140625" customWidth="1"/>
    <col min="4271" max="4271" width="3" customWidth="1"/>
    <col min="4272" max="4277" width="4.140625" customWidth="1"/>
    <col min="4278" max="4278" width="3" customWidth="1"/>
    <col min="4279" max="4283" width="7.42578125" customWidth="1"/>
    <col min="4284" max="4287" width="3" customWidth="1"/>
    <col min="4288" max="4290" width="4.140625" customWidth="1"/>
    <col min="4291" max="4291" width="5.140625" customWidth="1"/>
    <col min="4292" max="4292" width="4.140625" customWidth="1"/>
    <col min="4293" max="4293" width="3" customWidth="1"/>
    <col min="4494" max="4494" width="3" customWidth="1"/>
    <col min="4495" max="4495" width="23.85546875" customWidth="1"/>
    <col min="4496" max="4496" width="2.7109375" customWidth="1"/>
    <col min="4497" max="4497" width="7.7109375" customWidth="1"/>
    <col min="4498" max="4498" width="12.85546875" customWidth="1"/>
    <col min="4499" max="4499" width="7.42578125" customWidth="1"/>
    <col min="4500" max="4501" width="18.7109375" customWidth="1"/>
    <col min="4502" max="4502" width="3" customWidth="1"/>
    <col min="4503" max="4504" width="4.140625" customWidth="1"/>
    <col min="4505" max="4506" width="3" customWidth="1"/>
    <col min="4507" max="4507" width="4.140625" customWidth="1"/>
    <col min="4508" max="4512" width="7.42578125" customWidth="1"/>
    <col min="4513" max="4513" width="5.140625" customWidth="1"/>
    <col min="4514" max="4514" width="4.140625" customWidth="1"/>
    <col min="4515" max="4515" width="4.7109375" customWidth="1"/>
    <col min="4516" max="4516" width="3.5703125" customWidth="1"/>
    <col min="4517" max="4517" width="3" customWidth="1"/>
    <col min="4518" max="4520" width="5.140625" customWidth="1"/>
    <col min="4521" max="4524" width="4.140625" customWidth="1"/>
    <col min="4525" max="4525" width="4.7109375" customWidth="1"/>
    <col min="4526" max="4526" width="5.140625" customWidth="1"/>
    <col min="4527" max="4527" width="3" customWidth="1"/>
    <col min="4528" max="4533" width="4.140625" customWidth="1"/>
    <col min="4534" max="4534" width="3" customWidth="1"/>
    <col min="4535" max="4539" width="7.42578125" customWidth="1"/>
    <col min="4540" max="4543" width="3" customWidth="1"/>
    <col min="4544" max="4546" width="4.140625" customWidth="1"/>
    <col min="4547" max="4547" width="5.140625" customWidth="1"/>
    <col min="4548" max="4548" width="4.140625" customWidth="1"/>
    <col min="4549" max="4549" width="3" customWidth="1"/>
    <col min="4750" max="4750" width="3" customWidth="1"/>
    <col min="4751" max="4751" width="23.85546875" customWidth="1"/>
    <col min="4752" max="4752" width="2.7109375" customWidth="1"/>
    <col min="4753" max="4753" width="7.7109375" customWidth="1"/>
    <col min="4754" max="4754" width="12.85546875" customWidth="1"/>
    <col min="4755" max="4755" width="7.42578125" customWidth="1"/>
    <col min="4756" max="4757" width="18.7109375" customWidth="1"/>
    <col min="4758" max="4758" width="3" customWidth="1"/>
    <col min="4759" max="4760" width="4.140625" customWidth="1"/>
    <col min="4761" max="4762" width="3" customWidth="1"/>
    <col min="4763" max="4763" width="4.140625" customWidth="1"/>
    <col min="4764" max="4768" width="7.42578125" customWidth="1"/>
    <col min="4769" max="4769" width="5.140625" customWidth="1"/>
    <col min="4770" max="4770" width="4.140625" customWidth="1"/>
    <col min="4771" max="4771" width="4.7109375" customWidth="1"/>
    <col min="4772" max="4772" width="3.5703125" customWidth="1"/>
    <col min="4773" max="4773" width="3" customWidth="1"/>
    <col min="4774" max="4776" width="5.140625" customWidth="1"/>
    <col min="4777" max="4780" width="4.140625" customWidth="1"/>
    <col min="4781" max="4781" width="4.7109375" customWidth="1"/>
    <col min="4782" max="4782" width="5.140625" customWidth="1"/>
    <col min="4783" max="4783" width="3" customWidth="1"/>
    <col min="4784" max="4789" width="4.140625" customWidth="1"/>
    <col min="4790" max="4790" width="3" customWidth="1"/>
    <col min="4791" max="4795" width="7.42578125" customWidth="1"/>
    <col min="4796" max="4799" width="3" customWidth="1"/>
    <col min="4800" max="4802" width="4.140625" customWidth="1"/>
    <col min="4803" max="4803" width="5.140625" customWidth="1"/>
    <col min="4804" max="4804" width="4.140625" customWidth="1"/>
    <col min="4805" max="4805" width="3" customWidth="1"/>
    <col min="5006" max="5006" width="3" customWidth="1"/>
    <col min="5007" max="5007" width="23.85546875" customWidth="1"/>
    <col min="5008" max="5008" width="2.7109375" customWidth="1"/>
    <col min="5009" max="5009" width="7.7109375" customWidth="1"/>
    <col min="5010" max="5010" width="12.85546875" customWidth="1"/>
    <col min="5011" max="5011" width="7.42578125" customWidth="1"/>
    <col min="5012" max="5013" width="18.7109375" customWidth="1"/>
    <col min="5014" max="5014" width="3" customWidth="1"/>
    <col min="5015" max="5016" width="4.140625" customWidth="1"/>
    <col min="5017" max="5018" width="3" customWidth="1"/>
    <col min="5019" max="5019" width="4.140625" customWidth="1"/>
    <col min="5020" max="5024" width="7.42578125" customWidth="1"/>
    <col min="5025" max="5025" width="5.140625" customWidth="1"/>
    <col min="5026" max="5026" width="4.140625" customWidth="1"/>
    <col min="5027" max="5027" width="4.7109375" customWidth="1"/>
    <col min="5028" max="5028" width="3.5703125" customWidth="1"/>
    <col min="5029" max="5029" width="3" customWidth="1"/>
    <col min="5030" max="5032" width="5.140625" customWidth="1"/>
    <col min="5033" max="5036" width="4.140625" customWidth="1"/>
    <col min="5037" max="5037" width="4.7109375" customWidth="1"/>
    <col min="5038" max="5038" width="5.140625" customWidth="1"/>
    <col min="5039" max="5039" width="3" customWidth="1"/>
    <col min="5040" max="5045" width="4.140625" customWidth="1"/>
    <col min="5046" max="5046" width="3" customWidth="1"/>
    <col min="5047" max="5051" width="7.42578125" customWidth="1"/>
    <col min="5052" max="5055" width="3" customWidth="1"/>
    <col min="5056" max="5058" width="4.140625" customWidth="1"/>
    <col min="5059" max="5059" width="5.140625" customWidth="1"/>
    <col min="5060" max="5060" width="4.140625" customWidth="1"/>
    <col min="5061" max="5061" width="3" customWidth="1"/>
    <col min="5262" max="5262" width="3" customWidth="1"/>
    <col min="5263" max="5263" width="23.85546875" customWidth="1"/>
    <col min="5264" max="5264" width="2.7109375" customWidth="1"/>
    <col min="5265" max="5265" width="7.7109375" customWidth="1"/>
    <col min="5266" max="5266" width="12.85546875" customWidth="1"/>
    <col min="5267" max="5267" width="7.42578125" customWidth="1"/>
    <col min="5268" max="5269" width="18.7109375" customWidth="1"/>
    <col min="5270" max="5270" width="3" customWidth="1"/>
    <col min="5271" max="5272" width="4.140625" customWidth="1"/>
    <col min="5273" max="5274" width="3" customWidth="1"/>
    <col min="5275" max="5275" width="4.140625" customWidth="1"/>
    <col min="5276" max="5280" width="7.42578125" customWidth="1"/>
    <col min="5281" max="5281" width="5.140625" customWidth="1"/>
    <col min="5282" max="5282" width="4.140625" customWidth="1"/>
    <col min="5283" max="5283" width="4.7109375" customWidth="1"/>
    <col min="5284" max="5284" width="3.5703125" customWidth="1"/>
    <col min="5285" max="5285" width="3" customWidth="1"/>
    <col min="5286" max="5288" width="5.140625" customWidth="1"/>
    <col min="5289" max="5292" width="4.140625" customWidth="1"/>
    <col min="5293" max="5293" width="4.7109375" customWidth="1"/>
    <col min="5294" max="5294" width="5.140625" customWidth="1"/>
    <col min="5295" max="5295" width="3" customWidth="1"/>
    <col min="5296" max="5301" width="4.140625" customWidth="1"/>
    <col min="5302" max="5302" width="3" customWidth="1"/>
    <col min="5303" max="5307" width="7.42578125" customWidth="1"/>
    <col min="5308" max="5311" width="3" customWidth="1"/>
    <col min="5312" max="5314" width="4.140625" customWidth="1"/>
    <col min="5315" max="5315" width="5.140625" customWidth="1"/>
    <col min="5316" max="5316" width="4.140625" customWidth="1"/>
    <col min="5317" max="5317" width="3" customWidth="1"/>
    <col min="5518" max="5518" width="3" customWidth="1"/>
    <col min="5519" max="5519" width="23.85546875" customWidth="1"/>
    <col min="5520" max="5520" width="2.7109375" customWidth="1"/>
    <col min="5521" max="5521" width="7.7109375" customWidth="1"/>
    <col min="5522" max="5522" width="12.85546875" customWidth="1"/>
    <col min="5523" max="5523" width="7.42578125" customWidth="1"/>
    <col min="5524" max="5525" width="18.7109375" customWidth="1"/>
    <col min="5526" max="5526" width="3" customWidth="1"/>
    <col min="5527" max="5528" width="4.140625" customWidth="1"/>
    <col min="5529" max="5530" width="3" customWidth="1"/>
    <col min="5531" max="5531" width="4.140625" customWidth="1"/>
    <col min="5532" max="5536" width="7.42578125" customWidth="1"/>
    <col min="5537" max="5537" width="5.140625" customWidth="1"/>
    <col min="5538" max="5538" width="4.140625" customWidth="1"/>
    <col min="5539" max="5539" width="4.7109375" customWidth="1"/>
    <col min="5540" max="5540" width="3.5703125" customWidth="1"/>
    <col min="5541" max="5541" width="3" customWidth="1"/>
    <col min="5542" max="5544" width="5.140625" customWidth="1"/>
    <col min="5545" max="5548" width="4.140625" customWidth="1"/>
    <col min="5549" max="5549" width="4.7109375" customWidth="1"/>
    <col min="5550" max="5550" width="5.140625" customWidth="1"/>
    <col min="5551" max="5551" width="3" customWidth="1"/>
    <col min="5552" max="5557" width="4.140625" customWidth="1"/>
    <col min="5558" max="5558" width="3" customWidth="1"/>
    <col min="5559" max="5563" width="7.42578125" customWidth="1"/>
    <col min="5564" max="5567" width="3" customWidth="1"/>
    <col min="5568" max="5570" width="4.140625" customWidth="1"/>
    <col min="5571" max="5571" width="5.140625" customWidth="1"/>
    <col min="5572" max="5572" width="4.140625" customWidth="1"/>
    <col min="5573" max="5573" width="3" customWidth="1"/>
    <col min="5774" max="5774" width="3" customWidth="1"/>
    <col min="5775" max="5775" width="23.85546875" customWidth="1"/>
    <col min="5776" max="5776" width="2.7109375" customWidth="1"/>
    <col min="5777" max="5777" width="7.7109375" customWidth="1"/>
    <col min="5778" max="5778" width="12.85546875" customWidth="1"/>
    <col min="5779" max="5779" width="7.42578125" customWidth="1"/>
    <col min="5780" max="5781" width="18.7109375" customWidth="1"/>
    <col min="5782" max="5782" width="3" customWidth="1"/>
    <col min="5783" max="5784" width="4.140625" customWidth="1"/>
    <col min="5785" max="5786" width="3" customWidth="1"/>
    <col min="5787" max="5787" width="4.140625" customWidth="1"/>
    <col min="5788" max="5792" width="7.42578125" customWidth="1"/>
    <col min="5793" max="5793" width="5.140625" customWidth="1"/>
    <col min="5794" max="5794" width="4.140625" customWidth="1"/>
    <col min="5795" max="5795" width="4.7109375" customWidth="1"/>
    <col min="5796" max="5796" width="3.5703125" customWidth="1"/>
    <col min="5797" max="5797" width="3" customWidth="1"/>
    <col min="5798" max="5800" width="5.140625" customWidth="1"/>
    <col min="5801" max="5804" width="4.140625" customWidth="1"/>
    <col min="5805" max="5805" width="4.7109375" customWidth="1"/>
    <col min="5806" max="5806" width="5.140625" customWidth="1"/>
    <col min="5807" max="5807" width="3" customWidth="1"/>
    <col min="5808" max="5813" width="4.140625" customWidth="1"/>
    <col min="5814" max="5814" width="3" customWidth="1"/>
    <col min="5815" max="5819" width="7.42578125" customWidth="1"/>
    <col min="5820" max="5823" width="3" customWidth="1"/>
    <col min="5824" max="5826" width="4.140625" customWidth="1"/>
    <col min="5827" max="5827" width="5.140625" customWidth="1"/>
    <col min="5828" max="5828" width="4.140625" customWidth="1"/>
    <col min="5829" max="5829" width="3" customWidth="1"/>
    <col min="6030" max="6030" width="3" customWidth="1"/>
    <col min="6031" max="6031" width="23.85546875" customWidth="1"/>
    <col min="6032" max="6032" width="2.7109375" customWidth="1"/>
    <col min="6033" max="6033" width="7.7109375" customWidth="1"/>
    <col min="6034" max="6034" width="12.85546875" customWidth="1"/>
    <col min="6035" max="6035" width="7.42578125" customWidth="1"/>
    <col min="6036" max="6037" width="18.7109375" customWidth="1"/>
    <col min="6038" max="6038" width="3" customWidth="1"/>
    <col min="6039" max="6040" width="4.140625" customWidth="1"/>
    <col min="6041" max="6042" width="3" customWidth="1"/>
    <col min="6043" max="6043" width="4.140625" customWidth="1"/>
    <col min="6044" max="6048" width="7.42578125" customWidth="1"/>
    <col min="6049" max="6049" width="5.140625" customWidth="1"/>
    <col min="6050" max="6050" width="4.140625" customWidth="1"/>
    <col min="6051" max="6051" width="4.7109375" customWidth="1"/>
    <col min="6052" max="6052" width="3.5703125" customWidth="1"/>
    <col min="6053" max="6053" width="3" customWidth="1"/>
    <col min="6054" max="6056" width="5.140625" customWidth="1"/>
    <col min="6057" max="6060" width="4.140625" customWidth="1"/>
    <col min="6061" max="6061" width="4.7109375" customWidth="1"/>
    <col min="6062" max="6062" width="5.140625" customWidth="1"/>
    <col min="6063" max="6063" width="3" customWidth="1"/>
    <col min="6064" max="6069" width="4.140625" customWidth="1"/>
    <col min="6070" max="6070" width="3" customWidth="1"/>
    <col min="6071" max="6075" width="7.42578125" customWidth="1"/>
    <col min="6076" max="6079" width="3" customWidth="1"/>
    <col min="6080" max="6082" width="4.140625" customWidth="1"/>
    <col min="6083" max="6083" width="5.140625" customWidth="1"/>
    <col min="6084" max="6084" width="4.140625" customWidth="1"/>
    <col min="6085" max="6085" width="3" customWidth="1"/>
    <col min="6286" max="6286" width="3" customWidth="1"/>
    <col min="6287" max="6287" width="23.85546875" customWidth="1"/>
    <col min="6288" max="6288" width="2.7109375" customWidth="1"/>
    <col min="6289" max="6289" width="7.7109375" customWidth="1"/>
    <col min="6290" max="6290" width="12.85546875" customWidth="1"/>
    <col min="6291" max="6291" width="7.42578125" customWidth="1"/>
    <col min="6292" max="6293" width="18.7109375" customWidth="1"/>
    <col min="6294" max="6294" width="3" customWidth="1"/>
    <col min="6295" max="6296" width="4.140625" customWidth="1"/>
    <col min="6297" max="6298" width="3" customWidth="1"/>
    <col min="6299" max="6299" width="4.140625" customWidth="1"/>
    <col min="6300" max="6304" width="7.42578125" customWidth="1"/>
    <col min="6305" max="6305" width="5.140625" customWidth="1"/>
    <col min="6306" max="6306" width="4.140625" customWidth="1"/>
    <col min="6307" max="6307" width="4.7109375" customWidth="1"/>
    <col min="6308" max="6308" width="3.5703125" customWidth="1"/>
    <col min="6309" max="6309" width="3" customWidth="1"/>
    <col min="6310" max="6312" width="5.140625" customWidth="1"/>
    <col min="6313" max="6316" width="4.140625" customWidth="1"/>
    <col min="6317" max="6317" width="4.7109375" customWidth="1"/>
    <col min="6318" max="6318" width="5.140625" customWidth="1"/>
    <col min="6319" max="6319" width="3" customWidth="1"/>
    <col min="6320" max="6325" width="4.140625" customWidth="1"/>
    <col min="6326" max="6326" width="3" customWidth="1"/>
    <col min="6327" max="6331" width="7.42578125" customWidth="1"/>
    <col min="6332" max="6335" width="3" customWidth="1"/>
    <col min="6336" max="6338" width="4.140625" customWidth="1"/>
    <col min="6339" max="6339" width="5.140625" customWidth="1"/>
    <col min="6340" max="6340" width="4.140625" customWidth="1"/>
    <col min="6341" max="6341" width="3" customWidth="1"/>
    <col min="6542" max="6542" width="3" customWidth="1"/>
    <col min="6543" max="6543" width="23.85546875" customWidth="1"/>
    <col min="6544" max="6544" width="2.7109375" customWidth="1"/>
    <col min="6545" max="6545" width="7.7109375" customWidth="1"/>
    <col min="6546" max="6546" width="12.85546875" customWidth="1"/>
    <col min="6547" max="6547" width="7.42578125" customWidth="1"/>
    <col min="6548" max="6549" width="18.7109375" customWidth="1"/>
    <col min="6550" max="6550" width="3" customWidth="1"/>
    <col min="6551" max="6552" width="4.140625" customWidth="1"/>
    <col min="6553" max="6554" width="3" customWidth="1"/>
    <col min="6555" max="6555" width="4.140625" customWidth="1"/>
    <col min="6556" max="6560" width="7.42578125" customWidth="1"/>
    <col min="6561" max="6561" width="5.140625" customWidth="1"/>
    <col min="6562" max="6562" width="4.140625" customWidth="1"/>
    <col min="6563" max="6563" width="4.7109375" customWidth="1"/>
    <col min="6564" max="6564" width="3.5703125" customWidth="1"/>
    <col min="6565" max="6565" width="3" customWidth="1"/>
    <col min="6566" max="6568" width="5.140625" customWidth="1"/>
    <col min="6569" max="6572" width="4.140625" customWidth="1"/>
    <col min="6573" max="6573" width="4.7109375" customWidth="1"/>
    <col min="6574" max="6574" width="5.140625" customWidth="1"/>
    <col min="6575" max="6575" width="3" customWidth="1"/>
    <col min="6576" max="6581" width="4.140625" customWidth="1"/>
    <col min="6582" max="6582" width="3" customWidth="1"/>
    <col min="6583" max="6587" width="7.42578125" customWidth="1"/>
    <col min="6588" max="6591" width="3" customWidth="1"/>
    <col min="6592" max="6594" width="4.140625" customWidth="1"/>
    <col min="6595" max="6595" width="5.140625" customWidth="1"/>
    <col min="6596" max="6596" width="4.140625" customWidth="1"/>
    <col min="6597" max="6597" width="3" customWidth="1"/>
    <col min="6798" max="6798" width="3" customWidth="1"/>
    <col min="6799" max="6799" width="23.85546875" customWidth="1"/>
    <col min="6800" max="6800" width="2.7109375" customWidth="1"/>
    <col min="6801" max="6801" width="7.7109375" customWidth="1"/>
    <col min="6802" max="6802" width="12.85546875" customWidth="1"/>
    <col min="6803" max="6803" width="7.42578125" customWidth="1"/>
    <col min="6804" max="6805" width="18.7109375" customWidth="1"/>
    <col min="6806" max="6806" width="3" customWidth="1"/>
    <col min="6807" max="6808" width="4.140625" customWidth="1"/>
    <col min="6809" max="6810" width="3" customWidth="1"/>
    <col min="6811" max="6811" width="4.140625" customWidth="1"/>
    <col min="6812" max="6816" width="7.42578125" customWidth="1"/>
    <col min="6817" max="6817" width="5.140625" customWidth="1"/>
    <col min="6818" max="6818" width="4.140625" customWidth="1"/>
    <col min="6819" max="6819" width="4.7109375" customWidth="1"/>
    <col min="6820" max="6820" width="3.5703125" customWidth="1"/>
    <col min="6821" max="6821" width="3" customWidth="1"/>
    <col min="6822" max="6824" width="5.140625" customWidth="1"/>
    <col min="6825" max="6828" width="4.140625" customWidth="1"/>
    <col min="6829" max="6829" width="4.7109375" customWidth="1"/>
    <col min="6830" max="6830" width="5.140625" customWidth="1"/>
    <col min="6831" max="6831" width="3" customWidth="1"/>
    <col min="6832" max="6837" width="4.140625" customWidth="1"/>
    <col min="6838" max="6838" width="3" customWidth="1"/>
    <col min="6839" max="6843" width="7.42578125" customWidth="1"/>
    <col min="6844" max="6847" width="3" customWidth="1"/>
    <col min="6848" max="6850" width="4.140625" customWidth="1"/>
    <col min="6851" max="6851" width="5.140625" customWidth="1"/>
    <col min="6852" max="6852" width="4.140625" customWidth="1"/>
    <col min="6853" max="6853" width="3" customWidth="1"/>
    <col min="7054" max="7054" width="3" customWidth="1"/>
    <col min="7055" max="7055" width="23.85546875" customWidth="1"/>
    <col min="7056" max="7056" width="2.7109375" customWidth="1"/>
    <col min="7057" max="7057" width="7.7109375" customWidth="1"/>
    <col min="7058" max="7058" width="12.85546875" customWidth="1"/>
    <col min="7059" max="7059" width="7.42578125" customWidth="1"/>
    <col min="7060" max="7061" width="18.7109375" customWidth="1"/>
    <col min="7062" max="7062" width="3" customWidth="1"/>
    <col min="7063" max="7064" width="4.140625" customWidth="1"/>
    <col min="7065" max="7066" width="3" customWidth="1"/>
    <col min="7067" max="7067" width="4.140625" customWidth="1"/>
    <col min="7068" max="7072" width="7.42578125" customWidth="1"/>
    <col min="7073" max="7073" width="5.140625" customWidth="1"/>
    <col min="7074" max="7074" width="4.140625" customWidth="1"/>
    <col min="7075" max="7075" width="4.7109375" customWidth="1"/>
    <col min="7076" max="7076" width="3.5703125" customWidth="1"/>
    <col min="7077" max="7077" width="3" customWidth="1"/>
    <col min="7078" max="7080" width="5.140625" customWidth="1"/>
    <col min="7081" max="7084" width="4.140625" customWidth="1"/>
    <col min="7085" max="7085" width="4.7109375" customWidth="1"/>
    <col min="7086" max="7086" width="5.140625" customWidth="1"/>
    <col min="7087" max="7087" width="3" customWidth="1"/>
    <col min="7088" max="7093" width="4.140625" customWidth="1"/>
    <col min="7094" max="7094" width="3" customWidth="1"/>
    <col min="7095" max="7099" width="7.42578125" customWidth="1"/>
    <col min="7100" max="7103" width="3" customWidth="1"/>
    <col min="7104" max="7106" width="4.140625" customWidth="1"/>
    <col min="7107" max="7107" width="5.140625" customWidth="1"/>
    <col min="7108" max="7108" width="4.140625" customWidth="1"/>
    <col min="7109" max="7109" width="3" customWidth="1"/>
    <col min="7310" max="7310" width="3" customWidth="1"/>
    <col min="7311" max="7311" width="23.85546875" customWidth="1"/>
    <col min="7312" max="7312" width="2.7109375" customWidth="1"/>
    <col min="7313" max="7313" width="7.7109375" customWidth="1"/>
    <col min="7314" max="7314" width="12.85546875" customWidth="1"/>
    <col min="7315" max="7315" width="7.42578125" customWidth="1"/>
    <col min="7316" max="7317" width="18.7109375" customWidth="1"/>
    <col min="7318" max="7318" width="3" customWidth="1"/>
    <col min="7319" max="7320" width="4.140625" customWidth="1"/>
    <col min="7321" max="7322" width="3" customWidth="1"/>
    <col min="7323" max="7323" width="4.140625" customWidth="1"/>
    <col min="7324" max="7328" width="7.42578125" customWidth="1"/>
    <col min="7329" max="7329" width="5.140625" customWidth="1"/>
    <col min="7330" max="7330" width="4.140625" customWidth="1"/>
    <col min="7331" max="7331" width="4.7109375" customWidth="1"/>
    <col min="7332" max="7332" width="3.5703125" customWidth="1"/>
    <col min="7333" max="7333" width="3" customWidth="1"/>
    <col min="7334" max="7336" width="5.140625" customWidth="1"/>
    <col min="7337" max="7340" width="4.140625" customWidth="1"/>
    <col min="7341" max="7341" width="4.7109375" customWidth="1"/>
    <col min="7342" max="7342" width="5.140625" customWidth="1"/>
    <col min="7343" max="7343" width="3" customWidth="1"/>
    <col min="7344" max="7349" width="4.140625" customWidth="1"/>
    <col min="7350" max="7350" width="3" customWidth="1"/>
    <col min="7351" max="7355" width="7.42578125" customWidth="1"/>
    <col min="7356" max="7359" width="3" customWidth="1"/>
    <col min="7360" max="7362" width="4.140625" customWidth="1"/>
    <col min="7363" max="7363" width="5.140625" customWidth="1"/>
    <col min="7364" max="7364" width="4.140625" customWidth="1"/>
    <col min="7365" max="7365" width="3" customWidth="1"/>
    <col min="7566" max="7566" width="3" customWidth="1"/>
    <col min="7567" max="7567" width="23.85546875" customWidth="1"/>
    <col min="7568" max="7568" width="2.7109375" customWidth="1"/>
    <col min="7569" max="7569" width="7.7109375" customWidth="1"/>
    <col min="7570" max="7570" width="12.85546875" customWidth="1"/>
    <col min="7571" max="7571" width="7.42578125" customWidth="1"/>
    <col min="7572" max="7573" width="18.7109375" customWidth="1"/>
    <col min="7574" max="7574" width="3" customWidth="1"/>
    <col min="7575" max="7576" width="4.140625" customWidth="1"/>
    <col min="7577" max="7578" width="3" customWidth="1"/>
    <col min="7579" max="7579" width="4.140625" customWidth="1"/>
    <col min="7580" max="7584" width="7.42578125" customWidth="1"/>
    <col min="7585" max="7585" width="5.140625" customWidth="1"/>
    <col min="7586" max="7586" width="4.140625" customWidth="1"/>
    <col min="7587" max="7587" width="4.7109375" customWidth="1"/>
    <col min="7588" max="7588" width="3.5703125" customWidth="1"/>
    <col min="7589" max="7589" width="3" customWidth="1"/>
    <col min="7590" max="7592" width="5.140625" customWidth="1"/>
    <col min="7593" max="7596" width="4.140625" customWidth="1"/>
    <col min="7597" max="7597" width="4.7109375" customWidth="1"/>
    <col min="7598" max="7598" width="5.140625" customWidth="1"/>
    <col min="7599" max="7599" width="3" customWidth="1"/>
    <col min="7600" max="7605" width="4.140625" customWidth="1"/>
    <col min="7606" max="7606" width="3" customWidth="1"/>
    <col min="7607" max="7611" width="7.42578125" customWidth="1"/>
    <col min="7612" max="7615" width="3" customWidth="1"/>
    <col min="7616" max="7618" width="4.140625" customWidth="1"/>
    <col min="7619" max="7619" width="5.140625" customWidth="1"/>
    <col min="7620" max="7620" width="4.140625" customWidth="1"/>
    <col min="7621" max="7621" width="3" customWidth="1"/>
    <col min="7822" max="7822" width="3" customWidth="1"/>
    <col min="7823" max="7823" width="23.85546875" customWidth="1"/>
    <col min="7824" max="7824" width="2.7109375" customWidth="1"/>
    <col min="7825" max="7825" width="7.7109375" customWidth="1"/>
    <col min="7826" max="7826" width="12.85546875" customWidth="1"/>
    <col min="7827" max="7827" width="7.42578125" customWidth="1"/>
    <col min="7828" max="7829" width="18.7109375" customWidth="1"/>
    <col min="7830" max="7830" width="3" customWidth="1"/>
    <col min="7831" max="7832" width="4.140625" customWidth="1"/>
    <col min="7833" max="7834" width="3" customWidth="1"/>
    <col min="7835" max="7835" width="4.140625" customWidth="1"/>
    <col min="7836" max="7840" width="7.42578125" customWidth="1"/>
    <col min="7841" max="7841" width="5.140625" customWidth="1"/>
    <col min="7842" max="7842" width="4.140625" customWidth="1"/>
    <col min="7843" max="7843" width="4.7109375" customWidth="1"/>
    <col min="7844" max="7844" width="3.5703125" customWidth="1"/>
    <col min="7845" max="7845" width="3" customWidth="1"/>
    <col min="7846" max="7848" width="5.140625" customWidth="1"/>
    <col min="7849" max="7852" width="4.140625" customWidth="1"/>
    <col min="7853" max="7853" width="4.7109375" customWidth="1"/>
    <col min="7854" max="7854" width="5.140625" customWidth="1"/>
    <col min="7855" max="7855" width="3" customWidth="1"/>
    <col min="7856" max="7861" width="4.140625" customWidth="1"/>
    <col min="7862" max="7862" width="3" customWidth="1"/>
    <col min="7863" max="7867" width="7.42578125" customWidth="1"/>
    <col min="7868" max="7871" width="3" customWidth="1"/>
    <col min="7872" max="7874" width="4.140625" customWidth="1"/>
    <col min="7875" max="7875" width="5.140625" customWidth="1"/>
    <col min="7876" max="7876" width="4.140625" customWidth="1"/>
    <col min="7877" max="7877" width="3" customWidth="1"/>
    <col min="8078" max="8078" width="3" customWidth="1"/>
    <col min="8079" max="8079" width="23.85546875" customWidth="1"/>
    <col min="8080" max="8080" width="2.7109375" customWidth="1"/>
    <col min="8081" max="8081" width="7.7109375" customWidth="1"/>
    <col min="8082" max="8082" width="12.85546875" customWidth="1"/>
    <col min="8083" max="8083" width="7.42578125" customWidth="1"/>
    <col min="8084" max="8085" width="18.7109375" customWidth="1"/>
    <col min="8086" max="8086" width="3" customWidth="1"/>
    <col min="8087" max="8088" width="4.140625" customWidth="1"/>
    <col min="8089" max="8090" width="3" customWidth="1"/>
    <col min="8091" max="8091" width="4.140625" customWidth="1"/>
    <col min="8092" max="8096" width="7.42578125" customWidth="1"/>
    <col min="8097" max="8097" width="5.140625" customWidth="1"/>
    <col min="8098" max="8098" width="4.140625" customWidth="1"/>
    <col min="8099" max="8099" width="4.7109375" customWidth="1"/>
    <col min="8100" max="8100" width="3.5703125" customWidth="1"/>
    <col min="8101" max="8101" width="3" customWidth="1"/>
    <col min="8102" max="8104" width="5.140625" customWidth="1"/>
    <col min="8105" max="8108" width="4.140625" customWidth="1"/>
    <col min="8109" max="8109" width="4.7109375" customWidth="1"/>
    <col min="8110" max="8110" width="5.140625" customWidth="1"/>
    <col min="8111" max="8111" width="3" customWidth="1"/>
    <col min="8112" max="8117" width="4.140625" customWidth="1"/>
    <col min="8118" max="8118" width="3" customWidth="1"/>
    <col min="8119" max="8123" width="7.42578125" customWidth="1"/>
    <col min="8124" max="8127" width="3" customWidth="1"/>
    <col min="8128" max="8130" width="4.140625" customWidth="1"/>
    <col min="8131" max="8131" width="5.140625" customWidth="1"/>
    <col min="8132" max="8132" width="4.140625" customWidth="1"/>
    <col min="8133" max="8133" width="3" customWidth="1"/>
    <col min="8334" max="8334" width="3" customWidth="1"/>
    <col min="8335" max="8335" width="23.85546875" customWidth="1"/>
    <col min="8336" max="8336" width="2.7109375" customWidth="1"/>
    <col min="8337" max="8337" width="7.7109375" customWidth="1"/>
    <col min="8338" max="8338" width="12.85546875" customWidth="1"/>
    <col min="8339" max="8339" width="7.42578125" customWidth="1"/>
    <col min="8340" max="8341" width="18.7109375" customWidth="1"/>
    <col min="8342" max="8342" width="3" customWidth="1"/>
    <col min="8343" max="8344" width="4.140625" customWidth="1"/>
    <col min="8345" max="8346" width="3" customWidth="1"/>
    <col min="8347" max="8347" width="4.140625" customWidth="1"/>
    <col min="8348" max="8352" width="7.42578125" customWidth="1"/>
    <col min="8353" max="8353" width="5.140625" customWidth="1"/>
    <col min="8354" max="8354" width="4.140625" customWidth="1"/>
    <col min="8355" max="8355" width="4.7109375" customWidth="1"/>
    <col min="8356" max="8356" width="3.5703125" customWidth="1"/>
    <col min="8357" max="8357" width="3" customWidth="1"/>
    <col min="8358" max="8360" width="5.140625" customWidth="1"/>
    <col min="8361" max="8364" width="4.140625" customWidth="1"/>
    <col min="8365" max="8365" width="4.7109375" customWidth="1"/>
    <col min="8366" max="8366" width="5.140625" customWidth="1"/>
    <col min="8367" max="8367" width="3" customWidth="1"/>
    <col min="8368" max="8373" width="4.140625" customWidth="1"/>
    <col min="8374" max="8374" width="3" customWidth="1"/>
    <col min="8375" max="8379" width="7.42578125" customWidth="1"/>
    <col min="8380" max="8383" width="3" customWidth="1"/>
    <col min="8384" max="8386" width="4.140625" customWidth="1"/>
    <col min="8387" max="8387" width="5.140625" customWidth="1"/>
    <col min="8388" max="8388" width="4.140625" customWidth="1"/>
    <col min="8389" max="8389" width="3" customWidth="1"/>
    <col min="8590" max="8590" width="3" customWidth="1"/>
    <col min="8591" max="8591" width="23.85546875" customWidth="1"/>
    <col min="8592" max="8592" width="2.7109375" customWidth="1"/>
    <col min="8593" max="8593" width="7.7109375" customWidth="1"/>
    <col min="8594" max="8594" width="12.85546875" customWidth="1"/>
    <col min="8595" max="8595" width="7.42578125" customWidth="1"/>
    <col min="8596" max="8597" width="18.7109375" customWidth="1"/>
    <col min="8598" max="8598" width="3" customWidth="1"/>
    <col min="8599" max="8600" width="4.140625" customWidth="1"/>
    <col min="8601" max="8602" width="3" customWidth="1"/>
    <col min="8603" max="8603" width="4.140625" customWidth="1"/>
    <col min="8604" max="8608" width="7.42578125" customWidth="1"/>
    <col min="8609" max="8609" width="5.140625" customWidth="1"/>
    <col min="8610" max="8610" width="4.140625" customWidth="1"/>
    <col min="8611" max="8611" width="4.7109375" customWidth="1"/>
    <col min="8612" max="8612" width="3.5703125" customWidth="1"/>
    <col min="8613" max="8613" width="3" customWidth="1"/>
    <col min="8614" max="8616" width="5.140625" customWidth="1"/>
    <col min="8617" max="8620" width="4.140625" customWidth="1"/>
    <col min="8621" max="8621" width="4.7109375" customWidth="1"/>
    <col min="8622" max="8622" width="5.140625" customWidth="1"/>
    <col min="8623" max="8623" width="3" customWidth="1"/>
    <col min="8624" max="8629" width="4.140625" customWidth="1"/>
    <col min="8630" max="8630" width="3" customWidth="1"/>
    <col min="8631" max="8635" width="7.42578125" customWidth="1"/>
    <col min="8636" max="8639" width="3" customWidth="1"/>
    <col min="8640" max="8642" width="4.140625" customWidth="1"/>
    <col min="8643" max="8643" width="5.140625" customWidth="1"/>
    <col min="8644" max="8644" width="4.140625" customWidth="1"/>
    <col min="8645" max="8645" width="3" customWidth="1"/>
    <col min="8846" max="8846" width="3" customWidth="1"/>
    <col min="8847" max="8847" width="23.85546875" customWidth="1"/>
    <col min="8848" max="8848" width="2.7109375" customWidth="1"/>
    <col min="8849" max="8849" width="7.7109375" customWidth="1"/>
    <col min="8850" max="8850" width="12.85546875" customWidth="1"/>
    <col min="8851" max="8851" width="7.42578125" customWidth="1"/>
    <col min="8852" max="8853" width="18.7109375" customWidth="1"/>
    <col min="8854" max="8854" width="3" customWidth="1"/>
    <col min="8855" max="8856" width="4.140625" customWidth="1"/>
    <col min="8857" max="8858" width="3" customWidth="1"/>
    <col min="8859" max="8859" width="4.140625" customWidth="1"/>
    <col min="8860" max="8864" width="7.42578125" customWidth="1"/>
    <col min="8865" max="8865" width="5.140625" customWidth="1"/>
    <col min="8866" max="8866" width="4.140625" customWidth="1"/>
    <col min="8867" max="8867" width="4.7109375" customWidth="1"/>
    <col min="8868" max="8868" width="3.5703125" customWidth="1"/>
    <col min="8869" max="8869" width="3" customWidth="1"/>
    <col min="8870" max="8872" width="5.140625" customWidth="1"/>
    <col min="8873" max="8876" width="4.140625" customWidth="1"/>
    <col min="8877" max="8877" width="4.7109375" customWidth="1"/>
    <col min="8878" max="8878" width="5.140625" customWidth="1"/>
    <col min="8879" max="8879" width="3" customWidth="1"/>
    <col min="8880" max="8885" width="4.140625" customWidth="1"/>
    <col min="8886" max="8886" width="3" customWidth="1"/>
    <col min="8887" max="8891" width="7.42578125" customWidth="1"/>
    <col min="8892" max="8895" width="3" customWidth="1"/>
    <col min="8896" max="8898" width="4.140625" customWidth="1"/>
    <col min="8899" max="8899" width="5.140625" customWidth="1"/>
    <col min="8900" max="8900" width="4.140625" customWidth="1"/>
    <col min="8901" max="8901" width="3" customWidth="1"/>
    <col min="9102" max="9102" width="3" customWidth="1"/>
    <col min="9103" max="9103" width="23.85546875" customWidth="1"/>
    <col min="9104" max="9104" width="2.7109375" customWidth="1"/>
    <col min="9105" max="9105" width="7.7109375" customWidth="1"/>
    <col min="9106" max="9106" width="12.85546875" customWidth="1"/>
    <col min="9107" max="9107" width="7.42578125" customWidth="1"/>
    <col min="9108" max="9109" width="18.7109375" customWidth="1"/>
    <col min="9110" max="9110" width="3" customWidth="1"/>
    <col min="9111" max="9112" width="4.140625" customWidth="1"/>
    <col min="9113" max="9114" width="3" customWidth="1"/>
    <col min="9115" max="9115" width="4.140625" customWidth="1"/>
    <col min="9116" max="9120" width="7.42578125" customWidth="1"/>
    <col min="9121" max="9121" width="5.140625" customWidth="1"/>
    <col min="9122" max="9122" width="4.140625" customWidth="1"/>
    <col min="9123" max="9123" width="4.7109375" customWidth="1"/>
    <col min="9124" max="9124" width="3.5703125" customWidth="1"/>
    <col min="9125" max="9125" width="3" customWidth="1"/>
    <col min="9126" max="9128" width="5.140625" customWidth="1"/>
    <col min="9129" max="9132" width="4.140625" customWidth="1"/>
    <col min="9133" max="9133" width="4.7109375" customWidth="1"/>
    <col min="9134" max="9134" width="5.140625" customWidth="1"/>
    <col min="9135" max="9135" width="3" customWidth="1"/>
    <col min="9136" max="9141" width="4.140625" customWidth="1"/>
    <col min="9142" max="9142" width="3" customWidth="1"/>
    <col min="9143" max="9147" width="7.42578125" customWidth="1"/>
    <col min="9148" max="9151" width="3" customWidth="1"/>
    <col min="9152" max="9154" width="4.140625" customWidth="1"/>
    <col min="9155" max="9155" width="5.140625" customWidth="1"/>
    <col min="9156" max="9156" width="4.140625" customWidth="1"/>
    <col min="9157" max="9157" width="3" customWidth="1"/>
    <col min="9358" max="9358" width="3" customWidth="1"/>
    <col min="9359" max="9359" width="23.85546875" customWidth="1"/>
    <col min="9360" max="9360" width="2.7109375" customWidth="1"/>
    <col min="9361" max="9361" width="7.7109375" customWidth="1"/>
    <col min="9362" max="9362" width="12.85546875" customWidth="1"/>
    <col min="9363" max="9363" width="7.42578125" customWidth="1"/>
    <col min="9364" max="9365" width="18.7109375" customWidth="1"/>
    <col min="9366" max="9366" width="3" customWidth="1"/>
    <col min="9367" max="9368" width="4.140625" customWidth="1"/>
    <col min="9369" max="9370" width="3" customWidth="1"/>
    <col min="9371" max="9371" width="4.140625" customWidth="1"/>
    <col min="9372" max="9376" width="7.42578125" customWidth="1"/>
    <col min="9377" max="9377" width="5.140625" customWidth="1"/>
    <col min="9378" max="9378" width="4.140625" customWidth="1"/>
    <col min="9379" max="9379" width="4.7109375" customWidth="1"/>
    <col min="9380" max="9380" width="3.5703125" customWidth="1"/>
    <col min="9381" max="9381" width="3" customWidth="1"/>
    <col min="9382" max="9384" width="5.140625" customWidth="1"/>
    <col min="9385" max="9388" width="4.140625" customWidth="1"/>
    <col min="9389" max="9389" width="4.7109375" customWidth="1"/>
    <col min="9390" max="9390" width="5.140625" customWidth="1"/>
    <col min="9391" max="9391" width="3" customWidth="1"/>
    <col min="9392" max="9397" width="4.140625" customWidth="1"/>
    <col min="9398" max="9398" width="3" customWidth="1"/>
    <col min="9399" max="9403" width="7.42578125" customWidth="1"/>
    <col min="9404" max="9407" width="3" customWidth="1"/>
    <col min="9408" max="9410" width="4.140625" customWidth="1"/>
    <col min="9411" max="9411" width="5.140625" customWidth="1"/>
    <col min="9412" max="9412" width="4.140625" customWidth="1"/>
    <col min="9413" max="9413" width="3" customWidth="1"/>
    <col min="9614" max="9614" width="3" customWidth="1"/>
    <col min="9615" max="9615" width="23.85546875" customWidth="1"/>
    <col min="9616" max="9616" width="2.7109375" customWidth="1"/>
    <col min="9617" max="9617" width="7.7109375" customWidth="1"/>
    <col min="9618" max="9618" width="12.85546875" customWidth="1"/>
    <col min="9619" max="9619" width="7.42578125" customWidth="1"/>
    <col min="9620" max="9621" width="18.7109375" customWidth="1"/>
    <col min="9622" max="9622" width="3" customWidth="1"/>
    <col min="9623" max="9624" width="4.140625" customWidth="1"/>
    <col min="9625" max="9626" width="3" customWidth="1"/>
    <col min="9627" max="9627" width="4.140625" customWidth="1"/>
    <col min="9628" max="9632" width="7.42578125" customWidth="1"/>
    <col min="9633" max="9633" width="5.140625" customWidth="1"/>
    <col min="9634" max="9634" width="4.140625" customWidth="1"/>
    <col min="9635" max="9635" width="4.7109375" customWidth="1"/>
    <col min="9636" max="9636" width="3.5703125" customWidth="1"/>
    <col min="9637" max="9637" width="3" customWidth="1"/>
    <col min="9638" max="9640" width="5.140625" customWidth="1"/>
    <col min="9641" max="9644" width="4.140625" customWidth="1"/>
    <col min="9645" max="9645" width="4.7109375" customWidth="1"/>
    <col min="9646" max="9646" width="5.140625" customWidth="1"/>
    <col min="9647" max="9647" width="3" customWidth="1"/>
    <col min="9648" max="9653" width="4.140625" customWidth="1"/>
    <col min="9654" max="9654" width="3" customWidth="1"/>
    <col min="9655" max="9659" width="7.42578125" customWidth="1"/>
    <col min="9660" max="9663" width="3" customWidth="1"/>
    <col min="9664" max="9666" width="4.140625" customWidth="1"/>
    <col min="9667" max="9667" width="5.140625" customWidth="1"/>
    <col min="9668" max="9668" width="4.140625" customWidth="1"/>
    <col min="9669" max="9669" width="3" customWidth="1"/>
    <col min="9870" max="9870" width="3" customWidth="1"/>
    <col min="9871" max="9871" width="23.85546875" customWidth="1"/>
    <col min="9872" max="9872" width="2.7109375" customWidth="1"/>
    <col min="9873" max="9873" width="7.7109375" customWidth="1"/>
    <col min="9874" max="9874" width="12.85546875" customWidth="1"/>
    <col min="9875" max="9875" width="7.42578125" customWidth="1"/>
    <col min="9876" max="9877" width="18.7109375" customWidth="1"/>
    <col min="9878" max="9878" width="3" customWidth="1"/>
    <col min="9879" max="9880" width="4.140625" customWidth="1"/>
    <col min="9881" max="9882" width="3" customWidth="1"/>
    <col min="9883" max="9883" width="4.140625" customWidth="1"/>
    <col min="9884" max="9888" width="7.42578125" customWidth="1"/>
    <col min="9889" max="9889" width="5.140625" customWidth="1"/>
    <col min="9890" max="9890" width="4.140625" customWidth="1"/>
    <col min="9891" max="9891" width="4.7109375" customWidth="1"/>
    <col min="9892" max="9892" width="3.5703125" customWidth="1"/>
    <col min="9893" max="9893" width="3" customWidth="1"/>
    <col min="9894" max="9896" width="5.140625" customWidth="1"/>
    <col min="9897" max="9900" width="4.140625" customWidth="1"/>
    <col min="9901" max="9901" width="4.7109375" customWidth="1"/>
    <col min="9902" max="9902" width="5.140625" customWidth="1"/>
    <col min="9903" max="9903" width="3" customWidth="1"/>
    <col min="9904" max="9909" width="4.140625" customWidth="1"/>
    <col min="9910" max="9910" width="3" customWidth="1"/>
    <col min="9911" max="9915" width="7.42578125" customWidth="1"/>
    <col min="9916" max="9919" width="3" customWidth="1"/>
    <col min="9920" max="9922" width="4.140625" customWidth="1"/>
    <col min="9923" max="9923" width="5.140625" customWidth="1"/>
    <col min="9924" max="9924" width="4.140625" customWidth="1"/>
    <col min="9925" max="9925" width="3" customWidth="1"/>
    <col min="10126" max="10126" width="3" customWidth="1"/>
    <col min="10127" max="10127" width="23.85546875" customWidth="1"/>
    <col min="10128" max="10128" width="2.7109375" customWidth="1"/>
    <col min="10129" max="10129" width="7.7109375" customWidth="1"/>
    <col min="10130" max="10130" width="12.85546875" customWidth="1"/>
    <col min="10131" max="10131" width="7.42578125" customWidth="1"/>
    <col min="10132" max="10133" width="18.7109375" customWidth="1"/>
    <col min="10134" max="10134" width="3" customWidth="1"/>
    <col min="10135" max="10136" width="4.140625" customWidth="1"/>
    <col min="10137" max="10138" width="3" customWidth="1"/>
    <col min="10139" max="10139" width="4.140625" customWidth="1"/>
    <col min="10140" max="10144" width="7.42578125" customWidth="1"/>
    <col min="10145" max="10145" width="5.140625" customWidth="1"/>
    <col min="10146" max="10146" width="4.140625" customWidth="1"/>
    <col min="10147" max="10147" width="4.7109375" customWidth="1"/>
    <col min="10148" max="10148" width="3.5703125" customWidth="1"/>
    <col min="10149" max="10149" width="3" customWidth="1"/>
    <col min="10150" max="10152" width="5.140625" customWidth="1"/>
    <col min="10153" max="10156" width="4.140625" customWidth="1"/>
    <col min="10157" max="10157" width="4.7109375" customWidth="1"/>
    <col min="10158" max="10158" width="5.140625" customWidth="1"/>
    <col min="10159" max="10159" width="3" customWidth="1"/>
    <col min="10160" max="10165" width="4.140625" customWidth="1"/>
    <col min="10166" max="10166" width="3" customWidth="1"/>
    <col min="10167" max="10171" width="7.42578125" customWidth="1"/>
    <col min="10172" max="10175" width="3" customWidth="1"/>
    <col min="10176" max="10178" width="4.140625" customWidth="1"/>
    <col min="10179" max="10179" width="5.140625" customWidth="1"/>
    <col min="10180" max="10180" width="4.140625" customWidth="1"/>
    <col min="10181" max="10181" width="3" customWidth="1"/>
    <col min="10382" max="10382" width="3" customWidth="1"/>
    <col min="10383" max="10383" width="23.85546875" customWidth="1"/>
    <col min="10384" max="10384" width="2.7109375" customWidth="1"/>
    <col min="10385" max="10385" width="7.7109375" customWidth="1"/>
    <col min="10386" max="10386" width="12.85546875" customWidth="1"/>
    <col min="10387" max="10387" width="7.42578125" customWidth="1"/>
    <col min="10388" max="10389" width="18.7109375" customWidth="1"/>
    <col min="10390" max="10390" width="3" customWidth="1"/>
    <col min="10391" max="10392" width="4.140625" customWidth="1"/>
    <col min="10393" max="10394" width="3" customWidth="1"/>
    <col min="10395" max="10395" width="4.140625" customWidth="1"/>
    <col min="10396" max="10400" width="7.42578125" customWidth="1"/>
    <col min="10401" max="10401" width="5.140625" customWidth="1"/>
    <col min="10402" max="10402" width="4.140625" customWidth="1"/>
    <col min="10403" max="10403" width="4.7109375" customWidth="1"/>
    <col min="10404" max="10404" width="3.5703125" customWidth="1"/>
    <col min="10405" max="10405" width="3" customWidth="1"/>
    <col min="10406" max="10408" width="5.140625" customWidth="1"/>
    <col min="10409" max="10412" width="4.140625" customWidth="1"/>
    <col min="10413" max="10413" width="4.7109375" customWidth="1"/>
    <col min="10414" max="10414" width="5.140625" customWidth="1"/>
    <col min="10415" max="10415" width="3" customWidth="1"/>
    <col min="10416" max="10421" width="4.140625" customWidth="1"/>
    <col min="10422" max="10422" width="3" customWidth="1"/>
    <col min="10423" max="10427" width="7.42578125" customWidth="1"/>
    <col min="10428" max="10431" width="3" customWidth="1"/>
    <col min="10432" max="10434" width="4.140625" customWidth="1"/>
    <col min="10435" max="10435" width="5.140625" customWidth="1"/>
    <col min="10436" max="10436" width="4.140625" customWidth="1"/>
    <col min="10437" max="10437" width="3" customWidth="1"/>
    <col min="10638" max="10638" width="3" customWidth="1"/>
    <col min="10639" max="10639" width="23.85546875" customWidth="1"/>
    <col min="10640" max="10640" width="2.7109375" customWidth="1"/>
    <col min="10641" max="10641" width="7.7109375" customWidth="1"/>
    <col min="10642" max="10642" width="12.85546875" customWidth="1"/>
    <col min="10643" max="10643" width="7.42578125" customWidth="1"/>
    <col min="10644" max="10645" width="18.7109375" customWidth="1"/>
    <col min="10646" max="10646" width="3" customWidth="1"/>
    <col min="10647" max="10648" width="4.140625" customWidth="1"/>
    <col min="10649" max="10650" width="3" customWidth="1"/>
    <col min="10651" max="10651" width="4.140625" customWidth="1"/>
    <col min="10652" max="10656" width="7.42578125" customWidth="1"/>
    <col min="10657" max="10657" width="5.140625" customWidth="1"/>
    <col min="10658" max="10658" width="4.140625" customWidth="1"/>
    <col min="10659" max="10659" width="4.7109375" customWidth="1"/>
    <col min="10660" max="10660" width="3.5703125" customWidth="1"/>
    <col min="10661" max="10661" width="3" customWidth="1"/>
    <col min="10662" max="10664" width="5.140625" customWidth="1"/>
    <col min="10665" max="10668" width="4.140625" customWidth="1"/>
    <col min="10669" max="10669" width="4.7109375" customWidth="1"/>
    <col min="10670" max="10670" width="5.140625" customWidth="1"/>
    <col min="10671" max="10671" width="3" customWidth="1"/>
    <col min="10672" max="10677" width="4.140625" customWidth="1"/>
    <col min="10678" max="10678" width="3" customWidth="1"/>
    <col min="10679" max="10683" width="7.42578125" customWidth="1"/>
    <col min="10684" max="10687" width="3" customWidth="1"/>
    <col min="10688" max="10690" width="4.140625" customWidth="1"/>
    <col min="10691" max="10691" width="5.140625" customWidth="1"/>
    <col min="10692" max="10692" width="4.140625" customWidth="1"/>
    <col min="10693" max="10693" width="3" customWidth="1"/>
    <col min="10894" max="10894" width="3" customWidth="1"/>
    <col min="10895" max="10895" width="23.85546875" customWidth="1"/>
    <col min="10896" max="10896" width="2.7109375" customWidth="1"/>
    <col min="10897" max="10897" width="7.7109375" customWidth="1"/>
    <col min="10898" max="10898" width="12.85546875" customWidth="1"/>
    <col min="10899" max="10899" width="7.42578125" customWidth="1"/>
    <col min="10900" max="10901" width="18.7109375" customWidth="1"/>
    <col min="10902" max="10902" width="3" customWidth="1"/>
    <col min="10903" max="10904" width="4.140625" customWidth="1"/>
    <col min="10905" max="10906" width="3" customWidth="1"/>
    <col min="10907" max="10907" width="4.140625" customWidth="1"/>
    <col min="10908" max="10912" width="7.42578125" customWidth="1"/>
    <col min="10913" max="10913" width="5.140625" customWidth="1"/>
    <col min="10914" max="10914" width="4.140625" customWidth="1"/>
    <col min="10915" max="10915" width="4.7109375" customWidth="1"/>
    <col min="10916" max="10916" width="3.5703125" customWidth="1"/>
    <col min="10917" max="10917" width="3" customWidth="1"/>
    <col min="10918" max="10920" width="5.140625" customWidth="1"/>
    <col min="10921" max="10924" width="4.140625" customWidth="1"/>
    <col min="10925" max="10925" width="4.7109375" customWidth="1"/>
    <col min="10926" max="10926" width="5.140625" customWidth="1"/>
    <col min="10927" max="10927" width="3" customWidth="1"/>
    <col min="10928" max="10933" width="4.140625" customWidth="1"/>
    <col min="10934" max="10934" width="3" customWidth="1"/>
    <col min="10935" max="10939" width="7.42578125" customWidth="1"/>
    <col min="10940" max="10943" width="3" customWidth="1"/>
    <col min="10944" max="10946" width="4.140625" customWidth="1"/>
    <col min="10947" max="10947" width="5.140625" customWidth="1"/>
    <col min="10948" max="10948" width="4.140625" customWidth="1"/>
    <col min="10949" max="10949" width="3" customWidth="1"/>
    <col min="11150" max="11150" width="3" customWidth="1"/>
    <col min="11151" max="11151" width="23.85546875" customWidth="1"/>
    <col min="11152" max="11152" width="2.7109375" customWidth="1"/>
    <col min="11153" max="11153" width="7.7109375" customWidth="1"/>
    <col min="11154" max="11154" width="12.85546875" customWidth="1"/>
    <col min="11155" max="11155" width="7.42578125" customWidth="1"/>
    <col min="11156" max="11157" width="18.7109375" customWidth="1"/>
    <col min="11158" max="11158" width="3" customWidth="1"/>
    <col min="11159" max="11160" width="4.140625" customWidth="1"/>
    <col min="11161" max="11162" width="3" customWidth="1"/>
    <col min="11163" max="11163" width="4.140625" customWidth="1"/>
    <col min="11164" max="11168" width="7.42578125" customWidth="1"/>
    <col min="11169" max="11169" width="5.140625" customWidth="1"/>
    <col min="11170" max="11170" width="4.140625" customWidth="1"/>
    <col min="11171" max="11171" width="4.7109375" customWidth="1"/>
    <col min="11172" max="11172" width="3.5703125" customWidth="1"/>
    <col min="11173" max="11173" width="3" customWidth="1"/>
    <col min="11174" max="11176" width="5.140625" customWidth="1"/>
    <col min="11177" max="11180" width="4.140625" customWidth="1"/>
    <col min="11181" max="11181" width="4.7109375" customWidth="1"/>
    <col min="11182" max="11182" width="5.140625" customWidth="1"/>
    <col min="11183" max="11183" width="3" customWidth="1"/>
    <col min="11184" max="11189" width="4.140625" customWidth="1"/>
    <col min="11190" max="11190" width="3" customWidth="1"/>
    <col min="11191" max="11195" width="7.42578125" customWidth="1"/>
    <col min="11196" max="11199" width="3" customWidth="1"/>
    <col min="11200" max="11202" width="4.140625" customWidth="1"/>
    <col min="11203" max="11203" width="5.140625" customWidth="1"/>
    <col min="11204" max="11204" width="4.140625" customWidth="1"/>
    <col min="11205" max="11205" width="3" customWidth="1"/>
    <col min="11406" max="11406" width="3" customWidth="1"/>
    <col min="11407" max="11407" width="23.85546875" customWidth="1"/>
    <col min="11408" max="11408" width="2.7109375" customWidth="1"/>
    <col min="11409" max="11409" width="7.7109375" customWidth="1"/>
    <col min="11410" max="11410" width="12.85546875" customWidth="1"/>
    <col min="11411" max="11411" width="7.42578125" customWidth="1"/>
    <col min="11412" max="11413" width="18.7109375" customWidth="1"/>
    <col min="11414" max="11414" width="3" customWidth="1"/>
    <col min="11415" max="11416" width="4.140625" customWidth="1"/>
    <col min="11417" max="11418" width="3" customWidth="1"/>
    <col min="11419" max="11419" width="4.140625" customWidth="1"/>
    <col min="11420" max="11424" width="7.42578125" customWidth="1"/>
    <col min="11425" max="11425" width="5.140625" customWidth="1"/>
    <col min="11426" max="11426" width="4.140625" customWidth="1"/>
    <col min="11427" max="11427" width="4.7109375" customWidth="1"/>
    <col min="11428" max="11428" width="3.5703125" customWidth="1"/>
    <col min="11429" max="11429" width="3" customWidth="1"/>
    <col min="11430" max="11432" width="5.140625" customWidth="1"/>
    <col min="11433" max="11436" width="4.140625" customWidth="1"/>
    <col min="11437" max="11437" width="4.7109375" customWidth="1"/>
    <col min="11438" max="11438" width="5.140625" customWidth="1"/>
    <col min="11439" max="11439" width="3" customWidth="1"/>
    <col min="11440" max="11445" width="4.140625" customWidth="1"/>
    <col min="11446" max="11446" width="3" customWidth="1"/>
    <col min="11447" max="11451" width="7.42578125" customWidth="1"/>
    <col min="11452" max="11455" width="3" customWidth="1"/>
    <col min="11456" max="11458" width="4.140625" customWidth="1"/>
    <col min="11459" max="11459" width="5.140625" customWidth="1"/>
    <col min="11460" max="11460" width="4.140625" customWidth="1"/>
    <col min="11461" max="11461" width="3" customWidth="1"/>
    <col min="11662" max="11662" width="3" customWidth="1"/>
    <col min="11663" max="11663" width="23.85546875" customWidth="1"/>
    <col min="11664" max="11664" width="2.7109375" customWidth="1"/>
    <col min="11665" max="11665" width="7.7109375" customWidth="1"/>
    <col min="11666" max="11666" width="12.85546875" customWidth="1"/>
    <col min="11667" max="11667" width="7.42578125" customWidth="1"/>
    <col min="11668" max="11669" width="18.7109375" customWidth="1"/>
    <col min="11670" max="11670" width="3" customWidth="1"/>
    <col min="11671" max="11672" width="4.140625" customWidth="1"/>
    <col min="11673" max="11674" width="3" customWidth="1"/>
    <col min="11675" max="11675" width="4.140625" customWidth="1"/>
    <col min="11676" max="11680" width="7.42578125" customWidth="1"/>
    <col min="11681" max="11681" width="5.140625" customWidth="1"/>
    <col min="11682" max="11682" width="4.140625" customWidth="1"/>
    <col min="11683" max="11683" width="4.7109375" customWidth="1"/>
    <col min="11684" max="11684" width="3.5703125" customWidth="1"/>
    <col min="11685" max="11685" width="3" customWidth="1"/>
    <col min="11686" max="11688" width="5.140625" customWidth="1"/>
    <col min="11689" max="11692" width="4.140625" customWidth="1"/>
    <col min="11693" max="11693" width="4.7109375" customWidth="1"/>
    <col min="11694" max="11694" width="5.140625" customWidth="1"/>
    <col min="11695" max="11695" width="3" customWidth="1"/>
    <col min="11696" max="11701" width="4.140625" customWidth="1"/>
    <col min="11702" max="11702" width="3" customWidth="1"/>
    <col min="11703" max="11707" width="7.42578125" customWidth="1"/>
    <col min="11708" max="11711" width="3" customWidth="1"/>
    <col min="11712" max="11714" width="4.140625" customWidth="1"/>
    <col min="11715" max="11715" width="5.140625" customWidth="1"/>
    <col min="11716" max="11716" width="4.140625" customWidth="1"/>
    <col min="11717" max="11717" width="3" customWidth="1"/>
    <col min="11918" max="11918" width="3" customWidth="1"/>
    <col min="11919" max="11919" width="23.85546875" customWidth="1"/>
    <col min="11920" max="11920" width="2.7109375" customWidth="1"/>
    <col min="11921" max="11921" width="7.7109375" customWidth="1"/>
    <col min="11922" max="11922" width="12.85546875" customWidth="1"/>
    <col min="11923" max="11923" width="7.42578125" customWidth="1"/>
    <col min="11924" max="11925" width="18.7109375" customWidth="1"/>
    <col min="11926" max="11926" width="3" customWidth="1"/>
    <col min="11927" max="11928" width="4.140625" customWidth="1"/>
    <col min="11929" max="11930" width="3" customWidth="1"/>
    <col min="11931" max="11931" width="4.140625" customWidth="1"/>
    <col min="11932" max="11936" width="7.42578125" customWidth="1"/>
    <col min="11937" max="11937" width="5.140625" customWidth="1"/>
    <col min="11938" max="11938" width="4.140625" customWidth="1"/>
    <col min="11939" max="11939" width="4.7109375" customWidth="1"/>
    <col min="11940" max="11940" width="3.5703125" customWidth="1"/>
    <col min="11941" max="11941" width="3" customWidth="1"/>
    <col min="11942" max="11944" width="5.140625" customWidth="1"/>
    <col min="11945" max="11948" width="4.140625" customWidth="1"/>
    <col min="11949" max="11949" width="4.7109375" customWidth="1"/>
    <col min="11950" max="11950" width="5.140625" customWidth="1"/>
    <col min="11951" max="11951" width="3" customWidth="1"/>
    <col min="11952" max="11957" width="4.140625" customWidth="1"/>
    <col min="11958" max="11958" width="3" customWidth="1"/>
    <col min="11959" max="11963" width="7.42578125" customWidth="1"/>
    <col min="11964" max="11967" width="3" customWidth="1"/>
    <col min="11968" max="11970" width="4.140625" customWidth="1"/>
    <col min="11971" max="11971" width="5.140625" customWidth="1"/>
    <col min="11972" max="11972" width="4.140625" customWidth="1"/>
    <col min="11973" max="11973" width="3" customWidth="1"/>
    <col min="12174" max="12174" width="3" customWidth="1"/>
    <col min="12175" max="12175" width="23.85546875" customWidth="1"/>
    <col min="12176" max="12176" width="2.7109375" customWidth="1"/>
    <col min="12177" max="12177" width="7.7109375" customWidth="1"/>
    <col min="12178" max="12178" width="12.85546875" customWidth="1"/>
    <col min="12179" max="12179" width="7.42578125" customWidth="1"/>
    <col min="12180" max="12181" width="18.7109375" customWidth="1"/>
    <col min="12182" max="12182" width="3" customWidth="1"/>
    <col min="12183" max="12184" width="4.140625" customWidth="1"/>
    <col min="12185" max="12186" width="3" customWidth="1"/>
    <col min="12187" max="12187" width="4.140625" customWidth="1"/>
    <col min="12188" max="12192" width="7.42578125" customWidth="1"/>
    <col min="12193" max="12193" width="5.140625" customWidth="1"/>
    <col min="12194" max="12194" width="4.140625" customWidth="1"/>
    <col min="12195" max="12195" width="4.7109375" customWidth="1"/>
    <col min="12196" max="12196" width="3.5703125" customWidth="1"/>
    <col min="12197" max="12197" width="3" customWidth="1"/>
    <col min="12198" max="12200" width="5.140625" customWidth="1"/>
    <col min="12201" max="12204" width="4.140625" customWidth="1"/>
    <col min="12205" max="12205" width="4.7109375" customWidth="1"/>
    <col min="12206" max="12206" width="5.140625" customWidth="1"/>
    <col min="12207" max="12207" width="3" customWidth="1"/>
    <col min="12208" max="12213" width="4.140625" customWidth="1"/>
    <col min="12214" max="12214" width="3" customWidth="1"/>
    <col min="12215" max="12219" width="7.42578125" customWidth="1"/>
    <col min="12220" max="12223" width="3" customWidth="1"/>
    <col min="12224" max="12226" width="4.140625" customWidth="1"/>
    <col min="12227" max="12227" width="5.140625" customWidth="1"/>
    <col min="12228" max="12228" width="4.140625" customWidth="1"/>
    <col min="12229" max="12229" width="3" customWidth="1"/>
    <col min="12430" max="12430" width="3" customWidth="1"/>
    <col min="12431" max="12431" width="23.85546875" customWidth="1"/>
    <col min="12432" max="12432" width="2.7109375" customWidth="1"/>
    <col min="12433" max="12433" width="7.7109375" customWidth="1"/>
    <col min="12434" max="12434" width="12.85546875" customWidth="1"/>
    <col min="12435" max="12435" width="7.42578125" customWidth="1"/>
    <col min="12436" max="12437" width="18.7109375" customWidth="1"/>
    <col min="12438" max="12438" width="3" customWidth="1"/>
    <col min="12439" max="12440" width="4.140625" customWidth="1"/>
    <col min="12441" max="12442" width="3" customWidth="1"/>
    <col min="12443" max="12443" width="4.140625" customWidth="1"/>
    <col min="12444" max="12448" width="7.42578125" customWidth="1"/>
    <col min="12449" max="12449" width="5.140625" customWidth="1"/>
    <col min="12450" max="12450" width="4.140625" customWidth="1"/>
    <col min="12451" max="12451" width="4.7109375" customWidth="1"/>
    <col min="12452" max="12452" width="3.5703125" customWidth="1"/>
    <col min="12453" max="12453" width="3" customWidth="1"/>
    <col min="12454" max="12456" width="5.140625" customWidth="1"/>
    <col min="12457" max="12460" width="4.140625" customWidth="1"/>
    <col min="12461" max="12461" width="4.7109375" customWidth="1"/>
    <col min="12462" max="12462" width="5.140625" customWidth="1"/>
    <col min="12463" max="12463" width="3" customWidth="1"/>
    <col min="12464" max="12469" width="4.140625" customWidth="1"/>
    <col min="12470" max="12470" width="3" customWidth="1"/>
    <col min="12471" max="12475" width="7.42578125" customWidth="1"/>
    <col min="12476" max="12479" width="3" customWidth="1"/>
    <col min="12480" max="12482" width="4.140625" customWidth="1"/>
    <col min="12483" max="12483" width="5.140625" customWidth="1"/>
    <col min="12484" max="12484" width="4.140625" customWidth="1"/>
    <col min="12485" max="12485" width="3" customWidth="1"/>
    <col min="12686" max="12686" width="3" customWidth="1"/>
    <col min="12687" max="12687" width="23.85546875" customWidth="1"/>
    <col min="12688" max="12688" width="2.7109375" customWidth="1"/>
    <col min="12689" max="12689" width="7.7109375" customWidth="1"/>
    <col min="12690" max="12690" width="12.85546875" customWidth="1"/>
    <col min="12691" max="12691" width="7.42578125" customWidth="1"/>
    <col min="12692" max="12693" width="18.7109375" customWidth="1"/>
    <col min="12694" max="12694" width="3" customWidth="1"/>
    <col min="12695" max="12696" width="4.140625" customWidth="1"/>
    <col min="12697" max="12698" width="3" customWidth="1"/>
    <col min="12699" max="12699" width="4.140625" customWidth="1"/>
    <col min="12700" max="12704" width="7.42578125" customWidth="1"/>
    <col min="12705" max="12705" width="5.140625" customWidth="1"/>
    <col min="12706" max="12706" width="4.140625" customWidth="1"/>
    <col min="12707" max="12707" width="4.7109375" customWidth="1"/>
    <col min="12708" max="12708" width="3.5703125" customWidth="1"/>
    <col min="12709" max="12709" width="3" customWidth="1"/>
    <col min="12710" max="12712" width="5.140625" customWidth="1"/>
    <col min="12713" max="12716" width="4.140625" customWidth="1"/>
    <col min="12717" max="12717" width="4.7109375" customWidth="1"/>
    <col min="12718" max="12718" width="5.140625" customWidth="1"/>
    <col min="12719" max="12719" width="3" customWidth="1"/>
    <col min="12720" max="12725" width="4.140625" customWidth="1"/>
    <col min="12726" max="12726" width="3" customWidth="1"/>
    <col min="12727" max="12731" width="7.42578125" customWidth="1"/>
    <col min="12732" max="12735" width="3" customWidth="1"/>
    <col min="12736" max="12738" width="4.140625" customWidth="1"/>
    <col min="12739" max="12739" width="5.140625" customWidth="1"/>
    <col min="12740" max="12740" width="4.140625" customWidth="1"/>
    <col min="12741" max="12741" width="3" customWidth="1"/>
    <col min="12942" max="12942" width="3" customWidth="1"/>
    <col min="12943" max="12943" width="23.85546875" customWidth="1"/>
    <col min="12944" max="12944" width="2.7109375" customWidth="1"/>
    <col min="12945" max="12945" width="7.7109375" customWidth="1"/>
    <col min="12946" max="12946" width="12.85546875" customWidth="1"/>
    <col min="12947" max="12947" width="7.42578125" customWidth="1"/>
    <col min="12948" max="12949" width="18.7109375" customWidth="1"/>
    <col min="12950" max="12950" width="3" customWidth="1"/>
    <col min="12951" max="12952" width="4.140625" customWidth="1"/>
    <col min="12953" max="12954" width="3" customWidth="1"/>
    <col min="12955" max="12955" width="4.140625" customWidth="1"/>
    <col min="12956" max="12960" width="7.42578125" customWidth="1"/>
    <col min="12961" max="12961" width="5.140625" customWidth="1"/>
    <col min="12962" max="12962" width="4.140625" customWidth="1"/>
    <col min="12963" max="12963" width="4.7109375" customWidth="1"/>
    <col min="12964" max="12964" width="3.5703125" customWidth="1"/>
    <col min="12965" max="12965" width="3" customWidth="1"/>
    <col min="12966" max="12968" width="5.140625" customWidth="1"/>
    <col min="12969" max="12972" width="4.140625" customWidth="1"/>
    <col min="12973" max="12973" width="4.7109375" customWidth="1"/>
    <col min="12974" max="12974" width="5.140625" customWidth="1"/>
    <col min="12975" max="12975" width="3" customWidth="1"/>
    <col min="12976" max="12981" width="4.140625" customWidth="1"/>
    <col min="12982" max="12982" width="3" customWidth="1"/>
    <col min="12983" max="12987" width="7.42578125" customWidth="1"/>
    <col min="12988" max="12991" width="3" customWidth="1"/>
    <col min="12992" max="12994" width="4.140625" customWidth="1"/>
    <col min="12995" max="12995" width="5.140625" customWidth="1"/>
    <col min="12996" max="12996" width="4.140625" customWidth="1"/>
    <col min="12997" max="12997" width="3" customWidth="1"/>
    <col min="13198" max="13198" width="3" customWidth="1"/>
    <col min="13199" max="13199" width="23.85546875" customWidth="1"/>
    <col min="13200" max="13200" width="2.7109375" customWidth="1"/>
    <col min="13201" max="13201" width="7.7109375" customWidth="1"/>
    <col min="13202" max="13202" width="12.85546875" customWidth="1"/>
    <col min="13203" max="13203" width="7.42578125" customWidth="1"/>
    <col min="13204" max="13205" width="18.7109375" customWidth="1"/>
    <col min="13206" max="13206" width="3" customWidth="1"/>
    <col min="13207" max="13208" width="4.140625" customWidth="1"/>
    <col min="13209" max="13210" width="3" customWidth="1"/>
    <col min="13211" max="13211" width="4.140625" customWidth="1"/>
    <col min="13212" max="13216" width="7.42578125" customWidth="1"/>
    <col min="13217" max="13217" width="5.140625" customWidth="1"/>
    <col min="13218" max="13218" width="4.140625" customWidth="1"/>
    <col min="13219" max="13219" width="4.7109375" customWidth="1"/>
    <col min="13220" max="13220" width="3.5703125" customWidth="1"/>
    <col min="13221" max="13221" width="3" customWidth="1"/>
    <col min="13222" max="13224" width="5.140625" customWidth="1"/>
    <col min="13225" max="13228" width="4.140625" customWidth="1"/>
    <col min="13229" max="13229" width="4.7109375" customWidth="1"/>
    <col min="13230" max="13230" width="5.140625" customWidth="1"/>
    <col min="13231" max="13231" width="3" customWidth="1"/>
    <col min="13232" max="13237" width="4.140625" customWidth="1"/>
    <col min="13238" max="13238" width="3" customWidth="1"/>
    <col min="13239" max="13243" width="7.42578125" customWidth="1"/>
    <col min="13244" max="13247" width="3" customWidth="1"/>
    <col min="13248" max="13250" width="4.140625" customWidth="1"/>
    <col min="13251" max="13251" width="5.140625" customWidth="1"/>
    <col min="13252" max="13252" width="4.140625" customWidth="1"/>
    <col min="13253" max="13253" width="3" customWidth="1"/>
    <col min="13454" max="13454" width="3" customWidth="1"/>
    <col min="13455" max="13455" width="23.85546875" customWidth="1"/>
    <col min="13456" max="13456" width="2.7109375" customWidth="1"/>
    <col min="13457" max="13457" width="7.7109375" customWidth="1"/>
    <col min="13458" max="13458" width="12.85546875" customWidth="1"/>
    <col min="13459" max="13459" width="7.42578125" customWidth="1"/>
    <col min="13460" max="13461" width="18.7109375" customWidth="1"/>
    <col min="13462" max="13462" width="3" customWidth="1"/>
    <col min="13463" max="13464" width="4.140625" customWidth="1"/>
    <col min="13465" max="13466" width="3" customWidth="1"/>
    <col min="13467" max="13467" width="4.140625" customWidth="1"/>
    <col min="13468" max="13472" width="7.42578125" customWidth="1"/>
    <col min="13473" max="13473" width="5.140625" customWidth="1"/>
    <col min="13474" max="13474" width="4.140625" customWidth="1"/>
    <col min="13475" max="13475" width="4.7109375" customWidth="1"/>
    <col min="13476" max="13476" width="3.5703125" customWidth="1"/>
    <col min="13477" max="13477" width="3" customWidth="1"/>
    <col min="13478" max="13480" width="5.140625" customWidth="1"/>
    <col min="13481" max="13484" width="4.140625" customWidth="1"/>
    <col min="13485" max="13485" width="4.7109375" customWidth="1"/>
    <col min="13486" max="13486" width="5.140625" customWidth="1"/>
    <col min="13487" max="13487" width="3" customWidth="1"/>
    <col min="13488" max="13493" width="4.140625" customWidth="1"/>
    <col min="13494" max="13494" width="3" customWidth="1"/>
    <col min="13495" max="13499" width="7.42578125" customWidth="1"/>
    <col min="13500" max="13503" width="3" customWidth="1"/>
    <col min="13504" max="13506" width="4.140625" customWidth="1"/>
    <col min="13507" max="13507" width="5.140625" customWidth="1"/>
    <col min="13508" max="13508" width="4.140625" customWidth="1"/>
    <col min="13509" max="13509" width="3" customWidth="1"/>
    <col min="13710" max="13710" width="3" customWidth="1"/>
    <col min="13711" max="13711" width="23.85546875" customWidth="1"/>
    <col min="13712" max="13712" width="2.7109375" customWidth="1"/>
    <col min="13713" max="13713" width="7.7109375" customWidth="1"/>
    <col min="13714" max="13714" width="12.85546875" customWidth="1"/>
    <col min="13715" max="13715" width="7.42578125" customWidth="1"/>
    <col min="13716" max="13717" width="18.7109375" customWidth="1"/>
    <col min="13718" max="13718" width="3" customWidth="1"/>
    <col min="13719" max="13720" width="4.140625" customWidth="1"/>
    <col min="13721" max="13722" width="3" customWidth="1"/>
    <col min="13723" max="13723" width="4.140625" customWidth="1"/>
    <col min="13724" max="13728" width="7.42578125" customWidth="1"/>
    <col min="13729" max="13729" width="5.140625" customWidth="1"/>
    <col min="13730" max="13730" width="4.140625" customWidth="1"/>
    <col min="13731" max="13731" width="4.7109375" customWidth="1"/>
    <col min="13732" max="13732" width="3.5703125" customWidth="1"/>
    <col min="13733" max="13733" width="3" customWidth="1"/>
    <col min="13734" max="13736" width="5.140625" customWidth="1"/>
    <col min="13737" max="13740" width="4.140625" customWidth="1"/>
    <col min="13741" max="13741" width="4.7109375" customWidth="1"/>
    <col min="13742" max="13742" width="5.140625" customWidth="1"/>
    <col min="13743" max="13743" width="3" customWidth="1"/>
    <col min="13744" max="13749" width="4.140625" customWidth="1"/>
    <col min="13750" max="13750" width="3" customWidth="1"/>
    <col min="13751" max="13755" width="7.42578125" customWidth="1"/>
    <col min="13756" max="13759" width="3" customWidth="1"/>
    <col min="13760" max="13762" width="4.140625" customWidth="1"/>
    <col min="13763" max="13763" width="5.140625" customWidth="1"/>
    <col min="13764" max="13764" width="4.140625" customWidth="1"/>
    <col min="13765" max="13765" width="3" customWidth="1"/>
    <col min="13966" max="13966" width="3" customWidth="1"/>
    <col min="13967" max="13967" width="23.85546875" customWidth="1"/>
    <col min="13968" max="13968" width="2.7109375" customWidth="1"/>
    <col min="13969" max="13969" width="7.7109375" customWidth="1"/>
    <col min="13970" max="13970" width="12.85546875" customWidth="1"/>
    <col min="13971" max="13971" width="7.42578125" customWidth="1"/>
    <col min="13972" max="13973" width="18.7109375" customWidth="1"/>
    <col min="13974" max="13974" width="3" customWidth="1"/>
    <col min="13975" max="13976" width="4.140625" customWidth="1"/>
    <col min="13977" max="13978" width="3" customWidth="1"/>
    <col min="13979" max="13979" width="4.140625" customWidth="1"/>
    <col min="13980" max="13984" width="7.42578125" customWidth="1"/>
    <col min="13985" max="13985" width="5.140625" customWidth="1"/>
    <col min="13986" max="13986" width="4.140625" customWidth="1"/>
    <col min="13987" max="13987" width="4.7109375" customWidth="1"/>
    <col min="13988" max="13988" width="3.5703125" customWidth="1"/>
    <col min="13989" max="13989" width="3" customWidth="1"/>
    <col min="13990" max="13992" width="5.140625" customWidth="1"/>
    <col min="13993" max="13996" width="4.140625" customWidth="1"/>
    <col min="13997" max="13997" width="4.7109375" customWidth="1"/>
    <col min="13998" max="13998" width="5.140625" customWidth="1"/>
    <col min="13999" max="13999" width="3" customWidth="1"/>
    <col min="14000" max="14005" width="4.140625" customWidth="1"/>
    <col min="14006" max="14006" width="3" customWidth="1"/>
    <col min="14007" max="14011" width="7.42578125" customWidth="1"/>
    <col min="14012" max="14015" width="3" customWidth="1"/>
    <col min="14016" max="14018" width="4.140625" customWidth="1"/>
    <col min="14019" max="14019" width="5.140625" customWidth="1"/>
    <col min="14020" max="14020" width="4.140625" customWidth="1"/>
    <col min="14021" max="14021" width="3" customWidth="1"/>
    <col min="14222" max="14222" width="3" customWidth="1"/>
    <col min="14223" max="14223" width="23.85546875" customWidth="1"/>
    <col min="14224" max="14224" width="2.7109375" customWidth="1"/>
    <col min="14225" max="14225" width="7.7109375" customWidth="1"/>
    <col min="14226" max="14226" width="12.85546875" customWidth="1"/>
    <col min="14227" max="14227" width="7.42578125" customWidth="1"/>
    <col min="14228" max="14229" width="18.7109375" customWidth="1"/>
    <col min="14230" max="14230" width="3" customWidth="1"/>
    <col min="14231" max="14232" width="4.140625" customWidth="1"/>
    <col min="14233" max="14234" width="3" customWidth="1"/>
    <col min="14235" max="14235" width="4.140625" customWidth="1"/>
    <col min="14236" max="14240" width="7.42578125" customWidth="1"/>
    <col min="14241" max="14241" width="5.140625" customWidth="1"/>
    <col min="14242" max="14242" width="4.140625" customWidth="1"/>
    <col min="14243" max="14243" width="4.7109375" customWidth="1"/>
    <col min="14244" max="14244" width="3.5703125" customWidth="1"/>
    <col min="14245" max="14245" width="3" customWidth="1"/>
    <col min="14246" max="14248" width="5.140625" customWidth="1"/>
    <col min="14249" max="14252" width="4.140625" customWidth="1"/>
    <col min="14253" max="14253" width="4.7109375" customWidth="1"/>
    <col min="14254" max="14254" width="5.140625" customWidth="1"/>
    <col min="14255" max="14255" width="3" customWidth="1"/>
    <col min="14256" max="14261" width="4.140625" customWidth="1"/>
    <col min="14262" max="14262" width="3" customWidth="1"/>
    <col min="14263" max="14267" width="7.42578125" customWidth="1"/>
    <col min="14268" max="14271" width="3" customWidth="1"/>
    <col min="14272" max="14274" width="4.140625" customWidth="1"/>
    <col min="14275" max="14275" width="5.140625" customWidth="1"/>
    <col min="14276" max="14276" width="4.140625" customWidth="1"/>
    <col min="14277" max="14277" width="3" customWidth="1"/>
    <col min="14478" max="14478" width="3" customWidth="1"/>
    <col min="14479" max="14479" width="23.85546875" customWidth="1"/>
    <col min="14480" max="14480" width="2.7109375" customWidth="1"/>
    <col min="14481" max="14481" width="7.7109375" customWidth="1"/>
    <col min="14482" max="14482" width="12.85546875" customWidth="1"/>
    <col min="14483" max="14483" width="7.42578125" customWidth="1"/>
    <col min="14484" max="14485" width="18.7109375" customWidth="1"/>
    <col min="14486" max="14486" width="3" customWidth="1"/>
    <col min="14487" max="14488" width="4.140625" customWidth="1"/>
    <col min="14489" max="14490" width="3" customWidth="1"/>
    <col min="14491" max="14491" width="4.140625" customWidth="1"/>
    <col min="14492" max="14496" width="7.42578125" customWidth="1"/>
    <col min="14497" max="14497" width="5.140625" customWidth="1"/>
    <col min="14498" max="14498" width="4.140625" customWidth="1"/>
    <col min="14499" max="14499" width="4.7109375" customWidth="1"/>
    <col min="14500" max="14500" width="3.5703125" customWidth="1"/>
    <col min="14501" max="14501" width="3" customWidth="1"/>
    <col min="14502" max="14504" width="5.140625" customWidth="1"/>
    <col min="14505" max="14508" width="4.140625" customWidth="1"/>
    <col min="14509" max="14509" width="4.7109375" customWidth="1"/>
    <col min="14510" max="14510" width="5.140625" customWidth="1"/>
    <col min="14511" max="14511" width="3" customWidth="1"/>
    <col min="14512" max="14517" width="4.140625" customWidth="1"/>
    <col min="14518" max="14518" width="3" customWidth="1"/>
    <col min="14519" max="14523" width="7.42578125" customWidth="1"/>
    <col min="14524" max="14527" width="3" customWidth="1"/>
    <col min="14528" max="14530" width="4.140625" customWidth="1"/>
    <col min="14531" max="14531" width="5.140625" customWidth="1"/>
    <col min="14532" max="14532" width="4.140625" customWidth="1"/>
    <col min="14533" max="14533" width="3" customWidth="1"/>
    <col min="14734" max="14734" width="3" customWidth="1"/>
    <col min="14735" max="14735" width="23.85546875" customWidth="1"/>
    <col min="14736" max="14736" width="2.7109375" customWidth="1"/>
    <col min="14737" max="14737" width="7.7109375" customWidth="1"/>
    <col min="14738" max="14738" width="12.85546875" customWidth="1"/>
    <col min="14739" max="14739" width="7.42578125" customWidth="1"/>
    <col min="14740" max="14741" width="18.7109375" customWidth="1"/>
    <col min="14742" max="14742" width="3" customWidth="1"/>
    <col min="14743" max="14744" width="4.140625" customWidth="1"/>
    <col min="14745" max="14746" width="3" customWidth="1"/>
    <col min="14747" max="14747" width="4.140625" customWidth="1"/>
    <col min="14748" max="14752" width="7.42578125" customWidth="1"/>
    <col min="14753" max="14753" width="5.140625" customWidth="1"/>
    <col min="14754" max="14754" width="4.140625" customWidth="1"/>
    <col min="14755" max="14755" width="4.7109375" customWidth="1"/>
    <col min="14756" max="14756" width="3.5703125" customWidth="1"/>
    <col min="14757" max="14757" width="3" customWidth="1"/>
    <col min="14758" max="14760" width="5.140625" customWidth="1"/>
    <col min="14761" max="14764" width="4.140625" customWidth="1"/>
    <col min="14765" max="14765" width="4.7109375" customWidth="1"/>
    <col min="14766" max="14766" width="5.140625" customWidth="1"/>
    <col min="14767" max="14767" width="3" customWidth="1"/>
    <col min="14768" max="14773" width="4.140625" customWidth="1"/>
    <col min="14774" max="14774" width="3" customWidth="1"/>
    <col min="14775" max="14779" width="7.42578125" customWidth="1"/>
    <col min="14780" max="14783" width="3" customWidth="1"/>
    <col min="14784" max="14786" width="4.140625" customWidth="1"/>
    <col min="14787" max="14787" width="5.140625" customWidth="1"/>
    <col min="14788" max="14788" width="4.140625" customWidth="1"/>
    <col min="14789" max="14789" width="3" customWidth="1"/>
    <col min="14990" max="14990" width="3" customWidth="1"/>
    <col min="14991" max="14991" width="23.85546875" customWidth="1"/>
    <col min="14992" max="14992" width="2.7109375" customWidth="1"/>
    <col min="14993" max="14993" width="7.7109375" customWidth="1"/>
    <col min="14994" max="14994" width="12.85546875" customWidth="1"/>
    <col min="14995" max="14995" width="7.42578125" customWidth="1"/>
    <col min="14996" max="14997" width="18.7109375" customWidth="1"/>
    <col min="14998" max="14998" width="3" customWidth="1"/>
    <col min="14999" max="15000" width="4.140625" customWidth="1"/>
    <col min="15001" max="15002" width="3" customWidth="1"/>
    <col min="15003" max="15003" width="4.140625" customWidth="1"/>
    <col min="15004" max="15008" width="7.42578125" customWidth="1"/>
    <col min="15009" max="15009" width="5.140625" customWidth="1"/>
    <col min="15010" max="15010" width="4.140625" customWidth="1"/>
    <col min="15011" max="15011" width="4.7109375" customWidth="1"/>
    <col min="15012" max="15012" width="3.5703125" customWidth="1"/>
    <col min="15013" max="15013" width="3" customWidth="1"/>
    <col min="15014" max="15016" width="5.140625" customWidth="1"/>
    <col min="15017" max="15020" width="4.140625" customWidth="1"/>
    <col min="15021" max="15021" width="4.7109375" customWidth="1"/>
    <col min="15022" max="15022" width="5.140625" customWidth="1"/>
    <col min="15023" max="15023" width="3" customWidth="1"/>
    <col min="15024" max="15029" width="4.140625" customWidth="1"/>
    <col min="15030" max="15030" width="3" customWidth="1"/>
    <col min="15031" max="15035" width="7.42578125" customWidth="1"/>
    <col min="15036" max="15039" width="3" customWidth="1"/>
    <col min="15040" max="15042" width="4.140625" customWidth="1"/>
    <col min="15043" max="15043" width="5.140625" customWidth="1"/>
    <col min="15044" max="15044" width="4.140625" customWidth="1"/>
    <col min="15045" max="15045" width="3" customWidth="1"/>
  </cols>
  <sheetData>
    <row r="1" spans="1:9" s="47" customFormat="1" ht="12.75" x14ac:dyDescent="0.2">
      <c r="A1" s="88"/>
      <c r="B1" s="88"/>
      <c r="C1" s="88"/>
      <c r="D1" s="88"/>
      <c r="E1" s="88"/>
      <c r="F1" s="88"/>
      <c r="G1" s="88"/>
      <c r="H1" s="88"/>
      <c r="I1" s="88"/>
    </row>
    <row r="2" spans="1:9" ht="14.85" customHeight="1" x14ac:dyDescent="0.25">
      <c r="A2" s="13"/>
      <c r="B2" s="13"/>
      <c r="C2" s="87"/>
      <c r="D2" s="14"/>
      <c r="E2" s="14"/>
      <c r="F2" s="14"/>
      <c r="G2" s="14"/>
    </row>
    <row r="3" spans="1:9" ht="14.85" customHeight="1" x14ac:dyDescent="0.25">
      <c r="A3" s="13"/>
      <c r="B3" s="13"/>
      <c r="C3" s="87"/>
      <c r="D3" s="14"/>
      <c r="E3" s="14"/>
      <c r="F3" s="14"/>
      <c r="G3" s="14"/>
    </row>
    <row r="4" spans="1:9" ht="14.85" customHeight="1" x14ac:dyDescent="0.25">
      <c r="A4" s="13"/>
      <c r="B4" s="13"/>
      <c r="C4" s="87"/>
      <c r="D4" s="14"/>
      <c r="E4" s="14"/>
      <c r="F4" s="14"/>
      <c r="G4" s="14"/>
    </row>
    <row r="5" spans="1:9" ht="14.85" customHeight="1" x14ac:dyDescent="0.25">
      <c r="A5" s="13"/>
      <c r="B5" s="13"/>
      <c r="C5" s="87"/>
      <c r="D5" s="14"/>
      <c r="E5" s="14"/>
      <c r="F5" s="14"/>
      <c r="G5" s="14"/>
    </row>
    <row r="6" spans="1:9" ht="14.85" customHeight="1" x14ac:dyDescent="0.25">
      <c r="A6" s="13"/>
      <c r="B6" s="13"/>
      <c r="C6" s="87"/>
      <c r="D6" s="14"/>
      <c r="E6" s="14"/>
      <c r="F6" s="14"/>
      <c r="G6" s="14"/>
    </row>
    <row r="7" spans="1:9" ht="14.85" customHeight="1" x14ac:dyDescent="0.25">
      <c r="A7" s="13"/>
      <c r="B7" s="13"/>
      <c r="C7" s="87"/>
      <c r="D7" s="14"/>
      <c r="E7" s="14"/>
      <c r="F7" s="14"/>
      <c r="G7" s="14"/>
    </row>
    <row r="8" spans="1:9" ht="14.85" customHeight="1" x14ac:dyDescent="0.25">
      <c r="A8" s="13"/>
      <c r="B8" s="13"/>
      <c r="C8" s="87"/>
      <c r="D8" s="14"/>
      <c r="E8" s="14"/>
      <c r="F8" s="14"/>
      <c r="G8" s="14"/>
    </row>
    <row r="9" spans="1:9" ht="13.5" customHeight="1" x14ac:dyDescent="0.25">
      <c r="A9" s="13"/>
      <c r="B9" s="13"/>
      <c r="C9" s="87"/>
      <c r="D9" s="14"/>
      <c r="E9" s="14"/>
      <c r="F9" s="14"/>
      <c r="G9" s="14"/>
    </row>
    <row r="10" spans="1:9" ht="14.85" customHeight="1" x14ac:dyDescent="0.25">
      <c r="A10" s="13"/>
      <c r="B10" s="13"/>
      <c r="C10" s="87"/>
      <c r="D10" s="14"/>
      <c r="E10" s="14"/>
      <c r="F10" s="14"/>
      <c r="G10" s="14"/>
    </row>
    <row r="11" spans="1:9" ht="14.85" customHeight="1" x14ac:dyDescent="0.25">
      <c r="A11" s="13"/>
      <c r="B11" s="13"/>
      <c r="C11" s="87"/>
      <c r="D11" s="14"/>
      <c r="E11" s="14"/>
      <c r="F11" s="14"/>
      <c r="G11" s="14"/>
    </row>
    <row r="12" spans="1:9" ht="14.85" customHeight="1" x14ac:dyDescent="0.25">
      <c r="A12" s="13"/>
      <c r="B12" s="13"/>
      <c r="C12" s="87"/>
      <c r="D12" s="14"/>
      <c r="E12" s="14"/>
      <c r="F12" s="14"/>
      <c r="G12" s="14"/>
    </row>
    <row r="13" spans="1:9" ht="14.85" customHeight="1" x14ac:dyDescent="0.25">
      <c r="A13" s="13"/>
      <c r="B13" s="13"/>
      <c r="C13" s="87"/>
      <c r="D13" s="14"/>
      <c r="E13" s="14"/>
      <c r="F13" s="14"/>
      <c r="G13" s="14"/>
    </row>
    <row r="14" spans="1:9" ht="14.85" customHeight="1" x14ac:dyDescent="0.25">
      <c r="A14" s="13"/>
      <c r="B14" s="13"/>
      <c r="C14" s="87"/>
      <c r="D14" s="14"/>
      <c r="E14" s="14"/>
      <c r="F14" s="14"/>
      <c r="G14" s="14"/>
    </row>
    <row r="15" spans="1:9" ht="14.85" customHeight="1" x14ac:dyDescent="0.25">
      <c r="A15" s="13"/>
      <c r="B15" s="13"/>
      <c r="C15" s="87"/>
      <c r="D15" s="14"/>
      <c r="E15" s="14"/>
      <c r="F15" s="14"/>
      <c r="G15" s="14"/>
    </row>
    <row r="16" spans="1:9" ht="14.85" customHeight="1" x14ac:dyDescent="0.25">
      <c r="A16" s="13"/>
      <c r="B16" s="13"/>
      <c r="C16" s="87"/>
      <c r="D16" s="14"/>
      <c r="E16" s="14"/>
      <c r="F16" s="14"/>
      <c r="G16" s="14"/>
    </row>
    <row r="17" spans="1:7" ht="14.85" customHeight="1" x14ac:dyDescent="0.25">
      <c r="A17" s="13"/>
      <c r="B17" s="13"/>
      <c r="C17" s="87"/>
      <c r="D17" s="14"/>
      <c r="E17" s="14"/>
      <c r="F17" s="14"/>
      <c r="G17" s="14"/>
    </row>
    <row r="18" spans="1:7" ht="14.85" customHeight="1" x14ac:dyDescent="0.25">
      <c r="A18" s="13"/>
      <c r="B18" s="13"/>
      <c r="C18" s="87"/>
      <c r="D18" s="14"/>
      <c r="E18" s="14"/>
      <c r="F18" s="14"/>
      <c r="G18" s="14"/>
    </row>
    <row r="19" spans="1:7" ht="14.85" customHeight="1" x14ac:dyDescent="0.25">
      <c r="A19" s="13"/>
      <c r="B19" s="13"/>
      <c r="C19" s="87"/>
      <c r="D19" s="14"/>
      <c r="E19" s="14"/>
      <c r="F19" s="14"/>
      <c r="G19" s="14"/>
    </row>
    <row r="20" spans="1:7" ht="14.85" customHeight="1" x14ac:dyDescent="0.25">
      <c r="A20" s="13"/>
      <c r="B20" s="13"/>
      <c r="C20" s="87"/>
      <c r="D20" s="14"/>
      <c r="E20" s="14"/>
      <c r="F20" s="14"/>
      <c r="G20" s="14"/>
    </row>
    <row r="21" spans="1:7" ht="14.85" customHeight="1" x14ac:dyDescent="0.25">
      <c r="A21" s="13"/>
      <c r="B21" s="13"/>
      <c r="C21" s="87"/>
      <c r="D21" s="14"/>
      <c r="E21" s="14"/>
      <c r="F21" s="14"/>
      <c r="G21" s="14"/>
    </row>
    <row r="22" spans="1:7" ht="14.85" customHeight="1" x14ac:dyDescent="0.25">
      <c r="B22" s="13"/>
    </row>
    <row r="23" spans="1:7" ht="14.85" customHeight="1" x14ac:dyDescent="0.25">
      <c r="B23" s="13"/>
    </row>
    <row r="24" spans="1:7" x14ac:dyDescent="0.25">
      <c r="B24" s="13"/>
    </row>
    <row r="25" spans="1:7" x14ac:dyDescent="0.25">
      <c r="B25" s="1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233"/>
  <sheetViews>
    <sheetView showGridLines="0" tabSelected="1" topLeftCell="AD1" workbookViewId="0">
      <selection sqref="A1:R233"/>
    </sheetView>
  </sheetViews>
  <sheetFormatPr defaultRowHeight="15" x14ac:dyDescent="0.25"/>
  <cols>
    <col min="2" max="2" width="10.7109375" style="1" bestFit="1" customWidth="1"/>
    <col min="3" max="3" width="27.28515625" style="1" bestFit="1" customWidth="1"/>
    <col min="4" max="4" width="13.85546875" style="1" bestFit="1" customWidth="1"/>
    <col min="5" max="5" width="14" style="1" hidden="1" customWidth="1"/>
    <col min="6" max="9" width="16.5703125" style="1" hidden="1" customWidth="1"/>
    <col min="10" max="10" width="19.7109375" style="10" hidden="1" customWidth="1"/>
    <col min="11" max="11" width="14.42578125" style="1" bestFit="1" customWidth="1"/>
    <col min="12" max="14" width="14.42578125" style="1" customWidth="1"/>
    <col min="15" max="15" width="15.5703125" style="1" bestFit="1" customWidth="1"/>
    <col min="16" max="16" width="21.140625" customWidth="1"/>
  </cols>
  <sheetData>
    <row r="1" spans="2:16" x14ac:dyDescent="0.25">
      <c r="H1" s="89" t="s">
        <v>45</v>
      </c>
      <c r="I1" s="89"/>
      <c r="N1" s="89" t="s">
        <v>45</v>
      </c>
      <c r="O1" s="89"/>
    </row>
    <row r="2" spans="2:16" x14ac:dyDescent="0.25">
      <c r="H2" s="1" t="s">
        <v>40</v>
      </c>
      <c r="I2" s="1" t="s">
        <v>42</v>
      </c>
      <c r="K2" s="8" t="s">
        <v>38</v>
      </c>
      <c r="L2" s="8" t="s">
        <v>44</v>
      </c>
      <c r="M2" s="8" t="s">
        <v>39</v>
      </c>
      <c r="N2" s="1" t="s">
        <v>40</v>
      </c>
      <c r="O2" s="1" t="s">
        <v>42</v>
      </c>
    </row>
    <row r="3" spans="2:16" x14ac:dyDescent="0.25">
      <c r="B3" s="5" t="s">
        <v>0</v>
      </c>
      <c r="C3" s="5" t="s">
        <v>34</v>
      </c>
      <c r="D3" s="8" t="s">
        <v>50</v>
      </c>
      <c r="E3" s="8" t="s">
        <v>36</v>
      </c>
      <c r="F3" s="8" t="s">
        <v>37</v>
      </c>
      <c r="G3" s="8" t="s">
        <v>39</v>
      </c>
      <c r="H3" s="8" t="s">
        <v>43</v>
      </c>
      <c r="I3" s="8" t="s">
        <v>41</v>
      </c>
      <c r="J3" s="8" t="s">
        <v>47</v>
      </c>
      <c r="K3" s="8" t="s">
        <v>48</v>
      </c>
      <c r="L3" s="8" t="s">
        <v>49</v>
      </c>
      <c r="M3" s="8" t="s">
        <v>39</v>
      </c>
      <c r="N3" s="8" t="s">
        <v>41</v>
      </c>
      <c r="O3" s="8" t="s">
        <v>43</v>
      </c>
      <c r="P3" s="8" t="s">
        <v>47</v>
      </c>
    </row>
    <row r="4" spans="2:16" x14ac:dyDescent="0.25">
      <c r="B4" s="7">
        <v>45299</v>
      </c>
      <c r="C4" s="7" t="s">
        <v>89</v>
      </c>
      <c r="D4" s="1">
        <v>79</v>
      </c>
      <c r="E4" s="1">
        <v>54</v>
      </c>
      <c r="F4" s="1">
        <v>54</v>
      </c>
      <c r="G4" s="1">
        <f>(E4/F4)</f>
        <v>1</v>
      </c>
      <c r="H4" s="1">
        <v>0.8</v>
      </c>
      <c r="I4" s="1">
        <v>1.3</v>
      </c>
      <c r="J4" s="10">
        <v>1.5</v>
      </c>
      <c r="K4" s="1">
        <v>54</v>
      </c>
      <c r="L4" s="1">
        <v>54</v>
      </c>
      <c r="M4" s="1">
        <f t="shared" ref="M4:M13" si="0">(K4/L4)</f>
        <v>1</v>
      </c>
      <c r="N4" s="1">
        <v>0.8</v>
      </c>
      <c r="O4" s="1">
        <v>1.3</v>
      </c>
      <c r="P4" s="1">
        <v>1.5</v>
      </c>
    </row>
    <row r="5" spans="2:16" x14ac:dyDescent="0.25">
      <c r="B5" s="7">
        <v>45300</v>
      </c>
      <c r="C5" s="7" t="s">
        <v>90</v>
      </c>
      <c r="D5" s="1">
        <v>83</v>
      </c>
      <c r="E5" s="1">
        <f>(D5-E4)*(2/4)+E4</f>
        <v>68.5</v>
      </c>
      <c r="F5" s="9">
        <f>(D5-F4)*(2/22)+F4</f>
        <v>56.636363636363633</v>
      </c>
      <c r="G5" s="9">
        <f>(E5/F5)</f>
        <v>1.209470304975923</v>
      </c>
      <c r="H5" s="1">
        <v>0.8</v>
      </c>
      <c r="I5" s="1">
        <v>1.3</v>
      </c>
      <c r="J5" s="10">
        <v>1.5</v>
      </c>
      <c r="K5" s="9">
        <f t="shared" ref="K5:K6" si="1">(D5-K4)*(2/8)+K4</f>
        <v>61.25</v>
      </c>
      <c r="L5" s="9">
        <f t="shared" ref="L5:L13" si="2">(D5-L4)*(2/29)+L4</f>
        <v>56</v>
      </c>
      <c r="M5" s="9">
        <f t="shared" si="0"/>
        <v>1.09375</v>
      </c>
      <c r="N5" s="1">
        <v>0.8</v>
      </c>
      <c r="O5" s="1">
        <v>1.3</v>
      </c>
      <c r="P5" s="1">
        <v>1.5</v>
      </c>
    </row>
    <row r="6" spans="2:16" x14ac:dyDescent="0.25">
      <c r="B6" s="7">
        <v>45301</v>
      </c>
      <c r="C6" s="7" t="s">
        <v>91</v>
      </c>
      <c r="D6" s="1">
        <v>0</v>
      </c>
      <c r="E6" s="9">
        <f t="shared" ref="E6:E25" si="3">(D6-E5)*(2/4)+E5</f>
        <v>34.25</v>
      </c>
      <c r="F6" s="9">
        <f t="shared" ref="F6:F25" si="4">(D6-F5)*(2/22)+F5</f>
        <v>51.487603305785122</v>
      </c>
      <c r="G6" s="9">
        <f t="shared" ref="G6:G25" si="5">(E6/F6)</f>
        <v>0.66520866773675769</v>
      </c>
      <c r="H6" s="1">
        <v>0.8</v>
      </c>
      <c r="I6" s="1">
        <v>1.3</v>
      </c>
      <c r="J6" s="10">
        <v>1.5</v>
      </c>
      <c r="K6" s="9">
        <f t="shared" si="1"/>
        <v>45.9375</v>
      </c>
      <c r="L6" s="9">
        <f>(D6-L5)*(2/29)+L5</f>
        <v>52.137931034482762</v>
      </c>
      <c r="M6" s="9">
        <f t="shared" si="0"/>
        <v>0.88107638888888884</v>
      </c>
      <c r="N6" s="1">
        <v>0.8</v>
      </c>
      <c r="O6" s="1">
        <v>1.3</v>
      </c>
      <c r="P6" s="1">
        <v>1.5</v>
      </c>
    </row>
    <row r="7" spans="2:16" x14ac:dyDescent="0.25">
      <c r="B7" s="7">
        <v>45302</v>
      </c>
      <c r="C7" s="7" t="s">
        <v>92</v>
      </c>
      <c r="D7" s="1">
        <v>107</v>
      </c>
      <c r="E7" s="9">
        <f t="shared" si="3"/>
        <v>70.625</v>
      </c>
      <c r="F7" s="9">
        <f t="shared" si="4"/>
        <v>56.534184823441024</v>
      </c>
      <c r="G7" s="9">
        <f t="shared" si="5"/>
        <v>1.2492441559131926</v>
      </c>
      <c r="H7" s="1">
        <v>0.8</v>
      </c>
      <c r="I7" s="1">
        <v>1.3</v>
      </c>
      <c r="J7" s="10">
        <v>1.5</v>
      </c>
      <c r="K7" s="9">
        <f t="shared" ref="K7:K14" si="6">(D7-K6)*(2/8)+K6</f>
        <v>61.203125</v>
      </c>
      <c r="L7" s="9">
        <f>(D7-L6)*(2/29)+L6</f>
        <v>55.92152199762188</v>
      </c>
      <c r="M7" s="9">
        <f t="shared" si="0"/>
        <v>1.0944466962577077</v>
      </c>
      <c r="N7" s="1">
        <v>0.8</v>
      </c>
      <c r="O7" s="1">
        <v>1.3</v>
      </c>
      <c r="P7" s="1">
        <v>1.5</v>
      </c>
    </row>
    <row r="8" spans="2:16" x14ac:dyDescent="0.25">
      <c r="B8" s="7">
        <v>45303</v>
      </c>
      <c r="C8" s="7" t="s">
        <v>93</v>
      </c>
      <c r="D8" s="1">
        <v>108</v>
      </c>
      <c r="E8" s="9">
        <f t="shared" si="3"/>
        <v>89.3125</v>
      </c>
      <c r="F8" s="9">
        <f t="shared" si="4"/>
        <v>61.212895294037295</v>
      </c>
      <c r="G8" s="9">
        <f t="shared" si="5"/>
        <v>1.4590471431058067</v>
      </c>
      <c r="H8" s="1">
        <v>0.8</v>
      </c>
      <c r="I8" s="1">
        <v>1.3</v>
      </c>
      <c r="J8" s="10">
        <v>1.5</v>
      </c>
      <c r="K8" s="9">
        <f t="shared" si="6"/>
        <v>72.90234375</v>
      </c>
      <c r="L8" s="9">
        <f t="shared" si="2"/>
        <v>59.513141170199681</v>
      </c>
      <c r="M8" s="9">
        <f t="shared" si="0"/>
        <v>1.2249789259402217</v>
      </c>
      <c r="N8" s="1">
        <v>0.8</v>
      </c>
      <c r="O8" s="1">
        <v>1.3</v>
      </c>
      <c r="P8" s="1">
        <v>1.5</v>
      </c>
    </row>
    <row r="9" spans="2:16" x14ac:dyDescent="0.25">
      <c r="B9" s="7">
        <v>45304</v>
      </c>
      <c r="C9" s="7" t="s">
        <v>97</v>
      </c>
      <c r="D9" s="1">
        <v>0</v>
      </c>
      <c r="E9" s="9">
        <f t="shared" si="3"/>
        <v>44.65625</v>
      </c>
      <c r="F9" s="9">
        <f t="shared" si="4"/>
        <v>55.648086630942998</v>
      </c>
      <c r="G9" s="9">
        <f t="shared" si="5"/>
        <v>0.80247592870819373</v>
      </c>
      <c r="H9" s="1">
        <v>0.8</v>
      </c>
      <c r="I9" s="1">
        <v>1.3</v>
      </c>
      <c r="J9" s="10">
        <v>1.5</v>
      </c>
      <c r="K9" s="9">
        <f t="shared" si="6"/>
        <v>54.6767578125</v>
      </c>
      <c r="L9" s="9">
        <f t="shared" si="2"/>
        <v>55.408786606737635</v>
      </c>
      <c r="M9" s="9">
        <f t="shared" si="0"/>
        <v>0.98678857922962304</v>
      </c>
      <c r="N9" s="1">
        <v>0.8</v>
      </c>
      <c r="O9" s="1">
        <v>1.3</v>
      </c>
      <c r="P9" s="1">
        <v>1.5</v>
      </c>
    </row>
    <row r="10" spans="2:16" x14ac:dyDescent="0.25">
      <c r="B10" s="7">
        <v>45305</v>
      </c>
      <c r="C10" s="7" t="s">
        <v>98</v>
      </c>
      <c r="D10" s="1">
        <v>0</v>
      </c>
      <c r="E10" s="9">
        <f t="shared" si="3"/>
        <v>22.328125</v>
      </c>
      <c r="F10" s="9">
        <f t="shared" si="4"/>
        <v>50.589169664493632</v>
      </c>
      <c r="G10" s="9">
        <f t="shared" si="5"/>
        <v>0.44136176078950656</v>
      </c>
      <c r="H10" s="1">
        <v>0.8</v>
      </c>
      <c r="I10" s="1">
        <v>1.3</v>
      </c>
      <c r="J10" s="10">
        <v>1.5</v>
      </c>
      <c r="K10" s="9">
        <f t="shared" si="6"/>
        <v>41.007568359375</v>
      </c>
      <c r="L10" s="9">
        <f t="shared" si="2"/>
        <v>51.587490978686766</v>
      </c>
      <c r="M10" s="9">
        <f t="shared" si="0"/>
        <v>0.79491302215719639</v>
      </c>
      <c r="N10" s="1">
        <v>0.8</v>
      </c>
      <c r="O10" s="1">
        <v>1.3</v>
      </c>
      <c r="P10" s="1">
        <v>1.5</v>
      </c>
    </row>
    <row r="11" spans="2:16" x14ac:dyDescent="0.25">
      <c r="B11" s="7">
        <v>45306</v>
      </c>
      <c r="C11" s="7" t="s">
        <v>99</v>
      </c>
      <c r="D11" s="1">
        <v>30</v>
      </c>
      <c r="E11" s="9">
        <f t="shared" si="3"/>
        <v>26.1640625</v>
      </c>
      <c r="F11" s="9">
        <f>(D11-F10)*(2/22)+F10</f>
        <v>48.717426967721487</v>
      </c>
      <c r="G11" s="9">
        <f t="shared" si="5"/>
        <v>0.537057560887512</v>
      </c>
      <c r="H11" s="1">
        <v>0.8</v>
      </c>
      <c r="I11" s="1">
        <v>1.3</v>
      </c>
      <c r="J11" s="10">
        <v>1.5</v>
      </c>
      <c r="K11" s="9">
        <f t="shared" si="6"/>
        <v>38.25567626953125</v>
      </c>
      <c r="L11" s="9">
        <f t="shared" si="2"/>
        <v>50.098698497398026</v>
      </c>
      <c r="M11" s="9">
        <f t="shared" si="0"/>
        <v>0.76360618972004102</v>
      </c>
      <c r="N11" s="1">
        <v>0.8</v>
      </c>
      <c r="O11" s="1">
        <v>1.3</v>
      </c>
      <c r="P11" s="1">
        <v>1.5</v>
      </c>
    </row>
    <row r="12" spans="2:16" x14ac:dyDescent="0.25">
      <c r="B12" s="7">
        <v>45307</v>
      </c>
      <c r="C12" s="7" t="s">
        <v>100</v>
      </c>
      <c r="D12" s="1">
        <v>59</v>
      </c>
      <c r="E12" s="9">
        <f>(D12-E11)*(2/4)+E11</f>
        <v>42.58203125</v>
      </c>
      <c r="F12" s="9">
        <f t="shared" si="4"/>
        <v>49.652206334292259</v>
      </c>
      <c r="G12" s="9">
        <f t="shared" si="5"/>
        <v>0.8576060238553942</v>
      </c>
      <c r="H12" s="1">
        <v>0.8</v>
      </c>
      <c r="I12" s="1">
        <v>1.3</v>
      </c>
      <c r="J12" s="10">
        <v>1.5</v>
      </c>
      <c r="K12" s="9">
        <f t="shared" si="6"/>
        <v>43.441757202148438</v>
      </c>
      <c r="L12" s="9">
        <f t="shared" si="2"/>
        <v>50.712581359646435</v>
      </c>
      <c r="M12" s="9">
        <f t="shared" si="0"/>
        <v>0.85662681798951734</v>
      </c>
      <c r="N12" s="1">
        <v>0.8</v>
      </c>
      <c r="O12" s="1">
        <v>1.3</v>
      </c>
      <c r="P12" s="1">
        <v>1.5</v>
      </c>
    </row>
    <row r="13" spans="2:16" x14ac:dyDescent="0.25">
      <c r="B13" s="7">
        <v>45308</v>
      </c>
      <c r="C13" s="7" t="s">
        <v>101</v>
      </c>
      <c r="D13" s="1">
        <v>0</v>
      </c>
      <c r="E13" s="9">
        <f t="shared" si="3"/>
        <v>21.291015625</v>
      </c>
      <c r="F13" s="9">
        <f t="shared" si="4"/>
        <v>45.138369394811143</v>
      </c>
      <c r="G13" s="9">
        <f t="shared" si="5"/>
        <v>0.4716833131204668</v>
      </c>
      <c r="H13" s="1">
        <v>0.8</v>
      </c>
      <c r="I13" s="1">
        <v>1.3</v>
      </c>
      <c r="J13" s="10">
        <v>1.5</v>
      </c>
      <c r="K13" s="9">
        <f t="shared" si="6"/>
        <v>32.581317901611328</v>
      </c>
      <c r="L13" s="9">
        <f t="shared" si="2"/>
        <v>47.215161955532885</v>
      </c>
      <c r="M13" s="9">
        <f t="shared" si="0"/>
        <v>0.69006049226933353</v>
      </c>
      <c r="N13" s="1">
        <v>0.8</v>
      </c>
      <c r="O13" s="1">
        <v>1.3</v>
      </c>
      <c r="P13" s="1">
        <v>1.5</v>
      </c>
    </row>
    <row r="14" spans="2:16" x14ac:dyDescent="0.25">
      <c r="B14" s="7">
        <v>45309</v>
      </c>
      <c r="C14" s="7" t="s">
        <v>102</v>
      </c>
      <c r="D14" s="1">
        <v>133</v>
      </c>
      <c r="E14" s="9">
        <f t="shared" si="3"/>
        <v>77.1455078125</v>
      </c>
      <c r="F14" s="9">
        <f t="shared" si="4"/>
        <v>53.125790358919218</v>
      </c>
      <c r="G14" s="9">
        <f t="shared" si="5"/>
        <v>1.452129131468971</v>
      </c>
      <c r="H14" s="1">
        <v>0.8</v>
      </c>
      <c r="I14" s="1">
        <v>1.3</v>
      </c>
      <c r="J14" s="10">
        <v>1.5</v>
      </c>
      <c r="K14" s="9">
        <f t="shared" si="6"/>
        <v>57.685988426208496</v>
      </c>
      <c r="L14" s="9">
        <f t="shared" ref="L14:L18" si="7">(D14-L13)*(2/29)+L13</f>
        <v>53.131357682737516</v>
      </c>
      <c r="M14" s="9">
        <f t="shared" ref="M14:M17" si="8">(K14/L14)</f>
        <v>1.0857239668270473</v>
      </c>
      <c r="N14" s="1">
        <v>0.8</v>
      </c>
      <c r="O14" s="1">
        <v>1.3</v>
      </c>
      <c r="P14" s="1">
        <v>1.5</v>
      </c>
    </row>
    <row r="15" spans="2:16" x14ac:dyDescent="0.25">
      <c r="B15" s="7">
        <v>45310</v>
      </c>
      <c r="C15" s="7" t="s">
        <v>103</v>
      </c>
      <c r="D15" s="1">
        <v>80</v>
      </c>
      <c r="E15" s="9">
        <f t="shared" si="3"/>
        <v>78.57275390625</v>
      </c>
      <c r="F15" s="9">
        <f t="shared" si="4"/>
        <v>55.568900326290198</v>
      </c>
      <c r="G15" s="9">
        <f t="shared" si="5"/>
        <v>1.4139699264316097</v>
      </c>
      <c r="H15" s="1">
        <v>0.8</v>
      </c>
      <c r="I15" s="1">
        <v>1.3</v>
      </c>
      <c r="J15" s="10">
        <v>1.5</v>
      </c>
      <c r="K15" s="9">
        <f t="shared" ref="K15:K18" si="9">(D15-K14)*(2/8)+K14</f>
        <v>63.264491319656372</v>
      </c>
      <c r="L15" s="9">
        <f t="shared" si="7"/>
        <v>54.984367497721138</v>
      </c>
      <c r="M15" s="9">
        <f t="shared" si="8"/>
        <v>1.1505905077889349</v>
      </c>
      <c r="N15" s="1">
        <v>0.8</v>
      </c>
      <c r="O15" s="1">
        <v>1.3</v>
      </c>
      <c r="P15" s="1">
        <v>1.5</v>
      </c>
    </row>
    <row r="16" spans="2:16" x14ac:dyDescent="0.25">
      <c r="B16" s="7">
        <v>45311</v>
      </c>
      <c r="C16" s="7" t="s">
        <v>119</v>
      </c>
      <c r="D16" s="1">
        <v>97.73</v>
      </c>
      <c r="E16" s="9">
        <f t="shared" si="3"/>
        <v>88.151376953125009</v>
      </c>
      <c r="F16" s="9">
        <f t="shared" si="4"/>
        <v>59.401727569354726</v>
      </c>
      <c r="G16" s="9">
        <f t="shared" si="5"/>
        <v>1.4839867552707708</v>
      </c>
      <c r="H16" s="1">
        <v>0.8</v>
      </c>
      <c r="I16" s="1">
        <v>1.3</v>
      </c>
      <c r="J16" s="10">
        <v>1.5</v>
      </c>
      <c r="K16" s="9">
        <f t="shared" si="9"/>
        <v>71.880868489742284</v>
      </c>
      <c r="L16" s="9">
        <f t="shared" si="7"/>
        <v>57.932342153050712</v>
      </c>
      <c r="M16" s="9">
        <f t="shared" si="8"/>
        <v>1.240772698259655</v>
      </c>
      <c r="N16" s="1">
        <v>0.8</v>
      </c>
      <c r="O16" s="1">
        <v>1.3</v>
      </c>
      <c r="P16" s="1">
        <v>1.5</v>
      </c>
    </row>
    <row r="17" spans="2:16" x14ac:dyDescent="0.25">
      <c r="B17" s="7">
        <v>45312</v>
      </c>
      <c r="C17" s="7" t="s">
        <v>104</v>
      </c>
      <c r="D17" s="1">
        <v>0</v>
      </c>
      <c r="E17" s="9">
        <f t="shared" si="3"/>
        <v>44.075688476562505</v>
      </c>
      <c r="F17" s="9">
        <f t="shared" si="4"/>
        <v>54.001570517595205</v>
      </c>
      <c r="G17" s="9">
        <f t="shared" si="5"/>
        <v>0.81619271539892391</v>
      </c>
      <c r="H17" s="1">
        <v>0.8</v>
      </c>
      <c r="I17" s="1">
        <v>1.3</v>
      </c>
      <c r="J17" s="10">
        <v>1.5</v>
      </c>
      <c r="K17" s="9">
        <f t="shared" si="9"/>
        <v>53.910651367306713</v>
      </c>
      <c r="L17" s="9">
        <f t="shared" si="7"/>
        <v>53.937008211461006</v>
      </c>
      <c r="M17" s="9">
        <f t="shared" si="8"/>
        <v>0.9995113402647221</v>
      </c>
      <c r="N17" s="1">
        <v>0.8</v>
      </c>
      <c r="O17" s="1">
        <v>1.3</v>
      </c>
      <c r="P17" s="1">
        <v>1.5</v>
      </c>
    </row>
    <row r="18" spans="2:16" x14ac:dyDescent="0.25">
      <c r="B18" s="7">
        <v>45313</v>
      </c>
      <c r="C18" s="7" t="s">
        <v>105</v>
      </c>
      <c r="D18" s="1">
        <v>135</v>
      </c>
      <c r="E18" s="9">
        <f t="shared" si="3"/>
        <v>89.537844238281252</v>
      </c>
      <c r="F18" s="9">
        <f t="shared" si="4"/>
        <v>61.365064106904732</v>
      </c>
      <c r="G18" s="9">
        <f t="shared" si="5"/>
        <v>1.4591012906349519</v>
      </c>
      <c r="H18" s="1">
        <v>0.8</v>
      </c>
      <c r="I18" s="1">
        <v>1.3</v>
      </c>
      <c r="J18" s="10">
        <v>1.5</v>
      </c>
      <c r="K18" s="9">
        <f t="shared" si="9"/>
        <v>74.182988525480027</v>
      </c>
      <c r="L18" s="9">
        <f t="shared" si="7"/>
        <v>59.527559369291282</v>
      </c>
      <c r="M18" s="9">
        <f t="shared" ref="M18:M30" si="10">(K18/L18)</f>
        <v>1.2461957001339634</v>
      </c>
      <c r="N18" s="1">
        <v>0.8</v>
      </c>
      <c r="O18" s="1">
        <v>1.3</v>
      </c>
      <c r="P18" s="1">
        <v>1.5</v>
      </c>
    </row>
    <row r="19" spans="2:16" x14ac:dyDescent="0.25">
      <c r="B19" s="7">
        <v>45314</v>
      </c>
      <c r="C19" s="7" t="s">
        <v>119</v>
      </c>
      <c r="D19" s="1">
        <v>97.2</v>
      </c>
      <c r="E19" s="9">
        <f t="shared" si="3"/>
        <v>93.36892211914062</v>
      </c>
      <c r="F19" s="9">
        <f t="shared" si="4"/>
        <v>64.622785551731582</v>
      </c>
      <c r="G19" s="9">
        <f t="shared" si="5"/>
        <v>1.444829734929908</v>
      </c>
      <c r="H19" s="1">
        <v>0.8</v>
      </c>
      <c r="I19" s="1">
        <v>1.3</v>
      </c>
      <c r="J19" s="10">
        <v>1.5</v>
      </c>
      <c r="K19" s="9">
        <f t="shared" ref="K19" si="11">(D19-K18)*(2/8)+K18</f>
        <v>79.937241394110018</v>
      </c>
      <c r="L19" s="9">
        <f t="shared" ref="L19:L35" si="12">(D19-L18)*(2/29)+L18</f>
        <v>62.125658723133263</v>
      </c>
      <c r="M19" s="9">
        <f t="shared" si="10"/>
        <v>1.2867025161110186</v>
      </c>
      <c r="N19" s="1">
        <v>0.8</v>
      </c>
      <c r="O19" s="1">
        <v>1.3</v>
      </c>
      <c r="P19" s="1">
        <v>1.5</v>
      </c>
    </row>
    <row r="20" spans="2:16" x14ac:dyDescent="0.25">
      <c r="B20" s="7">
        <v>45315</v>
      </c>
      <c r="C20" s="7" t="s">
        <v>106</v>
      </c>
      <c r="D20" s="1">
        <v>0</v>
      </c>
      <c r="E20" s="9">
        <f t="shared" si="3"/>
        <v>46.68446105957031</v>
      </c>
      <c r="F20" s="9">
        <f t="shared" si="4"/>
        <v>58.747986865210528</v>
      </c>
      <c r="G20" s="9">
        <f t="shared" si="5"/>
        <v>0.79465635421144931</v>
      </c>
      <c r="H20" s="1">
        <v>0.8</v>
      </c>
      <c r="I20" s="1">
        <v>1.3</v>
      </c>
      <c r="J20" s="10">
        <v>1.5</v>
      </c>
      <c r="K20" s="9">
        <f t="shared" ref="K20:K23" si="13">(D20-K19)*(2/8)+K19</f>
        <v>59.952931045582517</v>
      </c>
      <c r="L20" s="9">
        <f t="shared" si="12"/>
        <v>57.841130535330969</v>
      </c>
      <c r="M20" s="9">
        <f t="shared" si="10"/>
        <v>1.0365103602005428</v>
      </c>
      <c r="N20" s="1">
        <v>0.8</v>
      </c>
      <c r="O20" s="1">
        <v>1.3</v>
      </c>
      <c r="P20" s="1">
        <v>1.5</v>
      </c>
    </row>
    <row r="21" spans="2:16" x14ac:dyDescent="0.25">
      <c r="B21" s="7">
        <v>45316</v>
      </c>
      <c r="C21" s="7" t="s">
        <v>107</v>
      </c>
      <c r="D21" s="1">
        <v>67</v>
      </c>
      <c r="E21" s="9">
        <f t="shared" si="3"/>
        <v>56.842230529785155</v>
      </c>
      <c r="F21" s="9">
        <f t="shared" si="4"/>
        <v>59.498169877464115</v>
      </c>
      <c r="G21" s="9">
        <f t="shared" si="5"/>
        <v>0.95536099088175586</v>
      </c>
      <c r="H21" s="1">
        <v>0.8</v>
      </c>
      <c r="I21" s="1">
        <v>1.3</v>
      </c>
      <c r="J21" s="10">
        <v>1.5</v>
      </c>
      <c r="K21" s="9">
        <f t="shared" si="13"/>
        <v>61.714698284186888</v>
      </c>
      <c r="L21" s="9">
        <f t="shared" si="12"/>
        <v>58.472776705308142</v>
      </c>
      <c r="M21" s="9">
        <f t="shared" si="10"/>
        <v>1.0554432637125721</v>
      </c>
      <c r="N21" s="1">
        <v>0.8</v>
      </c>
      <c r="O21" s="1">
        <v>1.3</v>
      </c>
      <c r="P21" s="1">
        <v>1.5</v>
      </c>
    </row>
    <row r="22" spans="2:16" x14ac:dyDescent="0.25">
      <c r="B22" s="7">
        <v>45317</v>
      </c>
      <c r="C22" s="7" t="s">
        <v>108</v>
      </c>
      <c r="D22" s="1">
        <v>37.28</v>
      </c>
      <c r="E22" s="9">
        <f t="shared" si="3"/>
        <v>47.061115264892578</v>
      </c>
      <c r="F22" s="9">
        <f t="shared" si="4"/>
        <v>57.478336252240105</v>
      </c>
      <c r="G22" s="9">
        <f t="shared" si="5"/>
        <v>0.81876265621829758</v>
      </c>
      <c r="H22" s="1">
        <v>0.8</v>
      </c>
      <c r="I22" s="1">
        <v>1.3</v>
      </c>
      <c r="J22" s="10">
        <v>1.5</v>
      </c>
      <c r="K22" s="9">
        <f t="shared" si="13"/>
        <v>55.606023713140168</v>
      </c>
      <c r="L22" s="9">
        <f t="shared" si="12"/>
        <v>57.01120589804551</v>
      </c>
      <c r="M22" s="9">
        <f t="shared" si="10"/>
        <v>0.97535252652928861</v>
      </c>
      <c r="N22" s="1">
        <v>0.8</v>
      </c>
      <c r="O22" s="1">
        <v>1.3</v>
      </c>
      <c r="P22" s="1">
        <v>1.5</v>
      </c>
    </row>
    <row r="23" spans="2:16" x14ac:dyDescent="0.25">
      <c r="B23" s="7">
        <v>45318</v>
      </c>
      <c r="C23" s="7" t="s">
        <v>124</v>
      </c>
      <c r="D23" s="1">
        <v>107.44</v>
      </c>
      <c r="E23" s="9">
        <f t="shared" si="3"/>
        <v>77.250557632446288</v>
      </c>
      <c r="F23" s="9">
        <f t="shared" si="4"/>
        <v>62.020305683854644</v>
      </c>
      <c r="G23" s="9">
        <f t="shared" si="5"/>
        <v>1.2455687984871773</v>
      </c>
      <c r="H23" s="1">
        <v>0.8</v>
      </c>
      <c r="I23" s="1">
        <v>1.3</v>
      </c>
      <c r="J23" s="10">
        <v>1.5</v>
      </c>
      <c r="K23" s="9">
        <f t="shared" si="13"/>
        <v>68.564517784855127</v>
      </c>
      <c r="L23" s="9">
        <f t="shared" si="12"/>
        <v>60.489053767145819</v>
      </c>
      <c r="M23" s="9">
        <f t="shared" si="10"/>
        <v>1.1335028987028961</v>
      </c>
      <c r="N23" s="1">
        <v>0.8</v>
      </c>
      <c r="O23" s="1">
        <v>1.3</v>
      </c>
      <c r="P23" s="1">
        <v>1.5</v>
      </c>
    </row>
    <row r="24" spans="2:16" x14ac:dyDescent="0.25">
      <c r="B24" s="7">
        <v>45319</v>
      </c>
      <c r="C24" s="7" t="s">
        <v>109</v>
      </c>
      <c r="D24" s="1">
        <v>0</v>
      </c>
      <c r="E24" s="9">
        <f t="shared" si="3"/>
        <v>38.625278816223144</v>
      </c>
      <c r="F24" s="9">
        <f t="shared" si="4"/>
        <v>56.382096076231491</v>
      </c>
      <c r="G24" s="9">
        <f t="shared" si="5"/>
        <v>0.68506283916794763</v>
      </c>
      <c r="H24" s="1">
        <v>0.8</v>
      </c>
      <c r="I24" s="1">
        <v>1.3</v>
      </c>
      <c r="J24" s="10">
        <v>1.5</v>
      </c>
      <c r="K24" s="9">
        <f t="shared" ref="K24:K32" si="14">(D24-K23)*(2/8)+K23</f>
        <v>51.423388338641345</v>
      </c>
      <c r="L24" s="9">
        <f t="shared" ref="L24:L27" si="15">(D24-L23)*(2/29)+L23</f>
        <v>56.317394886653005</v>
      </c>
      <c r="M24" s="9">
        <f t="shared" si="10"/>
        <v>0.91309955728844416</v>
      </c>
      <c r="N24" s="1">
        <v>0.8</v>
      </c>
      <c r="O24" s="1">
        <v>1.3</v>
      </c>
      <c r="P24" s="1">
        <v>1.5</v>
      </c>
    </row>
    <row r="25" spans="2:16" x14ac:dyDescent="0.25">
      <c r="B25" s="7">
        <v>45320</v>
      </c>
      <c r="C25" s="7" t="s">
        <v>126</v>
      </c>
      <c r="D25" s="1">
        <v>0</v>
      </c>
      <c r="E25" s="9">
        <f t="shared" si="3"/>
        <v>19.312639408111572</v>
      </c>
      <c r="F25" s="9">
        <f t="shared" si="4"/>
        <v>51.256450978392266</v>
      </c>
      <c r="G25" s="9">
        <f t="shared" si="5"/>
        <v>0.37678456154237117</v>
      </c>
      <c r="H25" s="1">
        <v>0.8</v>
      </c>
      <c r="I25" s="1">
        <v>1.3</v>
      </c>
      <c r="J25" s="10">
        <v>1.5</v>
      </c>
      <c r="K25" s="9">
        <f t="shared" si="14"/>
        <v>38.567541253981005</v>
      </c>
      <c r="L25" s="9">
        <f t="shared" si="15"/>
        <v>52.433436618607971</v>
      </c>
      <c r="M25" s="9">
        <f t="shared" si="10"/>
        <v>0.7355524211490243</v>
      </c>
      <c r="N25" s="1">
        <v>0.8</v>
      </c>
      <c r="O25" s="1">
        <v>1.3</v>
      </c>
      <c r="P25" s="1">
        <v>1.5</v>
      </c>
    </row>
    <row r="26" spans="2:16" x14ac:dyDescent="0.25">
      <c r="B26" s="7">
        <v>45321</v>
      </c>
      <c r="C26" s="7" t="s">
        <v>127</v>
      </c>
      <c r="D26" s="1">
        <v>52.63</v>
      </c>
      <c r="K26" s="9">
        <f t="shared" si="14"/>
        <v>42.083155940485753</v>
      </c>
      <c r="L26" s="9">
        <f t="shared" si="15"/>
        <v>52.446992713876384</v>
      </c>
      <c r="M26" s="9">
        <f t="shared" si="10"/>
        <v>0.80239406995305995</v>
      </c>
      <c r="N26" s="35">
        <v>0.8</v>
      </c>
      <c r="O26" s="35">
        <v>1.3</v>
      </c>
      <c r="P26" s="35">
        <v>1.5</v>
      </c>
    </row>
    <row r="27" spans="2:16" x14ac:dyDescent="0.25">
      <c r="B27" s="7">
        <v>45322</v>
      </c>
      <c r="C27" s="7" t="s">
        <v>128</v>
      </c>
      <c r="D27" s="1">
        <v>68.12</v>
      </c>
      <c r="K27" s="9">
        <f t="shared" si="14"/>
        <v>48.592366955364312</v>
      </c>
      <c r="L27" s="9">
        <f t="shared" si="15"/>
        <v>53.527889768091804</v>
      </c>
      <c r="M27" s="9">
        <f t="shared" si="10"/>
        <v>0.9077953038292651</v>
      </c>
      <c r="N27" s="35">
        <v>0.8</v>
      </c>
      <c r="O27" s="35">
        <v>1.3</v>
      </c>
      <c r="P27" s="35">
        <v>1.5</v>
      </c>
    </row>
    <row r="28" spans="2:16" x14ac:dyDescent="0.25">
      <c r="B28" s="7">
        <v>45323</v>
      </c>
      <c r="C28" s="7" t="s">
        <v>129</v>
      </c>
      <c r="D28" s="1">
        <v>69.78</v>
      </c>
      <c r="K28" s="9">
        <f t="shared" si="14"/>
        <v>53.889275216523231</v>
      </c>
      <c r="L28" s="9">
        <f>(D28-L27)*(2/29)+L27</f>
        <v>54.648724956499265</v>
      </c>
      <c r="M28" s="9">
        <f t="shared" si="10"/>
        <v>0.98610306570591422</v>
      </c>
      <c r="N28" s="35">
        <v>0.8</v>
      </c>
      <c r="O28" s="35">
        <v>1.3</v>
      </c>
      <c r="P28" s="35">
        <v>1.5</v>
      </c>
    </row>
    <row r="29" spans="2:16" x14ac:dyDescent="0.25">
      <c r="B29" s="7">
        <v>45324</v>
      </c>
      <c r="C29" s="7" t="s">
        <v>134</v>
      </c>
      <c r="D29" s="1">
        <v>96</v>
      </c>
      <c r="K29" s="9">
        <f t="shared" si="14"/>
        <v>64.416956412392423</v>
      </c>
      <c r="L29" s="9">
        <f>(D29-L28)*(2/29)+L28</f>
        <v>57.500537028464834</v>
      </c>
      <c r="M29" s="9">
        <f t="shared" si="10"/>
        <v>1.1202844310915516</v>
      </c>
      <c r="N29" s="35">
        <v>0.8</v>
      </c>
      <c r="O29" s="35">
        <v>1.3</v>
      </c>
      <c r="P29" s="35">
        <v>1.5</v>
      </c>
    </row>
    <row r="30" spans="2:16" x14ac:dyDescent="0.25">
      <c r="B30" s="7">
        <v>45325</v>
      </c>
      <c r="C30" s="7" t="s">
        <v>137</v>
      </c>
      <c r="D30" s="1">
        <v>96</v>
      </c>
      <c r="K30" s="9">
        <f t="shared" si="14"/>
        <v>72.312717309294314</v>
      </c>
      <c r="L30" s="9">
        <f t="shared" si="12"/>
        <v>60.155672405812084</v>
      </c>
      <c r="M30" s="9">
        <f t="shared" si="10"/>
        <v>1.2020930764678419</v>
      </c>
      <c r="N30" s="35">
        <v>0.8</v>
      </c>
      <c r="O30" s="35">
        <v>1.3</v>
      </c>
      <c r="P30" s="35">
        <v>1.5</v>
      </c>
    </row>
    <row r="31" spans="2:16" x14ac:dyDescent="0.25">
      <c r="B31" s="7">
        <v>45326</v>
      </c>
      <c r="C31" s="7" t="s">
        <v>135</v>
      </c>
      <c r="D31" s="1">
        <v>0</v>
      </c>
      <c r="K31" s="9">
        <f t="shared" si="14"/>
        <v>54.234537981970732</v>
      </c>
      <c r="L31" s="9">
        <f t="shared" si="12"/>
        <v>56.007005343342286</v>
      </c>
      <c r="M31" s="9">
        <f t="shared" ref="M31:M82" si="16">(K31/L31)</f>
        <v>0.96835275604353921</v>
      </c>
      <c r="N31" s="35">
        <v>0.8</v>
      </c>
      <c r="O31" s="35">
        <v>1.3</v>
      </c>
      <c r="P31" s="35">
        <v>1.5</v>
      </c>
    </row>
    <row r="32" spans="2:16" x14ac:dyDescent="0.25">
      <c r="B32" s="7">
        <v>45327</v>
      </c>
      <c r="C32" s="7" t="s">
        <v>136</v>
      </c>
      <c r="D32" s="1">
        <v>0</v>
      </c>
      <c r="K32" s="9">
        <f t="shared" si="14"/>
        <v>40.675903486478049</v>
      </c>
      <c r="L32" s="9">
        <f t="shared" si="12"/>
        <v>52.144453250697993</v>
      </c>
      <c r="M32" s="9">
        <f t="shared" si="16"/>
        <v>0.78006194236840654</v>
      </c>
      <c r="N32" s="35">
        <v>0.8</v>
      </c>
      <c r="O32" s="35">
        <v>1.3</v>
      </c>
      <c r="P32" s="35">
        <v>1.5</v>
      </c>
    </row>
    <row r="33" spans="2:16" x14ac:dyDescent="0.25">
      <c r="B33" s="7">
        <v>45328</v>
      </c>
      <c r="C33" s="7" t="s">
        <v>138</v>
      </c>
      <c r="D33" s="1">
        <v>98</v>
      </c>
      <c r="K33" s="9">
        <f t="shared" ref="K33:K91" si="17">(D33-K32)*(2/8)+K32</f>
        <v>55.00692761485854</v>
      </c>
      <c r="L33" s="9">
        <f t="shared" si="12"/>
        <v>55.306904750649856</v>
      </c>
      <c r="M33" s="9">
        <f t="shared" si="16"/>
        <v>0.99457613588857019</v>
      </c>
      <c r="N33" s="35">
        <v>0.8</v>
      </c>
      <c r="O33" s="35">
        <v>1.3</v>
      </c>
      <c r="P33" s="35">
        <v>1.5</v>
      </c>
    </row>
    <row r="34" spans="2:16" x14ac:dyDescent="0.25">
      <c r="B34" s="7">
        <v>45329</v>
      </c>
      <c r="C34" s="7" t="s">
        <v>139</v>
      </c>
      <c r="D34" s="1">
        <v>83.65</v>
      </c>
      <c r="K34" s="9">
        <f t="shared" si="17"/>
        <v>62.167695711143907</v>
      </c>
      <c r="L34" s="9">
        <f t="shared" si="12"/>
        <v>57.261600974742969</v>
      </c>
      <c r="M34" s="9">
        <f t="shared" si="16"/>
        <v>1.0856786162609202</v>
      </c>
      <c r="N34" s="35">
        <v>0.8</v>
      </c>
      <c r="O34" s="35">
        <v>1.3</v>
      </c>
      <c r="P34" s="35">
        <v>1.5</v>
      </c>
    </row>
    <row r="35" spans="2:16" x14ac:dyDescent="0.25">
      <c r="B35" s="7">
        <v>45330</v>
      </c>
      <c r="C35" s="7" t="s">
        <v>140</v>
      </c>
      <c r="D35" s="1">
        <v>0</v>
      </c>
      <c r="K35" s="9">
        <f t="shared" si="17"/>
        <v>46.625771783357933</v>
      </c>
      <c r="L35" s="9">
        <f t="shared" si="12"/>
        <v>53.31252504545035</v>
      </c>
      <c r="M35" s="9">
        <f t="shared" si="16"/>
        <v>0.87457444087685243</v>
      </c>
      <c r="N35" s="35">
        <v>0.8</v>
      </c>
      <c r="O35" s="35">
        <v>1.3</v>
      </c>
      <c r="P35" s="35">
        <v>1.5</v>
      </c>
    </row>
    <row r="36" spans="2:16" x14ac:dyDescent="0.25">
      <c r="B36" s="7">
        <v>45331</v>
      </c>
      <c r="C36" s="7" t="s">
        <v>141</v>
      </c>
      <c r="D36" s="1">
        <v>50</v>
      </c>
      <c r="K36" s="9">
        <f t="shared" si="17"/>
        <v>47.469328837518447</v>
      </c>
      <c r="L36" s="9">
        <f t="shared" ref="L36:L82" si="18">(D36-L35)*(2/29)+L35</f>
        <v>53.084075042315845</v>
      </c>
      <c r="M36" s="9">
        <f t="shared" si="16"/>
        <v>0.89422917889552345</v>
      </c>
      <c r="N36" s="35">
        <v>0.8</v>
      </c>
      <c r="O36" s="35">
        <v>1.3</v>
      </c>
      <c r="P36" s="35">
        <v>1.5</v>
      </c>
    </row>
    <row r="37" spans="2:16" x14ac:dyDescent="0.25">
      <c r="B37" s="7">
        <v>45332</v>
      </c>
      <c r="C37" s="7" t="s">
        <v>142</v>
      </c>
      <c r="D37" s="1">
        <v>60</v>
      </c>
      <c r="K37" s="9">
        <f t="shared" si="17"/>
        <v>50.601996628138835</v>
      </c>
      <c r="L37" s="9">
        <f t="shared" si="18"/>
        <v>53.5610353842251</v>
      </c>
      <c r="M37" s="9">
        <f t="shared" si="16"/>
        <v>0.94475389180102054</v>
      </c>
      <c r="N37" s="35">
        <v>0.8</v>
      </c>
      <c r="O37" s="35">
        <v>1.3</v>
      </c>
      <c r="P37" s="35">
        <v>1.5</v>
      </c>
    </row>
    <row r="38" spans="2:16" x14ac:dyDescent="0.25">
      <c r="B38" s="7">
        <v>45333</v>
      </c>
      <c r="C38" s="7" t="s">
        <v>143</v>
      </c>
      <c r="D38" s="1">
        <v>60</v>
      </c>
      <c r="K38" s="9">
        <f t="shared" si="17"/>
        <v>52.951497471104126</v>
      </c>
      <c r="L38" s="9">
        <f t="shared" si="18"/>
        <v>54.005101909450957</v>
      </c>
      <c r="M38" s="9">
        <f t="shared" si="16"/>
        <v>0.98049064993686363</v>
      </c>
      <c r="N38" s="35">
        <v>0.8</v>
      </c>
      <c r="O38" s="35">
        <v>1.3</v>
      </c>
      <c r="P38" s="35">
        <v>1.5</v>
      </c>
    </row>
    <row r="39" spans="2:16" x14ac:dyDescent="0.25">
      <c r="B39" s="7">
        <v>45334</v>
      </c>
      <c r="C39" s="7" t="s">
        <v>144</v>
      </c>
      <c r="D39" s="1">
        <v>100</v>
      </c>
      <c r="K39" s="9">
        <f t="shared" si="17"/>
        <v>64.713623103328089</v>
      </c>
      <c r="L39" s="9">
        <f t="shared" si="18"/>
        <v>57.177163846730203</v>
      </c>
      <c r="M39" s="9">
        <f t="shared" si="16"/>
        <v>1.1318089032327698</v>
      </c>
      <c r="N39" s="35">
        <v>0.8</v>
      </c>
      <c r="O39" s="35">
        <v>1.3</v>
      </c>
      <c r="P39" s="35">
        <v>1.5</v>
      </c>
    </row>
    <row r="40" spans="2:16" x14ac:dyDescent="0.25">
      <c r="B40" s="7">
        <v>45335</v>
      </c>
      <c r="C40" s="7" t="s">
        <v>145</v>
      </c>
      <c r="D40" s="1">
        <v>0</v>
      </c>
      <c r="K40" s="9">
        <f t="shared" si="17"/>
        <v>48.535217327496071</v>
      </c>
      <c r="L40" s="9">
        <f t="shared" si="18"/>
        <v>53.23391116764536</v>
      </c>
      <c r="M40" s="9">
        <f t="shared" si="16"/>
        <v>0.91173494982639802</v>
      </c>
      <c r="N40" s="35">
        <v>0.8</v>
      </c>
      <c r="O40" s="35">
        <v>1.3</v>
      </c>
      <c r="P40" s="35">
        <v>1.5</v>
      </c>
    </row>
    <row r="41" spans="2:16" x14ac:dyDescent="0.25">
      <c r="B41" s="7">
        <v>45336</v>
      </c>
      <c r="C41" s="7" t="s">
        <v>146</v>
      </c>
      <c r="D41" s="1">
        <v>65</v>
      </c>
      <c r="K41" s="9">
        <f t="shared" si="17"/>
        <v>52.651412995622053</v>
      </c>
      <c r="L41" s="9">
        <f t="shared" si="18"/>
        <v>54.045365569876715</v>
      </c>
      <c r="M41" s="9">
        <f t="shared" si="16"/>
        <v>0.97420773160554563</v>
      </c>
      <c r="N41" s="35">
        <v>0.8</v>
      </c>
      <c r="O41" s="35">
        <v>1.3</v>
      </c>
      <c r="P41" s="35">
        <v>1.5</v>
      </c>
    </row>
    <row r="42" spans="2:16" x14ac:dyDescent="0.25">
      <c r="B42" s="7">
        <v>45337</v>
      </c>
      <c r="C42" s="7" t="s">
        <v>147</v>
      </c>
      <c r="D42" s="1">
        <v>36</v>
      </c>
      <c r="K42" s="9">
        <f t="shared" si="17"/>
        <v>48.48855974671654</v>
      </c>
      <c r="L42" s="9">
        <f t="shared" si="18"/>
        <v>52.800857599540393</v>
      </c>
      <c r="M42" s="9">
        <f t="shared" si="16"/>
        <v>0.91832901871538186</v>
      </c>
      <c r="N42" s="35">
        <v>0.8</v>
      </c>
      <c r="O42" s="35">
        <v>1.3</v>
      </c>
      <c r="P42" s="35">
        <v>1.5</v>
      </c>
    </row>
    <row r="43" spans="2:16" x14ac:dyDescent="0.25">
      <c r="B43" s="7">
        <v>45338</v>
      </c>
      <c r="C43" s="7" t="s">
        <v>152</v>
      </c>
      <c r="D43" s="1">
        <v>116.28</v>
      </c>
      <c r="K43" s="9">
        <f t="shared" si="17"/>
        <v>65.436419810037407</v>
      </c>
      <c r="L43" s="9">
        <f t="shared" si="18"/>
        <v>57.178729489227266</v>
      </c>
      <c r="M43" s="9">
        <f t="shared" si="16"/>
        <v>1.1444189193179943</v>
      </c>
      <c r="N43" s="35">
        <v>0.8</v>
      </c>
      <c r="O43" s="35">
        <v>1.3</v>
      </c>
      <c r="P43" s="35">
        <v>1.5</v>
      </c>
    </row>
    <row r="44" spans="2:16" x14ac:dyDescent="0.25">
      <c r="B44" s="7">
        <v>45339</v>
      </c>
      <c r="C44" s="7" t="s">
        <v>148</v>
      </c>
      <c r="D44" s="1">
        <v>64</v>
      </c>
      <c r="K44" s="9">
        <f t="shared" si="17"/>
        <v>65.077314857528052</v>
      </c>
      <c r="L44" s="9">
        <f t="shared" si="18"/>
        <v>57.649161938246074</v>
      </c>
      <c r="M44" s="9">
        <f t="shared" si="16"/>
        <v>1.1288510130856548</v>
      </c>
      <c r="N44" s="35">
        <v>0.8</v>
      </c>
      <c r="O44" s="35">
        <v>1.3</v>
      </c>
      <c r="P44" s="35">
        <v>1.5</v>
      </c>
    </row>
    <row r="45" spans="2:16" x14ac:dyDescent="0.25">
      <c r="B45" s="7">
        <v>45340</v>
      </c>
      <c r="C45" s="7" t="s">
        <v>149</v>
      </c>
      <c r="D45" s="1">
        <v>0</v>
      </c>
      <c r="K45" s="9">
        <f t="shared" si="17"/>
        <v>48.807986143146039</v>
      </c>
      <c r="L45" s="9">
        <f t="shared" si="18"/>
        <v>53.6733576666429</v>
      </c>
      <c r="M45" s="9">
        <f t="shared" si="16"/>
        <v>0.90935220498566627</v>
      </c>
      <c r="N45" s="35">
        <v>0.8</v>
      </c>
      <c r="O45" s="35">
        <v>1.3</v>
      </c>
      <c r="P45" s="35">
        <v>1.5</v>
      </c>
    </row>
    <row r="46" spans="2:16" x14ac:dyDescent="0.25">
      <c r="B46" s="7">
        <v>45341</v>
      </c>
      <c r="C46" s="7" t="s">
        <v>153</v>
      </c>
      <c r="D46" s="1">
        <v>80</v>
      </c>
      <c r="K46" s="9">
        <f t="shared" si="17"/>
        <v>56.605989607359533</v>
      </c>
      <c r="L46" s="9">
        <f t="shared" si="18"/>
        <v>55.488988172391664</v>
      </c>
      <c r="M46" s="9">
        <f t="shared" si="16"/>
        <v>1.0201301460300123</v>
      </c>
      <c r="N46" s="35">
        <v>0.8</v>
      </c>
      <c r="O46" s="35">
        <v>1.3</v>
      </c>
      <c r="P46" s="35">
        <v>1.5</v>
      </c>
    </row>
    <row r="47" spans="2:16" x14ac:dyDescent="0.25">
      <c r="B47" s="7">
        <v>45342</v>
      </c>
      <c r="C47" s="1" t="s">
        <v>154</v>
      </c>
      <c r="D47" s="1">
        <v>38.89</v>
      </c>
      <c r="K47" s="9">
        <f t="shared" si="17"/>
        <v>52.176992205519653</v>
      </c>
      <c r="L47" s="9">
        <f t="shared" si="18"/>
        <v>54.344230367399135</v>
      </c>
      <c r="M47" s="9">
        <f t="shared" si="16"/>
        <v>0.96012017932303628</v>
      </c>
      <c r="N47" s="35">
        <v>0.8</v>
      </c>
      <c r="O47" s="35">
        <v>1.3</v>
      </c>
      <c r="P47" s="35">
        <v>1.5</v>
      </c>
    </row>
    <row r="48" spans="2:16" x14ac:dyDescent="0.25">
      <c r="B48" s="7">
        <v>45343</v>
      </c>
      <c r="C48" s="1" t="s">
        <v>160</v>
      </c>
      <c r="D48" s="1">
        <v>112</v>
      </c>
      <c r="K48" s="9">
        <f t="shared" si="17"/>
        <v>67.132744154139743</v>
      </c>
      <c r="L48" s="9">
        <f t="shared" si="18"/>
        <v>58.320490342061262</v>
      </c>
      <c r="M48" s="9">
        <f t="shared" si="16"/>
        <v>1.1511004753285314</v>
      </c>
      <c r="N48" s="35">
        <v>0.8</v>
      </c>
      <c r="O48" s="35">
        <v>1.3</v>
      </c>
      <c r="P48" s="35">
        <v>1.5</v>
      </c>
    </row>
    <row r="49" spans="2:16" x14ac:dyDescent="0.25">
      <c r="B49" s="7">
        <v>45344</v>
      </c>
      <c r="C49" s="1" t="s">
        <v>155</v>
      </c>
      <c r="D49" s="1">
        <v>53.44</v>
      </c>
      <c r="K49" s="9">
        <f t="shared" si="17"/>
        <v>63.709558115604807</v>
      </c>
      <c r="L49" s="9">
        <f t="shared" si="18"/>
        <v>57.98390480122945</v>
      </c>
      <c r="M49" s="9">
        <f t="shared" si="16"/>
        <v>1.0987455628247713</v>
      </c>
      <c r="N49" s="35">
        <v>0.8</v>
      </c>
      <c r="O49" s="35">
        <v>1.3</v>
      </c>
      <c r="P49" s="35">
        <v>1.5</v>
      </c>
    </row>
    <row r="50" spans="2:16" x14ac:dyDescent="0.25">
      <c r="B50" s="7">
        <v>45345</v>
      </c>
      <c r="C50" s="1" t="s">
        <v>156</v>
      </c>
      <c r="D50" s="1">
        <v>75</v>
      </c>
      <c r="K50" s="9">
        <f t="shared" si="17"/>
        <v>66.532168586703605</v>
      </c>
      <c r="L50" s="9">
        <f t="shared" si="18"/>
        <v>59.157428608041215</v>
      </c>
      <c r="M50" s="9">
        <f t="shared" si="16"/>
        <v>1.1246629569977615</v>
      </c>
      <c r="N50" s="35">
        <v>0.8</v>
      </c>
      <c r="O50" s="35">
        <v>1.3</v>
      </c>
      <c r="P50" s="35">
        <v>1.5</v>
      </c>
    </row>
    <row r="51" spans="2:16" x14ac:dyDescent="0.25">
      <c r="B51" s="7">
        <v>45346</v>
      </c>
      <c r="C51" s="1" t="s">
        <v>157</v>
      </c>
      <c r="D51" s="1">
        <v>0</v>
      </c>
      <c r="K51" s="9">
        <f t="shared" si="17"/>
        <v>49.8991264400277</v>
      </c>
      <c r="L51" s="9">
        <f t="shared" si="18"/>
        <v>55.07760594541768</v>
      </c>
      <c r="M51" s="9">
        <f t="shared" si="16"/>
        <v>0.90597849313708567</v>
      </c>
      <c r="N51" s="35">
        <v>0.8</v>
      </c>
      <c r="O51" s="35">
        <v>1.3</v>
      </c>
      <c r="P51" s="35">
        <v>1.5</v>
      </c>
    </row>
    <row r="52" spans="2:16" x14ac:dyDescent="0.25">
      <c r="B52" s="7">
        <v>45347</v>
      </c>
      <c r="C52" s="1" t="s">
        <v>158</v>
      </c>
      <c r="D52" s="1">
        <v>0</v>
      </c>
      <c r="K52" s="9">
        <f t="shared" si="17"/>
        <v>37.424344830020772</v>
      </c>
      <c r="L52" s="9">
        <f t="shared" si="18"/>
        <v>51.279150362975081</v>
      </c>
      <c r="M52" s="9">
        <f t="shared" si="16"/>
        <v>0.72981600836043004</v>
      </c>
      <c r="N52" s="35">
        <v>0.8</v>
      </c>
      <c r="O52" s="35">
        <v>1.3</v>
      </c>
      <c r="P52" s="35">
        <v>1.5</v>
      </c>
    </row>
    <row r="53" spans="2:16" x14ac:dyDescent="0.25">
      <c r="B53" s="7">
        <v>45348</v>
      </c>
      <c r="C53" s="1" t="s">
        <v>162</v>
      </c>
      <c r="D53" s="39">
        <v>99.248000000000005</v>
      </c>
      <c r="K53" s="9">
        <f t="shared" si="17"/>
        <v>52.880258622515584</v>
      </c>
      <c r="L53" s="9">
        <f t="shared" si="18"/>
        <v>54.587346889666456</v>
      </c>
      <c r="M53" s="9">
        <f t="shared" si="16"/>
        <v>0.96872739994853951</v>
      </c>
      <c r="N53" s="35">
        <v>0.8</v>
      </c>
      <c r="O53" s="35">
        <v>1.3</v>
      </c>
      <c r="P53" s="35">
        <v>1.5</v>
      </c>
    </row>
    <row r="54" spans="2:16" x14ac:dyDescent="0.25">
      <c r="B54" s="7">
        <v>45349</v>
      </c>
      <c r="C54" s="1" t="s">
        <v>164</v>
      </c>
      <c r="D54" s="1">
        <v>87.67</v>
      </c>
      <c r="K54" s="9">
        <f t="shared" si="17"/>
        <v>61.577693966886685</v>
      </c>
      <c r="L54" s="9">
        <f t="shared" si="18"/>
        <v>56.868909173137737</v>
      </c>
      <c r="M54" s="9">
        <f t="shared" si="16"/>
        <v>1.0828006877960861</v>
      </c>
      <c r="N54" s="35">
        <v>0.8</v>
      </c>
      <c r="O54" s="35">
        <v>1.3</v>
      </c>
      <c r="P54" s="35">
        <v>1.5</v>
      </c>
    </row>
    <row r="55" spans="2:16" x14ac:dyDescent="0.25">
      <c r="B55" s="7">
        <v>45350</v>
      </c>
      <c r="C55" s="1" t="s">
        <v>165</v>
      </c>
      <c r="D55" s="1">
        <v>100.87</v>
      </c>
      <c r="K55" s="9">
        <f t="shared" si="17"/>
        <v>71.400770475165018</v>
      </c>
      <c r="L55" s="9">
        <f t="shared" si="18"/>
        <v>59.903467161197206</v>
      </c>
      <c r="M55" s="9">
        <f t="shared" si="16"/>
        <v>1.1919305151908679</v>
      </c>
      <c r="N55" s="35">
        <v>0.8</v>
      </c>
      <c r="O55" s="35">
        <v>1.3</v>
      </c>
      <c r="P55" s="35">
        <v>1.5</v>
      </c>
    </row>
    <row r="56" spans="2:16" x14ac:dyDescent="0.25">
      <c r="B56" s="7">
        <v>45351</v>
      </c>
      <c r="C56" s="1" t="s">
        <v>166</v>
      </c>
      <c r="D56" s="1">
        <v>0</v>
      </c>
      <c r="K56" s="9">
        <f t="shared" si="17"/>
        <v>53.550577856373764</v>
      </c>
      <c r="L56" s="9">
        <f t="shared" si="18"/>
        <v>55.772193563873259</v>
      </c>
      <c r="M56" s="9">
        <f t="shared" si="16"/>
        <v>0.96016624834819908</v>
      </c>
      <c r="N56" s="35">
        <v>0.8</v>
      </c>
      <c r="O56" s="35">
        <v>1.3</v>
      </c>
      <c r="P56" s="35">
        <v>1.5</v>
      </c>
    </row>
    <row r="57" spans="2:16" x14ac:dyDescent="0.25">
      <c r="B57" s="7">
        <v>45352</v>
      </c>
      <c r="C57" s="1" t="s">
        <v>167</v>
      </c>
      <c r="D57" s="1">
        <v>73.48</v>
      </c>
      <c r="K57" s="9">
        <f t="shared" si="17"/>
        <v>58.532933392280327</v>
      </c>
      <c r="L57" s="9">
        <f t="shared" si="18"/>
        <v>56.993421593950963</v>
      </c>
      <c r="M57" s="9">
        <f t="shared" si="16"/>
        <v>1.0270120964011882</v>
      </c>
      <c r="N57" s="35">
        <v>0.8</v>
      </c>
      <c r="O57" s="35">
        <v>1.3</v>
      </c>
      <c r="P57" s="35">
        <v>1.5</v>
      </c>
    </row>
    <row r="58" spans="2:16" x14ac:dyDescent="0.25">
      <c r="B58" s="7">
        <v>45353</v>
      </c>
      <c r="C58" s="1" t="s">
        <v>168</v>
      </c>
      <c r="D58" s="1">
        <v>33.53</v>
      </c>
      <c r="K58" s="9">
        <f t="shared" si="17"/>
        <v>52.282200044210242</v>
      </c>
      <c r="L58" s="9">
        <f t="shared" si="18"/>
        <v>55.375254587471588</v>
      </c>
      <c r="M58" s="9">
        <f t="shared" si="16"/>
        <v>0.94414374134613666</v>
      </c>
      <c r="N58" s="35">
        <v>0.8</v>
      </c>
      <c r="O58" s="35">
        <v>1.3</v>
      </c>
      <c r="P58" s="35">
        <v>1.5</v>
      </c>
    </row>
    <row r="59" spans="2:16" x14ac:dyDescent="0.25">
      <c r="B59" s="7">
        <v>45354</v>
      </c>
      <c r="C59" s="1" t="s">
        <v>195</v>
      </c>
      <c r="D59" s="1">
        <v>120.8</v>
      </c>
      <c r="K59" s="9">
        <f t="shared" si="17"/>
        <v>69.411650033157684</v>
      </c>
      <c r="L59" s="9">
        <f t="shared" si="18"/>
        <v>59.887305995232168</v>
      </c>
      <c r="M59" s="9">
        <f t="shared" si="16"/>
        <v>1.1590377773661047</v>
      </c>
      <c r="N59" s="35">
        <v>0.8</v>
      </c>
      <c r="O59" s="35">
        <v>1.3</v>
      </c>
      <c r="P59" s="35">
        <v>1.5</v>
      </c>
    </row>
    <row r="60" spans="2:16" x14ac:dyDescent="0.25">
      <c r="B60" s="7">
        <v>45355</v>
      </c>
      <c r="C60" s="1" t="s">
        <v>163</v>
      </c>
      <c r="D60" s="1">
        <v>0</v>
      </c>
      <c r="K60" s="9">
        <f t="shared" si="17"/>
        <v>52.058737524868263</v>
      </c>
      <c r="L60" s="9">
        <f t="shared" si="18"/>
        <v>55.757146961078227</v>
      </c>
      <c r="M60" s="9">
        <f t="shared" si="16"/>
        <v>0.9336693206560287</v>
      </c>
      <c r="N60" s="35">
        <v>0.8</v>
      </c>
      <c r="O60" s="35">
        <v>1.3</v>
      </c>
      <c r="P60" s="35">
        <v>1.5</v>
      </c>
    </row>
    <row r="61" spans="2:16" x14ac:dyDescent="0.25">
      <c r="B61" s="7">
        <v>45356</v>
      </c>
      <c r="C61" s="1" t="s">
        <v>169</v>
      </c>
      <c r="D61" s="1">
        <v>73.66</v>
      </c>
      <c r="K61" s="9">
        <f t="shared" si="17"/>
        <v>57.459053143651197</v>
      </c>
      <c r="L61" s="9">
        <f t="shared" si="18"/>
        <v>56.991826481003869</v>
      </c>
      <c r="M61" s="9">
        <f t="shared" si="16"/>
        <v>1.0081981345658937</v>
      </c>
      <c r="N61" s="35">
        <v>0.8</v>
      </c>
      <c r="O61" s="35">
        <v>1.3</v>
      </c>
      <c r="P61" s="35">
        <v>1.5</v>
      </c>
    </row>
    <row r="62" spans="2:16" x14ac:dyDescent="0.25">
      <c r="B62" s="7">
        <v>45357</v>
      </c>
      <c r="C62" s="1" t="s">
        <v>170</v>
      </c>
      <c r="D62" s="1">
        <v>68.2</v>
      </c>
      <c r="K62" s="9">
        <f t="shared" si="17"/>
        <v>60.1442898577384</v>
      </c>
      <c r="L62" s="9">
        <f t="shared" si="18"/>
        <v>57.764803965072566</v>
      </c>
      <c r="M62" s="9">
        <f t="shared" si="16"/>
        <v>1.0411926593588821</v>
      </c>
      <c r="N62" s="35">
        <v>0.8</v>
      </c>
      <c r="O62" s="35">
        <v>1.3</v>
      </c>
      <c r="P62" s="35">
        <v>1.5</v>
      </c>
    </row>
    <row r="63" spans="2:16" x14ac:dyDescent="0.25">
      <c r="B63" s="7">
        <v>45358</v>
      </c>
      <c r="C63" s="1" t="s">
        <v>171</v>
      </c>
      <c r="D63" s="1">
        <v>30.95</v>
      </c>
      <c r="K63" s="9">
        <f t="shared" si="17"/>
        <v>52.845717393303801</v>
      </c>
      <c r="L63" s="9">
        <f t="shared" si="18"/>
        <v>55.915507139895148</v>
      </c>
      <c r="M63" s="9">
        <f t="shared" si="16"/>
        <v>0.94509949200834342</v>
      </c>
      <c r="N63" s="35">
        <v>0.8</v>
      </c>
      <c r="O63" s="35">
        <v>1.3</v>
      </c>
      <c r="P63" s="35">
        <v>1.5</v>
      </c>
    </row>
    <row r="64" spans="2:16" x14ac:dyDescent="0.25">
      <c r="B64" s="7">
        <v>45359</v>
      </c>
      <c r="C64" s="1" t="s">
        <v>198</v>
      </c>
      <c r="D64" s="41">
        <v>110.29538461538462</v>
      </c>
      <c r="K64" s="9">
        <f t="shared" si="17"/>
        <v>67.208134198824013</v>
      </c>
      <c r="L64" s="9">
        <f t="shared" si="18"/>
        <v>59.665843517515114</v>
      </c>
      <c r="M64" s="9">
        <f t="shared" si="16"/>
        <v>1.1264088503013425</v>
      </c>
      <c r="N64" s="35">
        <v>0.8</v>
      </c>
      <c r="O64" s="35">
        <v>1.3</v>
      </c>
      <c r="P64" s="35">
        <v>1.5</v>
      </c>
    </row>
    <row r="65" spans="2:16" x14ac:dyDescent="0.25">
      <c r="B65" s="7">
        <v>45360</v>
      </c>
      <c r="C65" s="1" t="s">
        <v>172</v>
      </c>
      <c r="D65" s="1">
        <v>95.23</v>
      </c>
      <c r="K65" s="9">
        <f t="shared" si="17"/>
        <v>74.213600649118007</v>
      </c>
      <c r="L65" s="9">
        <f t="shared" si="18"/>
        <v>62.11854396458304</v>
      </c>
      <c r="M65" s="9">
        <f t="shared" si="16"/>
        <v>1.1947092754046356</v>
      </c>
      <c r="N65" s="35">
        <v>0.8</v>
      </c>
      <c r="O65" s="35">
        <v>1.3</v>
      </c>
      <c r="P65" s="35">
        <v>1.5</v>
      </c>
    </row>
    <row r="66" spans="2:16" x14ac:dyDescent="0.25">
      <c r="B66" s="7">
        <v>45361</v>
      </c>
      <c r="C66" s="1" t="s">
        <v>173</v>
      </c>
      <c r="D66" s="1">
        <v>0</v>
      </c>
      <c r="K66" s="9">
        <f t="shared" si="17"/>
        <v>55.660200486838505</v>
      </c>
      <c r="L66" s="9">
        <f t="shared" si="18"/>
        <v>57.834506449784207</v>
      </c>
      <c r="M66" s="9">
        <f t="shared" si="16"/>
        <v>0.96240469407595652</v>
      </c>
      <c r="N66" s="35">
        <v>0.8</v>
      </c>
      <c r="O66" s="35">
        <v>1.3</v>
      </c>
      <c r="P66" s="35">
        <v>1.5</v>
      </c>
    </row>
    <row r="67" spans="2:16" x14ac:dyDescent="0.25">
      <c r="B67" s="7">
        <v>45362</v>
      </c>
      <c r="C67" s="1" t="s">
        <v>174</v>
      </c>
      <c r="D67" s="45">
        <v>64.900000000000006</v>
      </c>
      <c r="K67" s="9">
        <f t="shared" si="17"/>
        <v>57.97015036512888</v>
      </c>
      <c r="L67" s="9">
        <f t="shared" si="18"/>
        <v>58.321781867040471</v>
      </c>
      <c r="M67" s="9">
        <f t="shared" si="16"/>
        <v>0.99397083747006865</v>
      </c>
      <c r="N67" s="35">
        <v>0.8</v>
      </c>
      <c r="O67" s="35">
        <v>1.3</v>
      </c>
      <c r="P67" s="35">
        <v>1.5</v>
      </c>
    </row>
    <row r="68" spans="2:16" x14ac:dyDescent="0.25">
      <c r="B68" s="7">
        <v>45363</v>
      </c>
      <c r="C68" s="1" t="s">
        <v>175</v>
      </c>
      <c r="D68" s="45">
        <v>36.5</v>
      </c>
      <c r="K68" s="9">
        <f t="shared" si="17"/>
        <v>52.602612773846658</v>
      </c>
      <c r="L68" s="9">
        <f t="shared" si="18"/>
        <v>56.816831393451473</v>
      </c>
      <c r="M68" s="9">
        <f t="shared" si="16"/>
        <v>0.92582798941352906</v>
      </c>
      <c r="N68" s="35">
        <v>0.8</v>
      </c>
      <c r="O68" s="35">
        <v>1.3</v>
      </c>
      <c r="P68" s="35">
        <v>1.5</v>
      </c>
    </row>
    <row r="69" spans="2:16" x14ac:dyDescent="0.25">
      <c r="B69" s="7">
        <v>45364</v>
      </c>
      <c r="C69" s="49" t="s">
        <v>201</v>
      </c>
      <c r="D69" s="1">
        <v>108</v>
      </c>
      <c r="K69" s="9">
        <f t="shared" si="17"/>
        <v>66.451959580384994</v>
      </c>
      <c r="L69" s="9">
        <f t="shared" si="18"/>
        <v>60.346705090454819</v>
      </c>
      <c r="M69" s="9">
        <f t="shared" si="16"/>
        <v>1.1011696410065619</v>
      </c>
      <c r="N69" s="35">
        <v>0.8</v>
      </c>
      <c r="O69" s="35">
        <v>1.3</v>
      </c>
      <c r="P69" s="35">
        <v>1.5</v>
      </c>
    </row>
    <row r="70" spans="2:16" x14ac:dyDescent="0.25">
      <c r="B70" s="7">
        <v>45365</v>
      </c>
      <c r="C70" s="1" t="s">
        <v>176</v>
      </c>
      <c r="D70" s="1">
        <v>68.400000000000006</v>
      </c>
      <c r="K70" s="9">
        <f t="shared" si="17"/>
        <v>66.938969685288754</v>
      </c>
      <c r="L70" s="9">
        <f t="shared" si="18"/>
        <v>60.902104739388967</v>
      </c>
      <c r="M70" s="9">
        <f t="shared" si="16"/>
        <v>1.0991240774310282</v>
      </c>
      <c r="N70" s="35">
        <v>0.8</v>
      </c>
      <c r="O70" s="35">
        <v>1.3</v>
      </c>
      <c r="P70" s="35">
        <v>1.5</v>
      </c>
    </row>
    <row r="71" spans="2:16" x14ac:dyDescent="0.25">
      <c r="B71" s="7">
        <v>45366</v>
      </c>
      <c r="C71" s="1" t="s">
        <v>119</v>
      </c>
      <c r="D71" s="1">
        <v>89.5</v>
      </c>
      <c r="K71" s="9">
        <f t="shared" si="17"/>
        <v>72.579227263966573</v>
      </c>
      <c r="L71" s="9">
        <f t="shared" si="18"/>
        <v>62.8743733780518</v>
      </c>
      <c r="M71" s="9">
        <f t="shared" si="16"/>
        <v>1.1543530911642064</v>
      </c>
      <c r="N71" s="35">
        <v>0.8</v>
      </c>
      <c r="O71" s="35">
        <v>1.3</v>
      </c>
      <c r="P71" s="35">
        <v>1.5</v>
      </c>
    </row>
    <row r="72" spans="2:16" x14ac:dyDescent="0.25">
      <c r="B72" s="7">
        <v>45367</v>
      </c>
      <c r="C72" s="1" t="s">
        <v>177</v>
      </c>
      <c r="D72" s="1">
        <v>0</v>
      </c>
      <c r="K72" s="9">
        <f t="shared" si="17"/>
        <v>54.434420447974929</v>
      </c>
      <c r="L72" s="9">
        <f t="shared" si="18"/>
        <v>58.538209696806845</v>
      </c>
      <c r="M72" s="9">
        <f t="shared" si="16"/>
        <v>0.92989554566005506</v>
      </c>
      <c r="N72" s="35">
        <v>0.8</v>
      </c>
      <c r="O72" s="35">
        <v>1.3</v>
      </c>
      <c r="P72" s="35">
        <v>1.5</v>
      </c>
    </row>
    <row r="73" spans="2:16" x14ac:dyDescent="0.25">
      <c r="B73" s="7">
        <v>45368</v>
      </c>
      <c r="C73" s="1" t="s">
        <v>178</v>
      </c>
      <c r="D73" s="1">
        <v>0</v>
      </c>
      <c r="K73" s="9">
        <f t="shared" si="17"/>
        <v>40.825815335981197</v>
      </c>
      <c r="L73" s="9">
        <f t="shared" si="18"/>
        <v>54.501091786682238</v>
      </c>
      <c r="M73" s="9">
        <f t="shared" si="16"/>
        <v>0.74908252289282207</v>
      </c>
      <c r="N73" s="35">
        <v>0.8</v>
      </c>
      <c r="O73" s="35">
        <v>1.3</v>
      </c>
      <c r="P73" s="35">
        <v>1.5</v>
      </c>
    </row>
    <row r="74" spans="2:16" x14ac:dyDescent="0.25">
      <c r="B74" s="7">
        <v>45369</v>
      </c>
      <c r="C74" s="1" t="s">
        <v>179</v>
      </c>
      <c r="D74" s="1">
        <v>70</v>
      </c>
      <c r="K74" s="9">
        <f t="shared" si="17"/>
        <v>48.1193615019859</v>
      </c>
      <c r="L74" s="9">
        <f t="shared" si="18"/>
        <v>55.56998200829036</v>
      </c>
      <c r="M74" s="9">
        <f t="shared" si="16"/>
        <v>0.86592364731748661</v>
      </c>
      <c r="N74" s="35">
        <v>0.8</v>
      </c>
      <c r="O74" s="35">
        <v>1.3</v>
      </c>
      <c r="P74" s="35">
        <v>1.5</v>
      </c>
    </row>
    <row r="75" spans="2:16" x14ac:dyDescent="0.25">
      <c r="B75" s="7">
        <v>45370</v>
      </c>
      <c r="C75" s="1" t="s">
        <v>180</v>
      </c>
      <c r="D75" s="1">
        <v>83</v>
      </c>
      <c r="K75" s="9">
        <f t="shared" si="17"/>
        <v>56.839521126489423</v>
      </c>
      <c r="L75" s="9">
        <f t="shared" si="18"/>
        <v>57.461707387028959</v>
      </c>
      <c r="M75" s="9">
        <f t="shared" si="16"/>
        <v>0.98917215848897688</v>
      </c>
      <c r="N75" s="35">
        <v>0.8</v>
      </c>
      <c r="O75" s="35">
        <v>1.3</v>
      </c>
      <c r="P75" s="35">
        <v>1.5</v>
      </c>
    </row>
    <row r="76" spans="2:16" x14ac:dyDescent="0.25">
      <c r="B76" s="7">
        <v>45371</v>
      </c>
      <c r="C76" s="1" t="s">
        <v>181</v>
      </c>
      <c r="D76" s="1">
        <v>86.4</v>
      </c>
      <c r="K76" s="9">
        <f t="shared" si="17"/>
        <v>64.229640844867063</v>
      </c>
      <c r="L76" s="9">
        <f t="shared" si="18"/>
        <v>59.457451705164893</v>
      </c>
      <c r="M76" s="9">
        <f t="shared" si="16"/>
        <v>1.0802622548199055</v>
      </c>
      <c r="N76" s="35">
        <v>0.8</v>
      </c>
      <c r="O76" s="35">
        <v>1.3</v>
      </c>
      <c r="P76" s="35">
        <v>1.5</v>
      </c>
    </row>
    <row r="77" spans="2:16" x14ac:dyDescent="0.25">
      <c r="B77" s="7">
        <v>45372</v>
      </c>
      <c r="C77" s="1" t="s">
        <v>182</v>
      </c>
      <c r="D77" s="1">
        <v>0</v>
      </c>
      <c r="K77" s="9">
        <f t="shared" si="17"/>
        <v>48.172230633650301</v>
      </c>
      <c r="L77" s="9">
        <f t="shared" si="18"/>
        <v>55.356937794463867</v>
      </c>
      <c r="M77" s="9">
        <f t="shared" si="16"/>
        <v>0.87021126082714617</v>
      </c>
      <c r="N77" s="35">
        <v>0.8</v>
      </c>
      <c r="O77" s="35">
        <v>1.3</v>
      </c>
      <c r="P77" s="35">
        <v>1.5</v>
      </c>
    </row>
    <row r="78" spans="2:16" x14ac:dyDescent="0.25">
      <c r="B78" s="7">
        <v>45373</v>
      </c>
      <c r="C78" s="1" t="s">
        <v>183</v>
      </c>
      <c r="D78" s="1">
        <v>67.599999999999994</v>
      </c>
      <c r="K78" s="9">
        <f t="shared" si="17"/>
        <v>53.029172975237728</v>
      </c>
      <c r="L78" s="9">
        <f t="shared" si="18"/>
        <v>56.201286912087049</v>
      </c>
      <c r="M78" s="9">
        <f t="shared" si="16"/>
        <v>0.94355798396909829</v>
      </c>
      <c r="N78" s="35">
        <v>0.8</v>
      </c>
      <c r="O78" s="35">
        <v>1.3</v>
      </c>
      <c r="P78" s="35">
        <v>1.5</v>
      </c>
    </row>
    <row r="79" spans="2:16" x14ac:dyDescent="0.25">
      <c r="B79" s="7">
        <v>45374</v>
      </c>
      <c r="C79" s="1" t="s">
        <v>184</v>
      </c>
      <c r="D79" s="1">
        <v>109.64</v>
      </c>
      <c r="K79" s="9">
        <f t="shared" si="17"/>
        <v>67.181879731428296</v>
      </c>
      <c r="L79" s="9">
        <f t="shared" si="18"/>
        <v>59.886715400908635</v>
      </c>
      <c r="M79" s="9">
        <f t="shared" si="16"/>
        <v>1.1218160702533533</v>
      </c>
      <c r="N79" s="35">
        <v>0.8</v>
      </c>
      <c r="O79" s="35">
        <v>1.3</v>
      </c>
      <c r="P79" s="35">
        <v>1.5</v>
      </c>
    </row>
    <row r="80" spans="2:16" x14ac:dyDescent="0.25">
      <c r="B80" s="7">
        <v>45375</v>
      </c>
      <c r="C80" s="1" t="s">
        <v>185</v>
      </c>
      <c r="D80" s="1">
        <v>0</v>
      </c>
      <c r="K80" s="9">
        <f t="shared" si="17"/>
        <v>50.386409798571222</v>
      </c>
      <c r="L80" s="9">
        <f t="shared" si="18"/>
        <v>55.756597097397695</v>
      </c>
      <c r="M80" s="9">
        <f t="shared" si="16"/>
        <v>0.90368516770409013</v>
      </c>
      <c r="N80" s="35">
        <v>0.8</v>
      </c>
      <c r="O80" s="35">
        <v>1.3</v>
      </c>
      <c r="P80" s="35">
        <v>1.5</v>
      </c>
    </row>
    <row r="81" spans="2:16" x14ac:dyDescent="0.25">
      <c r="B81" s="7">
        <v>45376</v>
      </c>
      <c r="C81" s="1" t="s">
        <v>186</v>
      </c>
      <c r="D81" s="1">
        <v>88</v>
      </c>
      <c r="K81" s="9">
        <f t="shared" si="17"/>
        <v>59.78980734892842</v>
      </c>
      <c r="L81" s="9">
        <f t="shared" si="18"/>
        <v>57.980280056197856</v>
      </c>
      <c r="M81" s="9">
        <f t="shared" si="16"/>
        <v>1.0312093575777259</v>
      </c>
      <c r="N81" s="35">
        <v>0.8</v>
      </c>
      <c r="O81" s="35">
        <v>1.3</v>
      </c>
      <c r="P81" s="35">
        <v>1.5</v>
      </c>
    </row>
    <row r="82" spans="2:16" x14ac:dyDescent="0.25">
      <c r="B82" s="7">
        <v>45377</v>
      </c>
      <c r="C82" s="1" t="s">
        <v>187</v>
      </c>
      <c r="D82" s="1">
        <v>87.1</v>
      </c>
      <c r="K82" s="9">
        <f t="shared" si="17"/>
        <v>66.617355511696317</v>
      </c>
      <c r="L82" s="9">
        <f t="shared" si="18"/>
        <v>59.988536604046281</v>
      </c>
      <c r="M82" s="9">
        <f t="shared" si="16"/>
        <v>1.1105014271543827</v>
      </c>
      <c r="N82" s="35">
        <v>0.8</v>
      </c>
      <c r="O82" s="35">
        <v>1.3</v>
      </c>
      <c r="P82" s="35">
        <v>1.5</v>
      </c>
    </row>
    <row r="83" spans="2:16" x14ac:dyDescent="0.25">
      <c r="B83" s="7">
        <v>45378</v>
      </c>
      <c r="C83" s="1" t="s">
        <v>188</v>
      </c>
      <c r="D83" s="1">
        <v>80.8</v>
      </c>
      <c r="K83" s="9">
        <f t="shared" si="17"/>
        <v>70.16301663377223</v>
      </c>
      <c r="L83" s="9">
        <f t="shared" ref="L83:L146" si="19">(D83-L82)*(2/29)+L82</f>
        <v>61.423809941698259</v>
      </c>
      <c r="M83" s="9">
        <f t="shared" ref="M83:M146" si="20">(K83/L83)</f>
        <v>1.1422771837235264</v>
      </c>
      <c r="N83" s="35">
        <v>0.8</v>
      </c>
      <c r="O83" s="35">
        <v>1.3</v>
      </c>
      <c r="P83" s="35">
        <v>1.5</v>
      </c>
    </row>
    <row r="84" spans="2:16" x14ac:dyDescent="0.25">
      <c r="B84" s="7">
        <v>45379</v>
      </c>
      <c r="C84" s="1" t="s">
        <v>189</v>
      </c>
      <c r="D84" s="1">
        <v>0</v>
      </c>
      <c r="K84" s="9">
        <f t="shared" si="17"/>
        <v>52.622262475329173</v>
      </c>
      <c r="L84" s="9">
        <f t="shared" si="19"/>
        <v>57.187685118132862</v>
      </c>
      <c r="M84" s="9">
        <f t="shared" si="20"/>
        <v>0.92016773133284069</v>
      </c>
      <c r="N84" s="35">
        <v>0.8</v>
      </c>
      <c r="O84" s="35">
        <v>1.3</v>
      </c>
      <c r="P84" s="35">
        <v>1.5</v>
      </c>
    </row>
    <row r="85" spans="2:16" x14ac:dyDescent="0.25">
      <c r="B85" s="7">
        <v>45380</v>
      </c>
      <c r="C85" s="1" t="s">
        <v>190</v>
      </c>
      <c r="D85" s="1">
        <v>0</v>
      </c>
      <c r="K85" s="9">
        <f t="shared" si="17"/>
        <v>39.466696856496881</v>
      </c>
      <c r="L85" s="9">
        <f t="shared" si="19"/>
        <v>53.243706834123699</v>
      </c>
      <c r="M85" s="9">
        <f t="shared" si="20"/>
        <v>0.74124622801812168</v>
      </c>
      <c r="N85" s="35">
        <v>0.8</v>
      </c>
      <c r="O85" s="35">
        <v>1.3</v>
      </c>
      <c r="P85" s="35">
        <v>1.5</v>
      </c>
    </row>
    <row r="86" spans="2:16" x14ac:dyDescent="0.25">
      <c r="B86" s="7">
        <v>45381</v>
      </c>
      <c r="C86" s="1" t="s">
        <v>191</v>
      </c>
      <c r="D86" s="1">
        <v>77.5</v>
      </c>
      <c r="K86" s="9">
        <f t="shared" si="17"/>
        <v>48.975022642372664</v>
      </c>
      <c r="L86" s="9">
        <f t="shared" si="19"/>
        <v>54.916554638666895</v>
      </c>
      <c r="M86" s="9">
        <f t="shared" si="20"/>
        <v>0.89180799787263454</v>
      </c>
      <c r="N86" s="35">
        <v>0.8</v>
      </c>
      <c r="O86" s="35">
        <v>1.3</v>
      </c>
      <c r="P86" s="35">
        <v>1.5</v>
      </c>
    </row>
    <row r="87" spans="2:16" x14ac:dyDescent="0.25">
      <c r="B87" s="7">
        <v>45382</v>
      </c>
      <c r="C87" s="1" t="s">
        <v>192</v>
      </c>
      <c r="D87" s="1">
        <v>75.75</v>
      </c>
      <c r="K87" s="9">
        <f t="shared" si="17"/>
        <v>55.668766981779498</v>
      </c>
      <c r="L87" s="9">
        <f t="shared" si="19"/>
        <v>56.353343973931246</v>
      </c>
      <c r="M87" s="9">
        <f t="shared" si="20"/>
        <v>0.98785206087382449</v>
      </c>
      <c r="N87" s="35">
        <v>0.8</v>
      </c>
      <c r="O87" s="35">
        <v>1.3</v>
      </c>
      <c r="P87" s="35">
        <v>1.5</v>
      </c>
    </row>
    <row r="88" spans="2:16" x14ac:dyDescent="0.25">
      <c r="B88" s="7">
        <v>45383</v>
      </c>
      <c r="K88" s="9">
        <f t="shared" si="17"/>
        <v>41.751575236334624</v>
      </c>
      <c r="L88" s="9">
        <f t="shared" si="19"/>
        <v>52.466906458487713</v>
      </c>
      <c r="M88" s="9">
        <f t="shared" si="20"/>
        <v>0.79576971570391408</v>
      </c>
      <c r="N88" s="35">
        <v>0.8</v>
      </c>
      <c r="O88" s="35">
        <v>1.3</v>
      </c>
      <c r="P88" s="35">
        <v>1.5</v>
      </c>
    </row>
    <row r="89" spans="2:16" x14ac:dyDescent="0.25">
      <c r="B89" s="7">
        <v>45384</v>
      </c>
      <c r="K89" s="9">
        <f t="shared" si="17"/>
        <v>31.31368142725097</v>
      </c>
      <c r="L89" s="9">
        <f t="shared" si="19"/>
        <v>48.848499116523044</v>
      </c>
      <c r="M89" s="9">
        <f t="shared" si="20"/>
        <v>0.6410367154281531</v>
      </c>
      <c r="N89" s="35">
        <v>0.8</v>
      </c>
      <c r="O89" s="35">
        <v>1.3</v>
      </c>
      <c r="P89" s="35">
        <v>1.5</v>
      </c>
    </row>
    <row r="90" spans="2:16" x14ac:dyDescent="0.25">
      <c r="B90" s="7">
        <v>45385</v>
      </c>
      <c r="K90" s="9">
        <f t="shared" si="17"/>
        <v>23.485261070438227</v>
      </c>
      <c r="L90" s="9">
        <f t="shared" si="19"/>
        <v>45.479637108486969</v>
      </c>
      <c r="M90" s="9">
        <f t="shared" si="20"/>
        <v>0.51639068742823446</v>
      </c>
      <c r="N90" s="35">
        <v>0.8</v>
      </c>
      <c r="O90" s="35">
        <v>1.3</v>
      </c>
      <c r="P90" s="35">
        <v>1.5</v>
      </c>
    </row>
    <row r="91" spans="2:16" x14ac:dyDescent="0.25">
      <c r="B91" s="7">
        <v>45386</v>
      </c>
      <c r="K91" s="9">
        <f t="shared" si="17"/>
        <v>17.61394580282867</v>
      </c>
      <c r="L91" s="9">
        <f t="shared" si="19"/>
        <v>42.34311041134994</v>
      </c>
      <c r="M91" s="9">
        <f t="shared" si="20"/>
        <v>0.41598138709496663</v>
      </c>
      <c r="N91" s="35">
        <v>0.8</v>
      </c>
      <c r="O91" s="35">
        <v>1.3</v>
      </c>
      <c r="P91" s="35">
        <v>1.5</v>
      </c>
    </row>
    <row r="92" spans="2:16" x14ac:dyDescent="0.25">
      <c r="B92" s="7">
        <v>45387</v>
      </c>
      <c r="K92" s="9">
        <f t="shared" ref="K92:K148" si="21">(D92-K91)*(2/8)+K91</f>
        <v>13.210459352121504</v>
      </c>
      <c r="L92" s="9">
        <f t="shared" si="19"/>
        <v>39.422895900222358</v>
      </c>
      <c r="M92" s="9">
        <f t="shared" si="20"/>
        <v>0.33509611738205647</v>
      </c>
      <c r="N92" s="35">
        <v>0.8</v>
      </c>
      <c r="O92" s="35">
        <v>1.3</v>
      </c>
      <c r="P92" s="35">
        <v>1.5</v>
      </c>
    </row>
    <row r="93" spans="2:16" x14ac:dyDescent="0.25">
      <c r="B93" s="7">
        <v>45388</v>
      </c>
      <c r="K93" s="9">
        <f t="shared" si="21"/>
        <v>9.9078445140911278</v>
      </c>
      <c r="L93" s="9">
        <f t="shared" si="19"/>
        <v>36.704075493310469</v>
      </c>
      <c r="M93" s="9">
        <f t="shared" si="20"/>
        <v>0.26993853900221215</v>
      </c>
      <c r="N93" s="35">
        <v>0.8</v>
      </c>
      <c r="O93" s="35">
        <v>1.3</v>
      </c>
      <c r="P93" s="35">
        <v>1.5</v>
      </c>
    </row>
    <row r="94" spans="2:16" x14ac:dyDescent="0.25">
      <c r="B94" s="7">
        <v>45389</v>
      </c>
      <c r="K94" s="9">
        <f t="shared" si="21"/>
        <v>7.4308833855683458</v>
      </c>
      <c r="L94" s="9">
        <f t="shared" si="19"/>
        <v>34.172759942047676</v>
      </c>
      <c r="M94" s="9">
        <f t="shared" si="20"/>
        <v>0.21745048975178202</v>
      </c>
      <c r="N94" s="35">
        <v>0.8</v>
      </c>
      <c r="O94" s="35">
        <v>1.3</v>
      </c>
      <c r="P94" s="35">
        <v>1.5</v>
      </c>
    </row>
    <row r="95" spans="2:16" x14ac:dyDescent="0.25">
      <c r="B95" s="7">
        <v>45390</v>
      </c>
      <c r="K95" s="9">
        <f t="shared" si="21"/>
        <v>5.5731625391762591</v>
      </c>
      <c r="L95" s="9">
        <f t="shared" si="19"/>
        <v>31.81601787707887</v>
      </c>
      <c r="M95" s="9">
        <f t="shared" si="20"/>
        <v>0.17516845007782442</v>
      </c>
      <c r="N95" s="35">
        <v>0.8</v>
      </c>
      <c r="O95" s="35">
        <v>1.3</v>
      </c>
      <c r="P95" s="35">
        <v>1.5</v>
      </c>
    </row>
    <row r="96" spans="2:16" x14ac:dyDescent="0.25">
      <c r="B96" s="7">
        <v>45391</v>
      </c>
      <c r="K96" s="9">
        <f t="shared" si="21"/>
        <v>4.1798719043821944</v>
      </c>
      <c r="L96" s="9">
        <f t="shared" si="19"/>
        <v>29.621809747625157</v>
      </c>
      <c r="M96" s="9">
        <f t="shared" si="20"/>
        <v>0.14110791811824744</v>
      </c>
      <c r="N96" s="35">
        <v>0.8</v>
      </c>
      <c r="O96" s="35">
        <v>1.3</v>
      </c>
      <c r="P96" s="35">
        <v>1.5</v>
      </c>
    </row>
    <row r="97" spans="2:16" x14ac:dyDescent="0.25">
      <c r="B97" s="7">
        <v>45392</v>
      </c>
      <c r="K97" s="9">
        <f t="shared" si="21"/>
        <v>3.1349039282866458</v>
      </c>
      <c r="L97" s="9">
        <f t="shared" si="19"/>
        <v>27.578926316754455</v>
      </c>
      <c r="M97" s="9">
        <f t="shared" si="20"/>
        <v>0.11367026737303267</v>
      </c>
      <c r="N97" s="35">
        <v>0.8</v>
      </c>
      <c r="O97" s="35">
        <v>1.3</v>
      </c>
      <c r="P97" s="35">
        <v>1.5</v>
      </c>
    </row>
    <row r="98" spans="2:16" x14ac:dyDescent="0.25">
      <c r="B98" s="7">
        <v>45393</v>
      </c>
      <c r="K98" s="9">
        <f t="shared" si="21"/>
        <v>2.3511779462149844</v>
      </c>
      <c r="L98" s="9">
        <f t="shared" si="19"/>
        <v>25.676931398357596</v>
      </c>
      <c r="M98" s="9">
        <f t="shared" si="20"/>
        <v>9.1567715383831877E-2</v>
      </c>
      <c r="N98" s="35">
        <v>0.8</v>
      </c>
      <c r="O98" s="35">
        <v>1.3</v>
      </c>
      <c r="P98" s="35">
        <v>1.5</v>
      </c>
    </row>
    <row r="99" spans="2:16" x14ac:dyDescent="0.25">
      <c r="B99" s="7">
        <v>45394</v>
      </c>
      <c r="K99" s="9">
        <f t="shared" si="21"/>
        <v>1.7633834596612383</v>
      </c>
      <c r="L99" s="9">
        <f t="shared" si="19"/>
        <v>23.906108543298451</v>
      </c>
      <c r="M99" s="9">
        <f t="shared" si="20"/>
        <v>7.3762881836975672E-2</v>
      </c>
      <c r="N99" s="35">
        <v>0.8</v>
      </c>
      <c r="O99" s="35">
        <v>1.3</v>
      </c>
      <c r="P99" s="35">
        <v>1.5</v>
      </c>
    </row>
    <row r="100" spans="2:16" x14ac:dyDescent="0.25">
      <c r="B100" s="7">
        <v>45395</v>
      </c>
      <c r="K100" s="9">
        <f t="shared" si="21"/>
        <v>1.3225375947459288</v>
      </c>
      <c r="L100" s="9">
        <f t="shared" si="19"/>
        <v>22.257411402381315</v>
      </c>
      <c r="M100" s="9">
        <f t="shared" si="20"/>
        <v>5.9420099257563745E-2</v>
      </c>
      <c r="N100" s="35">
        <v>0.8</v>
      </c>
      <c r="O100" s="35">
        <v>1.3</v>
      </c>
      <c r="P100" s="35">
        <v>1.5</v>
      </c>
    </row>
    <row r="101" spans="2:16" x14ac:dyDescent="0.25">
      <c r="B101" s="7">
        <v>45396</v>
      </c>
      <c r="K101" s="9">
        <f t="shared" si="21"/>
        <v>0.99190319605944666</v>
      </c>
      <c r="L101" s="9">
        <f t="shared" si="19"/>
        <v>20.722417512561915</v>
      </c>
      <c r="M101" s="9">
        <f t="shared" si="20"/>
        <v>4.7866191068593016E-2</v>
      </c>
      <c r="N101" s="35">
        <v>0.8</v>
      </c>
      <c r="O101" s="35">
        <v>1.3</v>
      </c>
      <c r="P101" s="35">
        <v>1.5</v>
      </c>
    </row>
    <row r="102" spans="2:16" x14ac:dyDescent="0.25">
      <c r="B102" s="7">
        <v>45397</v>
      </c>
      <c r="K102" s="9">
        <f t="shared" si="21"/>
        <v>0.74392739704458499</v>
      </c>
      <c r="L102" s="9">
        <f t="shared" si="19"/>
        <v>19.293285270316265</v>
      </c>
      <c r="M102" s="9">
        <f t="shared" si="20"/>
        <v>3.855887613858882E-2</v>
      </c>
      <c r="N102" s="35">
        <v>0.8</v>
      </c>
      <c r="O102" s="35">
        <v>1.3</v>
      </c>
      <c r="P102" s="35">
        <v>1.5</v>
      </c>
    </row>
    <row r="103" spans="2:16" x14ac:dyDescent="0.25">
      <c r="B103" s="7">
        <v>45398</v>
      </c>
      <c r="K103" s="9">
        <f t="shared" si="21"/>
        <v>0.55794554778343874</v>
      </c>
      <c r="L103" s="9">
        <f t="shared" si="19"/>
        <v>17.96271387236342</v>
      </c>
      <c r="M103" s="9">
        <f t="shared" si="20"/>
        <v>3.106131688941877E-2</v>
      </c>
      <c r="N103" s="35">
        <v>0.8</v>
      </c>
      <c r="O103" s="35">
        <v>1.3</v>
      </c>
      <c r="P103" s="35">
        <v>1.5</v>
      </c>
    </row>
    <row r="104" spans="2:16" x14ac:dyDescent="0.25">
      <c r="B104" s="7">
        <v>45399</v>
      </c>
      <c r="K104" s="9">
        <f t="shared" si="21"/>
        <v>0.41845916083757906</v>
      </c>
      <c r="L104" s="9">
        <f t="shared" si="19"/>
        <v>16.723906019096976</v>
      </c>
      <c r="M104" s="9">
        <f t="shared" si="20"/>
        <v>2.5021616383142899E-2</v>
      </c>
      <c r="N104" s="35">
        <v>0.8</v>
      </c>
      <c r="O104" s="35">
        <v>1.3</v>
      </c>
      <c r="P104" s="35">
        <v>1.5</v>
      </c>
    </row>
    <row r="105" spans="2:16" x14ac:dyDescent="0.25">
      <c r="B105" s="7">
        <v>45400</v>
      </c>
      <c r="K105" s="9">
        <f t="shared" si="21"/>
        <v>0.31384437062818427</v>
      </c>
      <c r="L105" s="9">
        <f t="shared" si="19"/>
        <v>15.570533190193736</v>
      </c>
      <c r="M105" s="9">
        <f t="shared" si="20"/>
        <v>2.015630208642067E-2</v>
      </c>
      <c r="N105" s="35">
        <v>0.8</v>
      </c>
      <c r="O105" s="35">
        <v>1.3</v>
      </c>
      <c r="P105" s="35">
        <v>1.5</v>
      </c>
    </row>
    <row r="106" spans="2:16" x14ac:dyDescent="0.25">
      <c r="B106" s="7">
        <v>45401</v>
      </c>
      <c r="K106" s="9">
        <f t="shared" si="21"/>
        <v>0.2353832779711382</v>
      </c>
      <c r="L106" s="9">
        <f t="shared" si="19"/>
        <v>14.496703315007961</v>
      </c>
      <c r="M106" s="9">
        <f t="shared" si="20"/>
        <v>1.6237021125172203E-2</v>
      </c>
      <c r="N106" s="35">
        <v>0.8</v>
      </c>
      <c r="O106" s="35">
        <v>1.3</v>
      </c>
      <c r="P106" s="35">
        <v>1.5</v>
      </c>
    </row>
    <row r="107" spans="2:16" x14ac:dyDescent="0.25">
      <c r="B107" s="7">
        <v>45402</v>
      </c>
      <c r="K107" s="9">
        <f t="shared" si="21"/>
        <v>0.17653745847835364</v>
      </c>
      <c r="L107" s="9">
        <f t="shared" si="19"/>
        <v>13.496930672593619</v>
      </c>
      <c r="M107" s="9">
        <f t="shared" si="20"/>
        <v>1.3079822573055387E-2</v>
      </c>
      <c r="N107" s="35">
        <v>0.8</v>
      </c>
      <c r="O107" s="35">
        <v>1.3</v>
      </c>
      <c r="P107" s="35">
        <v>1.5</v>
      </c>
    </row>
    <row r="108" spans="2:16" x14ac:dyDescent="0.25">
      <c r="B108" s="7">
        <v>45403</v>
      </c>
      <c r="K108" s="9">
        <f t="shared" si="21"/>
        <v>0.13240309385876523</v>
      </c>
      <c r="L108" s="9">
        <f t="shared" si="19"/>
        <v>12.566107867587162</v>
      </c>
      <c r="M108" s="9">
        <f t="shared" si="20"/>
        <v>1.0536523739405728E-2</v>
      </c>
      <c r="N108" s="35">
        <v>0.8</v>
      </c>
      <c r="O108" s="35">
        <v>1.3</v>
      </c>
      <c r="P108" s="35">
        <v>1.5</v>
      </c>
    </row>
    <row r="109" spans="2:16" x14ac:dyDescent="0.25">
      <c r="B109" s="7">
        <v>45404</v>
      </c>
      <c r="K109" s="9">
        <f t="shared" si="21"/>
        <v>9.9302320394073912E-2</v>
      </c>
      <c r="L109" s="9">
        <f t="shared" si="19"/>
        <v>11.699479738788048</v>
      </c>
      <c r="M109" s="9">
        <f t="shared" si="20"/>
        <v>8.4877552345212805E-3</v>
      </c>
      <c r="N109" s="35">
        <v>0.8</v>
      </c>
      <c r="O109" s="35">
        <v>1.3</v>
      </c>
      <c r="P109" s="35">
        <v>1.5</v>
      </c>
    </row>
    <row r="110" spans="2:16" x14ac:dyDescent="0.25">
      <c r="B110" s="7">
        <v>45405</v>
      </c>
      <c r="K110" s="9">
        <f t="shared" si="21"/>
        <v>7.4476740295555427E-2</v>
      </c>
      <c r="L110" s="9">
        <f t="shared" si="19"/>
        <v>10.892619067147493</v>
      </c>
      <c r="M110" s="9">
        <f t="shared" si="20"/>
        <v>6.8373583833643637E-3</v>
      </c>
      <c r="N110" s="35">
        <v>0.8</v>
      </c>
      <c r="O110" s="35">
        <v>1.3</v>
      </c>
      <c r="P110" s="35">
        <v>1.5</v>
      </c>
    </row>
    <row r="111" spans="2:16" x14ac:dyDescent="0.25">
      <c r="B111" s="7">
        <v>45406</v>
      </c>
      <c r="K111" s="9">
        <f t="shared" si="21"/>
        <v>5.585755522166657E-2</v>
      </c>
      <c r="L111" s="9">
        <f t="shared" si="19"/>
        <v>10.141403959068356</v>
      </c>
      <c r="M111" s="9">
        <f t="shared" si="20"/>
        <v>5.5078720310435154E-3</v>
      </c>
      <c r="N111" s="35">
        <v>0.8</v>
      </c>
      <c r="O111" s="35">
        <v>1.3</v>
      </c>
      <c r="P111" s="35">
        <v>1.5</v>
      </c>
    </row>
    <row r="112" spans="2:16" x14ac:dyDescent="0.25">
      <c r="B112" s="7">
        <v>45407</v>
      </c>
      <c r="K112" s="9">
        <f t="shared" si="21"/>
        <v>4.1893166416249926E-2</v>
      </c>
      <c r="L112" s="9">
        <f t="shared" si="19"/>
        <v>9.4419967894774341</v>
      </c>
      <c r="M112" s="9">
        <f t="shared" si="20"/>
        <v>4.4368969138961654E-3</v>
      </c>
      <c r="N112" s="35">
        <v>0.8</v>
      </c>
      <c r="O112" s="35">
        <v>1.3</v>
      </c>
      <c r="P112" s="35">
        <v>1.5</v>
      </c>
    </row>
    <row r="113" spans="2:16" x14ac:dyDescent="0.25">
      <c r="B113" s="7">
        <v>45408</v>
      </c>
      <c r="K113" s="9">
        <f t="shared" si="21"/>
        <v>3.1419874812187443E-2</v>
      </c>
      <c r="L113" s="9">
        <f t="shared" si="19"/>
        <v>8.7908245970996806</v>
      </c>
      <c r="M113" s="9">
        <f t="shared" si="20"/>
        <v>3.5741669584163547E-3</v>
      </c>
      <c r="N113" s="35">
        <v>0.8</v>
      </c>
      <c r="O113" s="35">
        <v>1.3</v>
      </c>
      <c r="P113" s="35">
        <v>1.5</v>
      </c>
    </row>
    <row r="114" spans="2:16" x14ac:dyDescent="0.25">
      <c r="B114" s="7">
        <v>45409</v>
      </c>
      <c r="K114" s="9">
        <f t="shared" si="21"/>
        <v>2.3564906109140582E-2</v>
      </c>
      <c r="L114" s="9">
        <f t="shared" si="19"/>
        <v>8.184560831782461</v>
      </c>
      <c r="M114" s="9">
        <f t="shared" si="20"/>
        <v>2.8791900498353969E-3</v>
      </c>
      <c r="N114" s="35">
        <v>0.8</v>
      </c>
      <c r="O114" s="35">
        <v>1.3</v>
      </c>
      <c r="P114" s="35">
        <v>1.5</v>
      </c>
    </row>
    <row r="115" spans="2:16" x14ac:dyDescent="0.25">
      <c r="B115" s="7">
        <v>45410</v>
      </c>
      <c r="K115" s="9">
        <f t="shared" si="21"/>
        <v>1.7673679581855437E-2</v>
      </c>
      <c r="L115" s="9">
        <f t="shared" si="19"/>
        <v>7.6201083606250499</v>
      </c>
      <c r="M115" s="9">
        <f t="shared" si="20"/>
        <v>2.319347540145181E-3</v>
      </c>
      <c r="N115" s="35">
        <v>0.8</v>
      </c>
      <c r="O115" s="35">
        <v>1.3</v>
      </c>
      <c r="P115" s="35">
        <v>1.5</v>
      </c>
    </row>
    <row r="116" spans="2:16" x14ac:dyDescent="0.25">
      <c r="B116" s="7">
        <v>45411</v>
      </c>
      <c r="K116" s="9">
        <f t="shared" si="21"/>
        <v>1.3255259686391577E-2</v>
      </c>
      <c r="L116" s="9">
        <f t="shared" si="19"/>
        <v>7.0945836460991849</v>
      </c>
      <c r="M116" s="9">
        <f t="shared" si="20"/>
        <v>1.8683632962280623E-3</v>
      </c>
      <c r="N116" s="35">
        <v>0.8</v>
      </c>
      <c r="O116" s="35">
        <v>1.3</v>
      </c>
      <c r="P116" s="35">
        <v>1.5</v>
      </c>
    </row>
    <row r="117" spans="2:16" x14ac:dyDescent="0.25">
      <c r="B117" s="7">
        <v>45412</v>
      </c>
      <c r="K117" s="9">
        <f t="shared" si="21"/>
        <v>9.9414447647936839E-3</v>
      </c>
      <c r="L117" s="9">
        <f t="shared" si="19"/>
        <v>6.6053020153337236</v>
      </c>
      <c r="M117" s="9">
        <f t="shared" si="20"/>
        <v>1.5050704330726058E-3</v>
      </c>
      <c r="N117" s="35">
        <v>0.8</v>
      </c>
      <c r="O117" s="35">
        <v>1.3</v>
      </c>
      <c r="P117" s="35">
        <v>1.5</v>
      </c>
    </row>
    <row r="118" spans="2:16" x14ac:dyDescent="0.25">
      <c r="B118" s="7">
        <v>45413</v>
      </c>
      <c r="K118" s="9">
        <f t="shared" si="21"/>
        <v>7.4560835735952629E-3</v>
      </c>
      <c r="L118" s="9">
        <f t="shared" si="19"/>
        <v>6.149763945310708</v>
      </c>
      <c r="M118" s="9">
        <f t="shared" si="20"/>
        <v>1.2124178488640436E-3</v>
      </c>
      <c r="N118" s="35">
        <v>0.8</v>
      </c>
      <c r="O118" s="35">
        <v>1.3</v>
      </c>
      <c r="P118" s="35">
        <v>1.5</v>
      </c>
    </row>
    <row r="119" spans="2:16" x14ac:dyDescent="0.25">
      <c r="B119" s="7">
        <v>45414</v>
      </c>
      <c r="K119" s="9">
        <f t="shared" si="21"/>
        <v>5.592062680196447E-3</v>
      </c>
      <c r="L119" s="9">
        <f t="shared" si="19"/>
        <v>5.7256422939099698</v>
      </c>
      <c r="M119" s="9">
        <f t="shared" si="20"/>
        <v>9.766699338071463E-4</v>
      </c>
      <c r="N119" s="35">
        <v>0.8</v>
      </c>
      <c r="O119" s="35">
        <v>1.3</v>
      </c>
      <c r="P119" s="35">
        <v>1.5</v>
      </c>
    </row>
    <row r="120" spans="2:16" x14ac:dyDescent="0.25">
      <c r="B120" s="7">
        <v>45415</v>
      </c>
      <c r="K120" s="9">
        <f t="shared" si="21"/>
        <v>4.1940470101473355E-3</v>
      </c>
      <c r="L120" s="9">
        <f t="shared" si="19"/>
        <v>5.3307704115713515</v>
      </c>
      <c r="M120" s="9">
        <f t="shared" si="20"/>
        <v>7.8676189112242333E-4</v>
      </c>
      <c r="N120" s="35">
        <v>0.8</v>
      </c>
      <c r="O120" s="35">
        <v>1.3</v>
      </c>
      <c r="P120" s="35">
        <v>1.5</v>
      </c>
    </row>
    <row r="121" spans="2:16" x14ac:dyDescent="0.25">
      <c r="B121" s="7">
        <v>45416</v>
      </c>
      <c r="K121" s="9">
        <f t="shared" si="21"/>
        <v>3.1455352576105016E-3</v>
      </c>
      <c r="L121" s="9">
        <f t="shared" si="19"/>
        <v>4.9631310728422928</v>
      </c>
      <c r="M121" s="9">
        <f t="shared" si="20"/>
        <v>6.3378041229306321E-4</v>
      </c>
      <c r="N121" s="35">
        <v>0.8</v>
      </c>
      <c r="O121" s="35">
        <v>1.3</v>
      </c>
      <c r="P121" s="35">
        <v>1.5</v>
      </c>
    </row>
    <row r="122" spans="2:16" x14ac:dyDescent="0.25">
      <c r="B122" s="7">
        <v>45417</v>
      </c>
      <c r="K122" s="9">
        <f t="shared" si="21"/>
        <v>2.3591514432078761E-3</v>
      </c>
      <c r="L122" s="9">
        <f t="shared" si="19"/>
        <v>4.6208461712669626</v>
      </c>
      <c r="M122" s="9">
        <f t="shared" si="20"/>
        <v>5.1054533212496755E-4</v>
      </c>
      <c r="N122" s="35">
        <v>0.8</v>
      </c>
      <c r="O122" s="35">
        <v>1.3</v>
      </c>
      <c r="P122" s="35">
        <v>1.5</v>
      </c>
    </row>
    <row r="123" spans="2:16" x14ac:dyDescent="0.25">
      <c r="B123" s="7">
        <v>45418</v>
      </c>
      <c r="K123" s="9">
        <f t="shared" si="21"/>
        <v>1.7693635824059071E-3</v>
      </c>
      <c r="L123" s="9">
        <f t="shared" si="19"/>
        <v>4.3021671249726889</v>
      </c>
      <c r="M123" s="9">
        <f t="shared" si="20"/>
        <v>4.1127262865622388E-4</v>
      </c>
      <c r="N123" s="35">
        <v>0.8</v>
      </c>
      <c r="O123" s="35">
        <v>1.3</v>
      </c>
      <c r="P123" s="35">
        <v>1.5</v>
      </c>
    </row>
    <row r="124" spans="2:16" x14ac:dyDescent="0.25">
      <c r="B124" s="7">
        <v>45419</v>
      </c>
      <c r="C124" s="7" t="s">
        <v>35</v>
      </c>
      <c r="K124" s="9">
        <f t="shared" si="21"/>
        <v>1.3270226868044304E-3</v>
      </c>
      <c r="L124" s="9">
        <f t="shared" si="19"/>
        <v>4.0054659439400897</v>
      </c>
      <c r="M124" s="9">
        <f t="shared" si="20"/>
        <v>3.3130295086195813E-4</v>
      </c>
      <c r="N124" s="35">
        <v>0.8</v>
      </c>
      <c r="O124" s="35">
        <v>1.3</v>
      </c>
      <c r="P124" s="35">
        <v>1.5</v>
      </c>
    </row>
    <row r="125" spans="2:16" x14ac:dyDescent="0.25">
      <c r="B125" s="7">
        <v>45420</v>
      </c>
      <c r="K125" s="9">
        <f t="shared" si="21"/>
        <v>9.9526701510332287E-4</v>
      </c>
      <c r="L125" s="9">
        <f t="shared" si="19"/>
        <v>3.7292269133235316</v>
      </c>
      <c r="M125" s="9">
        <f t="shared" si="20"/>
        <v>2.6688293263879965E-4</v>
      </c>
      <c r="N125" s="35">
        <v>0.8</v>
      </c>
      <c r="O125" s="35">
        <v>1.3</v>
      </c>
      <c r="P125" s="35">
        <v>1.5</v>
      </c>
    </row>
    <row r="126" spans="2:16" x14ac:dyDescent="0.25">
      <c r="B126" s="7">
        <v>45421</v>
      </c>
      <c r="K126" s="9">
        <f t="shared" si="21"/>
        <v>7.4645026132749215E-4</v>
      </c>
      <c r="L126" s="9">
        <f t="shared" si="19"/>
        <v>3.4720388503357018</v>
      </c>
      <c r="M126" s="9">
        <f t="shared" si="20"/>
        <v>2.1498902907014417E-4</v>
      </c>
      <c r="N126" s="35">
        <v>0.8</v>
      </c>
      <c r="O126" s="35">
        <v>1.3</v>
      </c>
      <c r="P126" s="35">
        <v>1.5</v>
      </c>
    </row>
    <row r="127" spans="2:16" x14ac:dyDescent="0.25">
      <c r="B127" s="7">
        <v>45422</v>
      </c>
      <c r="C127" s="7" t="s">
        <v>35</v>
      </c>
      <c r="K127" s="9">
        <f t="shared" si="21"/>
        <v>5.5983769599561909E-4</v>
      </c>
      <c r="L127" s="9">
        <f t="shared" si="19"/>
        <v>3.2325878951401363</v>
      </c>
      <c r="M127" s="9">
        <f t="shared" si="20"/>
        <v>1.7318560675094947E-4</v>
      </c>
      <c r="N127" s="35">
        <v>0.8</v>
      </c>
      <c r="O127" s="35">
        <v>1.3</v>
      </c>
      <c r="P127" s="35">
        <v>1.5</v>
      </c>
    </row>
    <row r="128" spans="2:16" x14ac:dyDescent="0.25">
      <c r="B128" s="7">
        <v>45423</v>
      </c>
      <c r="K128" s="9">
        <f t="shared" si="21"/>
        <v>4.1987827199671432E-4</v>
      </c>
      <c r="L128" s="9">
        <f t="shared" si="19"/>
        <v>3.009650798923575</v>
      </c>
      <c r="M128" s="9">
        <f t="shared" si="20"/>
        <v>1.3951062766048706E-4</v>
      </c>
      <c r="N128" s="35">
        <v>0.8</v>
      </c>
      <c r="O128" s="35">
        <v>1.3</v>
      </c>
      <c r="P128" s="35">
        <v>1.5</v>
      </c>
    </row>
    <row r="129" spans="2:16" x14ac:dyDescent="0.25">
      <c r="B129" s="7">
        <v>45424</v>
      </c>
      <c r="K129" s="9">
        <f t="shared" si="21"/>
        <v>3.1490870399753575E-4</v>
      </c>
      <c r="L129" s="9">
        <f t="shared" si="19"/>
        <v>2.8020886748598803</v>
      </c>
      <c r="M129" s="9">
        <f t="shared" si="20"/>
        <v>1.1238356117094791E-4</v>
      </c>
      <c r="N129" s="35">
        <v>0.8</v>
      </c>
      <c r="O129" s="35">
        <v>1.3</v>
      </c>
      <c r="P129" s="35">
        <v>1.5</v>
      </c>
    </row>
    <row r="130" spans="2:16" x14ac:dyDescent="0.25">
      <c r="B130" s="7">
        <v>45425</v>
      </c>
      <c r="K130" s="9">
        <f t="shared" si="21"/>
        <v>2.3618152799815181E-4</v>
      </c>
      <c r="L130" s="9">
        <f t="shared" si="19"/>
        <v>2.6088411800419578</v>
      </c>
      <c r="M130" s="9">
        <f t="shared" si="20"/>
        <v>9.0531202054374701E-5</v>
      </c>
      <c r="N130" s="35">
        <v>0.8</v>
      </c>
      <c r="O130" s="35">
        <v>1.3</v>
      </c>
      <c r="P130" s="35">
        <v>1.5</v>
      </c>
    </row>
    <row r="131" spans="2:16" x14ac:dyDescent="0.25">
      <c r="B131" s="7">
        <v>45426</v>
      </c>
      <c r="K131" s="9">
        <f t="shared" si="21"/>
        <v>1.7713614599861385E-4</v>
      </c>
      <c r="L131" s="9">
        <f t="shared" si="19"/>
        <v>2.4289210986597536</v>
      </c>
      <c r="M131" s="9">
        <f t="shared" si="20"/>
        <v>7.2927912766024074E-5</v>
      </c>
      <c r="N131" s="35">
        <v>0.8</v>
      </c>
      <c r="O131" s="35">
        <v>1.3</v>
      </c>
      <c r="P131" s="35">
        <v>1.5</v>
      </c>
    </row>
    <row r="132" spans="2:16" x14ac:dyDescent="0.25">
      <c r="B132" s="7">
        <v>45427</v>
      </c>
      <c r="K132" s="9">
        <f t="shared" si="21"/>
        <v>1.3285210949896039E-4</v>
      </c>
      <c r="L132" s="9">
        <f t="shared" si="19"/>
        <v>2.2614092987521843</v>
      </c>
      <c r="M132" s="9">
        <f t="shared" si="20"/>
        <v>5.8747485283741616E-5</v>
      </c>
      <c r="N132" s="35">
        <v>0.8</v>
      </c>
      <c r="O132" s="35">
        <v>1.3</v>
      </c>
      <c r="P132" s="35">
        <v>1.5</v>
      </c>
    </row>
    <row r="133" spans="2:16" x14ac:dyDescent="0.25">
      <c r="B133" s="7">
        <v>45428</v>
      </c>
      <c r="K133" s="9">
        <f t="shared" si="21"/>
        <v>9.9639082124220292E-5</v>
      </c>
      <c r="L133" s="9">
        <f t="shared" si="19"/>
        <v>2.105450036769275</v>
      </c>
      <c r="M133" s="9">
        <f t="shared" si="20"/>
        <v>4.7324363145236304E-5</v>
      </c>
      <c r="N133" s="35">
        <v>0.8</v>
      </c>
      <c r="O133" s="35">
        <v>1.3</v>
      </c>
      <c r="P133" s="35">
        <v>1.5</v>
      </c>
    </row>
    <row r="134" spans="2:16" x14ac:dyDescent="0.25">
      <c r="B134" s="7">
        <v>45429</v>
      </c>
      <c r="K134" s="9">
        <f t="shared" si="21"/>
        <v>7.4729311593165219E-5</v>
      </c>
      <c r="L134" s="9">
        <f t="shared" si="19"/>
        <v>1.9602465859576008</v>
      </c>
      <c r="M134" s="9">
        <f t="shared" si="20"/>
        <v>3.8122403644773684E-5</v>
      </c>
      <c r="N134" s="35">
        <v>0.8</v>
      </c>
      <c r="O134" s="35">
        <v>1.3</v>
      </c>
      <c r="P134" s="35">
        <v>1.5</v>
      </c>
    </row>
    <row r="135" spans="2:16" x14ac:dyDescent="0.25">
      <c r="B135" s="7">
        <v>45430</v>
      </c>
      <c r="K135" s="9">
        <f t="shared" si="21"/>
        <v>5.6046983694873914E-5</v>
      </c>
      <c r="L135" s="9">
        <f t="shared" si="19"/>
        <v>1.825057166236387</v>
      </c>
      <c r="M135" s="9">
        <f t="shared" si="20"/>
        <v>3.07097140471788E-5</v>
      </c>
      <c r="N135" s="35">
        <v>0.8</v>
      </c>
      <c r="O135" s="35">
        <v>1.3</v>
      </c>
      <c r="P135" s="35">
        <v>1.5</v>
      </c>
    </row>
    <row r="136" spans="2:16" x14ac:dyDescent="0.25">
      <c r="B136" s="7">
        <v>45431</v>
      </c>
      <c r="K136" s="9">
        <f t="shared" si="21"/>
        <v>4.2035237771155439E-5</v>
      </c>
      <c r="L136" s="9">
        <f t="shared" si="19"/>
        <v>1.6991911547718086</v>
      </c>
      <c r="M136" s="9">
        <f t="shared" si="20"/>
        <v>2.473838076022737E-5</v>
      </c>
      <c r="N136" s="35">
        <v>0.8</v>
      </c>
      <c r="O136" s="35">
        <v>1.3</v>
      </c>
      <c r="P136" s="35">
        <v>1.5</v>
      </c>
    </row>
    <row r="137" spans="2:16" x14ac:dyDescent="0.25">
      <c r="B137" s="7">
        <v>45432</v>
      </c>
      <c r="K137" s="9">
        <f t="shared" si="21"/>
        <v>3.1526428328366579E-5</v>
      </c>
      <c r="L137" s="9">
        <f t="shared" si="19"/>
        <v>1.5820055578909942</v>
      </c>
      <c r="M137" s="9">
        <f t="shared" si="20"/>
        <v>1.9928140056849828E-5</v>
      </c>
      <c r="N137" s="35">
        <v>0.8</v>
      </c>
      <c r="O137" s="35">
        <v>1.3</v>
      </c>
      <c r="P137" s="35">
        <v>1.5</v>
      </c>
    </row>
    <row r="138" spans="2:16" x14ac:dyDescent="0.25">
      <c r="B138" s="7">
        <v>45433</v>
      </c>
      <c r="K138" s="9">
        <f t="shared" si="21"/>
        <v>2.3644821246274936E-5</v>
      </c>
      <c r="L138" s="9">
        <f t="shared" si="19"/>
        <v>1.472901726312305</v>
      </c>
      <c r="M138" s="9">
        <f t="shared" si="20"/>
        <v>1.6053223934684584E-5</v>
      </c>
      <c r="N138" s="35">
        <v>0.8</v>
      </c>
      <c r="O138" s="35">
        <v>1.3</v>
      </c>
      <c r="P138" s="35">
        <v>1.5</v>
      </c>
    </row>
    <row r="139" spans="2:16" x14ac:dyDescent="0.25">
      <c r="B139" s="7">
        <v>45434</v>
      </c>
      <c r="K139" s="9">
        <f t="shared" si="21"/>
        <v>1.7733615934706201E-5</v>
      </c>
      <c r="L139" s="9">
        <f t="shared" si="19"/>
        <v>1.3713222969114565</v>
      </c>
      <c r="M139" s="9">
        <f t="shared" si="20"/>
        <v>1.293176372516258E-5</v>
      </c>
      <c r="N139" s="35">
        <v>0.8</v>
      </c>
      <c r="O139" s="35">
        <v>1.3</v>
      </c>
      <c r="P139" s="35">
        <v>1.5</v>
      </c>
    </row>
    <row r="140" spans="2:16" x14ac:dyDescent="0.25">
      <c r="B140" s="7">
        <v>45435</v>
      </c>
      <c r="K140" s="9">
        <f t="shared" si="21"/>
        <v>1.330021195102965E-5</v>
      </c>
      <c r="L140" s="9">
        <f t="shared" si="19"/>
        <v>1.2767483454003214</v>
      </c>
      <c r="M140" s="9">
        <f t="shared" si="20"/>
        <v>1.0417254111936522E-5</v>
      </c>
      <c r="N140" s="35">
        <v>0.8</v>
      </c>
      <c r="O140" s="35">
        <v>1.3</v>
      </c>
      <c r="P140" s="35">
        <v>1.5</v>
      </c>
    </row>
    <row r="141" spans="2:16" x14ac:dyDescent="0.25">
      <c r="B141" s="7">
        <v>45436</v>
      </c>
      <c r="K141" s="9">
        <f t="shared" si="21"/>
        <v>9.9751589632722382E-6</v>
      </c>
      <c r="L141" s="9">
        <f t="shared" si="19"/>
        <v>1.1886967353727131</v>
      </c>
      <c r="M141" s="9">
        <f t="shared" si="20"/>
        <v>8.3916769235044207E-6</v>
      </c>
      <c r="N141" s="35">
        <v>0.8</v>
      </c>
      <c r="O141" s="35">
        <v>1.3</v>
      </c>
      <c r="P141" s="35">
        <v>1.5</v>
      </c>
    </row>
    <row r="142" spans="2:16" x14ac:dyDescent="0.25">
      <c r="B142" s="7">
        <v>45437</v>
      </c>
      <c r="K142" s="9">
        <f t="shared" si="21"/>
        <v>7.4813692224541787E-6</v>
      </c>
      <c r="L142" s="9">
        <f t="shared" si="19"/>
        <v>1.106717650174595</v>
      </c>
      <c r="M142" s="9">
        <f t="shared" si="20"/>
        <v>6.7599619661563394E-6</v>
      </c>
      <c r="N142" s="35">
        <v>0.8</v>
      </c>
      <c r="O142" s="35">
        <v>1.3</v>
      </c>
      <c r="P142" s="35">
        <v>1.5</v>
      </c>
    </row>
    <row r="143" spans="2:16" x14ac:dyDescent="0.25">
      <c r="B143" s="7">
        <v>45438</v>
      </c>
      <c r="C143" s="7" t="s">
        <v>35</v>
      </c>
      <c r="K143" s="9">
        <f t="shared" si="21"/>
        <v>5.6110269168406344E-6</v>
      </c>
      <c r="L143" s="9">
        <f t="shared" si="19"/>
        <v>1.0303922949901403</v>
      </c>
      <c r="M143" s="9">
        <f t="shared" si="20"/>
        <v>5.4455249171814949E-6</v>
      </c>
      <c r="N143" s="35">
        <v>0.8</v>
      </c>
      <c r="O143" s="35">
        <v>1.3</v>
      </c>
      <c r="P143" s="35">
        <v>1.5</v>
      </c>
    </row>
    <row r="144" spans="2:16" x14ac:dyDescent="0.25">
      <c r="B144" s="7">
        <v>45439</v>
      </c>
      <c r="K144" s="9">
        <f t="shared" si="21"/>
        <v>4.2082701876304758E-6</v>
      </c>
      <c r="L144" s="9">
        <f t="shared" si="19"/>
        <v>0.95933075740461338</v>
      </c>
      <c r="M144" s="9">
        <f t="shared" si="20"/>
        <v>4.38667284995176E-6</v>
      </c>
      <c r="N144" s="35">
        <v>0.8</v>
      </c>
      <c r="O144" s="35">
        <v>1.3</v>
      </c>
      <c r="P144" s="35">
        <v>1.5</v>
      </c>
    </row>
    <row r="145" spans="2:16" x14ac:dyDescent="0.25">
      <c r="B145" s="7">
        <v>45440</v>
      </c>
      <c r="K145" s="9">
        <f t="shared" si="21"/>
        <v>3.1562026407228569E-6</v>
      </c>
      <c r="L145" s="9">
        <f t="shared" si="19"/>
        <v>0.89317001551464004</v>
      </c>
      <c r="M145" s="9">
        <f t="shared" si="20"/>
        <v>3.5337086846833624E-6</v>
      </c>
      <c r="N145" s="35">
        <v>0.8</v>
      </c>
      <c r="O145" s="35">
        <v>1.3</v>
      </c>
      <c r="P145" s="35">
        <v>1.5</v>
      </c>
    </row>
    <row r="146" spans="2:16" x14ac:dyDescent="0.25">
      <c r="B146" s="7">
        <v>45441</v>
      </c>
      <c r="K146" s="9">
        <f t="shared" si="21"/>
        <v>2.3671519805421424E-6</v>
      </c>
      <c r="L146" s="9">
        <f t="shared" si="19"/>
        <v>0.83157208341018207</v>
      </c>
      <c r="M146" s="9">
        <f t="shared" si="20"/>
        <v>2.8465986626615971E-6</v>
      </c>
      <c r="N146" s="35">
        <v>0.8</v>
      </c>
      <c r="O146" s="35">
        <v>1.3</v>
      </c>
      <c r="P146" s="35">
        <v>1.5</v>
      </c>
    </row>
    <row r="147" spans="2:16" x14ac:dyDescent="0.25">
      <c r="B147" s="7">
        <v>45442</v>
      </c>
      <c r="K147" s="9">
        <f t="shared" si="21"/>
        <v>1.7753639854066068E-6</v>
      </c>
      <c r="L147" s="9">
        <f t="shared" ref="L147:L148" si="22">(D147-L146)*(2/29)+L146</f>
        <v>0.77422228455430742</v>
      </c>
      <c r="M147" s="9">
        <f t="shared" ref="M147:M148" si="23">(K147/L147)</f>
        <v>2.2930933671440645E-6</v>
      </c>
      <c r="N147" s="35">
        <v>0.8</v>
      </c>
      <c r="O147" s="35">
        <v>1.3</v>
      </c>
      <c r="P147" s="35">
        <v>1.5</v>
      </c>
    </row>
    <row r="148" spans="2:16" x14ac:dyDescent="0.25">
      <c r="B148" s="7">
        <v>45443</v>
      </c>
      <c r="K148" s="9">
        <f t="shared" si="21"/>
        <v>1.3315229890549552E-6</v>
      </c>
      <c r="L148" s="9">
        <f t="shared" si="22"/>
        <v>0.72082764424021728</v>
      </c>
      <c r="M148" s="9">
        <f t="shared" si="23"/>
        <v>1.8472141013104965E-6</v>
      </c>
      <c r="N148" s="35">
        <v>0.8</v>
      </c>
      <c r="O148" s="35">
        <v>1.3</v>
      </c>
      <c r="P148" s="35">
        <v>1.5</v>
      </c>
    </row>
    <row r="149" spans="2:16" x14ac:dyDescent="0.25">
      <c r="B149" s="7">
        <v>45444</v>
      </c>
    </row>
    <row r="150" spans="2:16" x14ac:dyDescent="0.25">
      <c r="B150" s="7">
        <v>45445</v>
      </c>
      <c r="C150" s="7" t="s">
        <v>35</v>
      </c>
    </row>
    <row r="151" spans="2:16" x14ac:dyDescent="0.25">
      <c r="B151" s="7">
        <v>45446</v>
      </c>
    </row>
    <row r="152" spans="2:16" x14ac:dyDescent="0.25">
      <c r="B152" s="7">
        <v>45447</v>
      </c>
    </row>
    <row r="153" spans="2:16" x14ac:dyDescent="0.25">
      <c r="B153" s="7">
        <v>45448</v>
      </c>
    </row>
    <row r="154" spans="2:16" x14ac:dyDescent="0.25">
      <c r="B154" s="7">
        <v>45449</v>
      </c>
    </row>
    <row r="155" spans="2:16" x14ac:dyDescent="0.25">
      <c r="B155" s="7">
        <v>45450</v>
      </c>
    </row>
    <row r="156" spans="2:16" x14ac:dyDescent="0.25">
      <c r="B156" s="7">
        <v>45451</v>
      </c>
    </row>
    <row r="157" spans="2:16" x14ac:dyDescent="0.25">
      <c r="B157" s="7">
        <v>45452</v>
      </c>
    </row>
    <row r="158" spans="2:16" x14ac:dyDescent="0.25">
      <c r="B158" s="7">
        <v>45453</v>
      </c>
    </row>
    <row r="159" spans="2:16" x14ac:dyDescent="0.25">
      <c r="B159" s="7">
        <v>45454</v>
      </c>
    </row>
    <row r="160" spans="2:16" x14ac:dyDescent="0.25">
      <c r="B160" s="7">
        <v>45455</v>
      </c>
    </row>
    <row r="161" spans="2:3" x14ac:dyDescent="0.25">
      <c r="B161" s="7">
        <v>45456</v>
      </c>
    </row>
    <row r="162" spans="2:3" x14ac:dyDescent="0.25">
      <c r="B162" s="7">
        <v>45457</v>
      </c>
    </row>
    <row r="163" spans="2:3" x14ac:dyDescent="0.25">
      <c r="B163" s="7">
        <v>45458</v>
      </c>
    </row>
    <row r="164" spans="2:3" x14ac:dyDescent="0.25">
      <c r="B164" s="7">
        <v>45459</v>
      </c>
    </row>
    <row r="165" spans="2:3" x14ac:dyDescent="0.25">
      <c r="B165" s="7">
        <v>45460</v>
      </c>
    </row>
    <row r="166" spans="2:3" x14ac:dyDescent="0.25">
      <c r="B166" s="7">
        <v>45461</v>
      </c>
    </row>
    <row r="167" spans="2:3" x14ac:dyDescent="0.25">
      <c r="B167" s="7">
        <v>45462</v>
      </c>
    </row>
    <row r="168" spans="2:3" x14ac:dyDescent="0.25">
      <c r="B168" s="7">
        <v>45463</v>
      </c>
    </row>
    <row r="169" spans="2:3" x14ac:dyDescent="0.25">
      <c r="B169" s="7">
        <v>45464</v>
      </c>
    </row>
    <row r="170" spans="2:3" x14ac:dyDescent="0.25">
      <c r="B170" s="7">
        <v>45465</v>
      </c>
    </row>
    <row r="171" spans="2:3" x14ac:dyDescent="0.25">
      <c r="B171" s="7">
        <v>45466</v>
      </c>
    </row>
    <row r="172" spans="2:3" x14ac:dyDescent="0.25">
      <c r="B172" s="7">
        <v>45467</v>
      </c>
    </row>
    <row r="173" spans="2:3" x14ac:dyDescent="0.25">
      <c r="B173" s="7">
        <v>45468</v>
      </c>
      <c r="C173" s="7" t="s">
        <v>35</v>
      </c>
    </row>
    <row r="174" spans="2:3" x14ac:dyDescent="0.25">
      <c r="B174" s="7">
        <v>45469</v>
      </c>
    </row>
    <row r="175" spans="2:3" x14ac:dyDescent="0.25">
      <c r="B175" s="7">
        <v>45470</v>
      </c>
    </row>
    <row r="176" spans="2:3" x14ac:dyDescent="0.25">
      <c r="B176" s="7">
        <v>45471</v>
      </c>
    </row>
    <row r="177" spans="2:3" x14ac:dyDescent="0.25">
      <c r="B177" s="7">
        <v>45472</v>
      </c>
      <c r="C177" s="7" t="s">
        <v>35</v>
      </c>
    </row>
    <row r="178" spans="2:3" x14ac:dyDescent="0.25">
      <c r="B178" s="7">
        <v>45473</v>
      </c>
    </row>
    <row r="179" spans="2:3" x14ac:dyDescent="0.25">
      <c r="B179" s="7">
        <v>45474</v>
      </c>
    </row>
    <row r="180" spans="2:3" x14ac:dyDescent="0.25">
      <c r="B180" s="7">
        <v>45475</v>
      </c>
    </row>
    <row r="181" spans="2:3" x14ac:dyDescent="0.25">
      <c r="B181" s="7">
        <v>45476</v>
      </c>
    </row>
    <row r="182" spans="2:3" x14ac:dyDescent="0.25">
      <c r="B182" s="7">
        <v>45477</v>
      </c>
    </row>
    <row r="183" spans="2:3" x14ac:dyDescent="0.25">
      <c r="B183" s="7">
        <v>45478</v>
      </c>
    </row>
    <row r="184" spans="2:3" x14ac:dyDescent="0.25">
      <c r="B184" s="7">
        <v>45479</v>
      </c>
    </row>
    <row r="185" spans="2:3" x14ac:dyDescent="0.25">
      <c r="B185" s="7">
        <v>45480</v>
      </c>
    </row>
    <row r="186" spans="2:3" x14ac:dyDescent="0.25">
      <c r="B186" s="7">
        <v>45481</v>
      </c>
    </row>
    <row r="187" spans="2:3" x14ac:dyDescent="0.25">
      <c r="B187" s="7">
        <v>45482</v>
      </c>
      <c r="C187" s="7" t="s">
        <v>35</v>
      </c>
    </row>
    <row r="188" spans="2:3" x14ac:dyDescent="0.25">
      <c r="B188" s="7">
        <v>45483</v>
      </c>
    </row>
    <row r="189" spans="2:3" x14ac:dyDescent="0.25">
      <c r="B189" s="7">
        <v>45484</v>
      </c>
    </row>
    <row r="190" spans="2:3" x14ac:dyDescent="0.25">
      <c r="B190" s="7">
        <v>45485</v>
      </c>
      <c r="C190" s="7" t="s">
        <v>35</v>
      </c>
    </row>
    <row r="191" spans="2:3" x14ac:dyDescent="0.25">
      <c r="B191" s="7">
        <v>45486</v>
      </c>
    </row>
    <row r="192" spans="2:3" x14ac:dyDescent="0.25">
      <c r="B192" s="7">
        <v>45487</v>
      </c>
    </row>
    <row r="193" spans="2:3" x14ac:dyDescent="0.25">
      <c r="B193" s="7">
        <v>45488</v>
      </c>
    </row>
    <row r="194" spans="2:3" x14ac:dyDescent="0.25">
      <c r="B194" s="7">
        <v>45489</v>
      </c>
    </row>
    <row r="195" spans="2:3" x14ac:dyDescent="0.25">
      <c r="B195" s="7">
        <v>45490</v>
      </c>
    </row>
    <row r="196" spans="2:3" x14ac:dyDescent="0.25">
      <c r="B196" s="7">
        <v>45491</v>
      </c>
    </row>
    <row r="197" spans="2:3" x14ac:dyDescent="0.25">
      <c r="B197" s="7">
        <v>45492</v>
      </c>
    </row>
    <row r="198" spans="2:3" x14ac:dyDescent="0.25">
      <c r="B198" s="7">
        <v>45493</v>
      </c>
      <c r="C198" s="7" t="s">
        <v>35</v>
      </c>
    </row>
    <row r="199" spans="2:3" x14ac:dyDescent="0.25">
      <c r="B199" s="7">
        <v>45494</v>
      </c>
    </row>
    <row r="200" spans="2:3" x14ac:dyDescent="0.25">
      <c r="B200" s="7">
        <v>45495</v>
      </c>
    </row>
    <row r="201" spans="2:3" x14ac:dyDescent="0.25">
      <c r="B201" s="7">
        <v>45496</v>
      </c>
    </row>
    <row r="202" spans="2:3" x14ac:dyDescent="0.25">
      <c r="B202" s="7">
        <v>45497</v>
      </c>
      <c r="C202" s="7" t="s">
        <v>35</v>
      </c>
    </row>
    <row r="203" spans="2:3" x14ac:dyDescent="0.25">
      <c r="B203" s="7">
        <v>45498</v>
      </c>
    </row>
    <row r="204" spans="2:3" x14ac:dyDescent="0.25">
      <c r="B204" s="7">
        <v>45499</v>
      </c>
    </row>
    <row r="205" spans="2:3" x14ac:dyDescent="0.25">
      <c r="B205" s="7">
        <v>45500</v>
      </c>
    </row>
    <row r="206" spans="2:3" x14ac:dyDescent="0.25">
      <c r="B206" s="7">
        <v>45501</v>
      </c>
      <c r="C206" s="7" t="s">
        <v>35</v>
      </c>
    </row>
    <row r="207" spans="2:3" x14ac:dyDescent="0.25">
      <c r="B207" s="7">
        <v>45502</v>
      </c>
    </row>
    <row r="208" spans="2:3" x14ac:dyDescent="0.25">
      <c r="B208" s="7">
        <v>45503</v>
      </c>
    </row>
    <row r="209" spans="2:3" x14ac:dyDescent="0.25">
      <c r="B209" s="7">
        <v>45504</v>
      </c>
    </row>
    <row r="210" spans="2:3" x14ac:dyDescent="0.25">
      <c r="B210" s="7">
        <v>45505</v>
      </c>
    </row>
    <row r="211" spans="2:3" x14ac:dyDescent="0.25">
      <c r="B211" s="7">
        <v>45506</v>
      </c>
    </row>
    <row r="212" spans="2:3" x14ac:dyDescent="0.25">
      <c r="B212" s="7">
        <v>45507</v>
      </c>
    </row>
    <row r="213" spans="2:3" x14ac:dyDescent="0.25">
      <c r="B213" s="7">
        <v>45508</v>
      </c>
      <c r="C213" s="7" t="s">
        <v>35</v>
      </c>
    </row>
    <row r="214" spans="2:3" x14ac:dyDescent="0.25">
      <c r="B214" s="7">
        <v>45509</v>
      </c>
    </row>
    <row r="215" spans="2:3" x14ac:dyDescent="0.25">
      <c r="B215" s="7">
        <v>45510</v>
      </c>
    </row>
    <row r="216" spans="2:3" x14ac:dyDescent="0.25">
      <c r="B216" s="7">
        <v>45511</v>
      </c>
    </row>
    <row r="217" spans="2:3" x14ac:dyDescent="0.25">
      <c r="B217" s="7">
        <v>45512</v>
      </c>
    </row>
    <row r="218" spans="2:3" x14ac:dyDescent="0.25">
      <c r="B218" s="7">
        <v>45513</v>
      </c>
    </row>
    <row r="219" spans="2:3" x14ac:dyDescent="0.25">
      <c r="B219" s="7">
        <v>45514</v>
      </c>
    </row>
    <row r="220" spans="2:3" x14ac:dyDescent="0.25">
      <c r="B220" s="7">
        <v>45515</v>
      </c>
      <c r="C220" s="7" t="s">
        <v>35</v>
      </c>
    </row>
    <row r="221" spans="2:3" x14ac:dyDescent="0.25">
      <c r="B221" s="7">
        <v>45516</v>
      </c>
    </row>
    <row r="222" spans="2:3" x14ac:dyDescent="0.25">
      <c r="B222" s="7">
        <v>45517</v>
      </c>
    </row>
    <row r="223" spans="2:3" x14ac:dyDescent="0.25">
      <c r="B223" s="7">
        <v>45518</v>
      </c>
    </row>
    <row r="224" spans="2:3" x14ac:dyDescent="0.25">
      <c r="B224" s="7">
        <v>45519</v>
      </c>
    </row>
    <row r="225" spans="2:2" x14ac:dyDescent="0.25">
      <c r="B225" s="7">
        <v>45520</v>
      </c>
    </row>
    <row r="226" spans="2:2" x14ac:dyDescent="0.25">
      <c r="B226" s="7">
        <v>45521</v>
      </c>
    </row>
    <row r="227" spans="2:2" x14ac:dyDescent="0.25">
      <c r="B227" s="7">
        <v>45522</v>
      </c>
    </row>
    <row r="228" spans="2:2" x14ac:dyDescent="0.25">
      <c r="B228" s="7">
        <v>45523</v>
      </c>
    </row>
    <row r="229" spans="2:2" x14ac:dyDescent="0.25">
      <c r="B229" s="7">
        <v>45524</v>
      </c>
    </row>
    <row r="230" spans="2:2" x14ac:dyDescent="0.25">
      <c r="B230" s="7">
        <v>45525</v>
      </c>
    </row>
    <row r="231" spans="2:2" x14ac:dyDescent="0.25">
      <c r="B231" s="7">
        <v>45526</v>
      </c>
    </row>
    <row r="232" spans="2:2" x14ac:dyDescent="0.25">
      <c r="B232" s="7">
        <v>45527</v>
      </c>
    </row>
    <row r="233" spans="2:2" x14ac:dyDescent="0.25">
      <c r="B233" s="7"/>
    </row>
  </sheetData>
  <mergeCells count="2">
    <mergeCell ref="H1:I1"/>
    <mergeCell ref="N1:O1"/>
  </mergeCell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420"/>
  <sheetViews>
    <sheetView topLeftCell="A1407" workbookViewId="0">
      <selection activeCell="A1420" sqref="A1420"/>
    </sheetView>
  </sheetViews>
  <sheetFormatPr defaultRowHeight="15" x14ac:dyDescent="0.25"/>
  <cols>
    <col min="1" max="1" width="25.85546875" style="11" bestFit="1" customWidth="1"/>
    <col min="2" max="2" width="25.85546875" style="51" customWidth="1"/>
    <col min="3" max="3" width="18.28515625" style="11" bestFit="1" customWidth="1"/>
    <col min="4" max="4" width="19.28515625" style="11" customWidth="1"/>
    <col min="5" max="5" width="41.42578125" style="11" customWidth="1"/>
    <col min="6" max="6" width="42.28515625" style="11" customWidth="1"/>
    <col min="7" max="7" width="41.140625" style="11" customWidth="1"/>
    <col min="8" max="8" width="15.140625" style="11" customWidth="1"/>
  </cols>
  <sheetData>
    <row r="1" spans="1:24" ht="93.75" x14ac:dyDescent="0.25">
      <c r="A1" s="12" t="s">
        <v>51</v>
      </c>
      <c r="B1" s="12" t="s">
        <v>202</v>
      </c>
      <c r="C1" s="12" t="s">
        <v>81</v>
      </c>
      <c r="D1" s="12" t="s">
        <v>52</v>
      </c>
      <c r="E1" s="12" t="s">
        <v>72</v>
      </c>
      <c r="F1" s="12" t="s">
        <v>73</v>
      </c>
      <c r="G1" s="12" t="s">
        <v>74</v>
      </c>
      <c r="H1" s="12" t="s">
        <v>80</v>
      </c>
      <c r="I1" s="12" t="s">
        <v>230</v>
      </c>
      <c r="J1" s="12" t="s">
        <v>213</v>
      </c>
      <c r="K1" s="12" t="s">
        <v>231</v>
      </c>
      <c r="L1" s="12" t="s">
        <v>232</v>
      </c>
      <c r="M1" s="12" t="s">
        <v>237</v>
      </c>
      <c r="N1" s="12" t="s">
        <v>214</v>
      </c>
      <c r="O1" s="12" t="s">
        <v>238</v>
      </c>
      <c r="P1" s="12" t="s">
        <v>239</v>
      </c>
      <c r="Q1" s="12" t="s">
        <v>240</v>
      </c>
      <c r="R1" s="12" t="s">
        <v>215</v>
      </c>
      <c r="S1" s="12" t="s">
        <v>241</v>
      </c>
      <c r="T1" s="12" t="s">
        <v>242</v>
      </c>
      <c r="U1" s="12" t="s">
        <v>243</v>
      </c>
      <c r="V1" s="12" t="s">
        <v>216</v>
      </c>
      <c r="W1" s="12" t="s">
        <v>244</v>
      </c>
      <c r="X1" s="65" t="s">
        <v>245</v>
      </c>
    </row>
    <row r="2" spans="1:24" x14ac:dyDescent="0.25">
      <c r="A2" s="13" t="s">
        <v>53</v>
      </c>
      <c r="B2" s="13" t="str">
        <f>IF(A2="Sihle Gum","Defender",IF(A2="Kenny Langa","Defender",IF(A2="Tshepang Makara","Defender",IF(A2="Tshepiso Mahlangu","Defender",IF(A2="Neo Ramashala","Defender",IF(A2="Keabetswe Nkogatse","Defender",IF(A2="Kaketso Harold Majadibodu","Defender",IF(A2="Samuel Julies","Midfielder",IF(A2="Frank Mpedi","Midfielder",IF(A2="Sapholwethu Kelepu","Midfielder",IF(A2="Manelisi Sithole","Midfielder",IF(A2="Thabiso Mokoena","Midfielder",IF(A2="Khomotso Marebane","Midfielder",IF(A2="Tebogo Mohlamonyane","Midfielder",IF(A2="Thulani Zandamela","Midfielder",IF(A2="Mdevulana Camagu","Midfielder",IF(A2="Promise Mkhuma","Midfielder",IF(A2="Essien Makwarimba","Midfielder",IF(A2="Ayanda Mvambi","Winger",IF(A2="Delano Abrahams","Winger",IF(A2="Thokozani Sekotlong","Winger",IF(A2="Maselaelo Seanego","Winger",IF(A2="Lesedi Motha","Winger",IF(A2="Malekgene Mampuru","Winger",IF(A2="Matome Rangata","Winger",IF(A2="Thabang Sibanyoni","Striker",IF(A2="Tebogo Makungo","Striker",IF(A2="Neo Dikgale","Striker",IF(A2="Kamohelo Pheeane","Striker",IF(A2="Athenkosi Tonisi","Striker",IF(A2="Jesse Francis","Striker","####")))))))))))))))))))))))))))))))</f>
        <v>Midfielder</v>
      </c>
      <c r="C2" s="7">
        <v>45215</v>
      </c>
      <c r="D2" s="14">
        <v>6284</v>
      </c>
      <c r="E2" s="14">
        <v>19</v>
      </c>
      <c r="F2" s="14">
        <v>29</v>
      </c>
      <c r="G2" s="14">
        <v>46</v>
      </c>
      <c r="H2" s="9">
        <v>65.489999999999995</v>
      </c>
      <c r="I2" s="14">
        <f>'PIVOT TABLES'!$B$26</f>
        <v>60.283999999999999</v>
      </c>
      <c r="J2" s="14">
        <f>'PIVOT TABLES'!$B$27-'PIVOT TABLES'!$B$26</f>
        <v>30.142000000000003</v>
      </c>
      <c r="K2" s="14">
        <f>'PIVOT TABLES'!$B$28-'PIVOT TABLES'!$B$27</f>
        <v>30.141999999999996</v>
      </c>
      <c r="L2" s="14">
        <f>200-SUM(Table3[[#This Row],[D - LIGHT]:[D - VIGOROUS]])</f>
        <v>79.432000000000002</v>
      </c>
      <c r="M2" s="14">
        <f>'PIVOT TABLES'!$I$26</f>
        <v>65.603999999999999</v>
      </c>
      <c r="N2" s="14">
        <f>'PIVOT TABLES'!$I$27-'PIVOT TABLES'!$I$26</f>
        <v>32.802000000000007</v>
      </c>
      <c r="O2" s="14">
        <f>'PIVOT TABLES'!$I$28-'PIVOT TABLES'!$I$27</f>
        <v>32.801999999999992</v>
      </c>
      <c r="P2" s="14">
        <f>200-SUM(Table3[[#This Row],[M - LIGHT]:[M - VIGOROUS]])</f>
        <v>68.792000000000002</v>
      </c>
      <c r="Q2" s="14">
        <f>'PIVOT TABLES'!$P$26</f>
        <v>62.64</v>
      </c>
      <c r="R2" s="14">
        <f>'PIVOT TABLES'!$P$27-'PIVOT TABLES'!$P$26</f>
        <v>31.320000000000007</v>
      </c>
      <c r="S2" s="14">
        <f>'PIVOT TABLES'!$P$28-'PIVOT TABLES'!$P$27</f>
        <v>31.319999999999993</v>
      </c>
      <c r="T2" s="14">
        <f>200-SUM(Table3[[#This Row],[W - LIGHT]:[W - VIGOROUS]])</f>
        <v>74.72</v>
      </c>
      <c r="U2" s="14">
        <f>'PIVOT TABLES'!$W$26</f>
        <v>55.895999999999994</v>
      </c>
      <c r="V2" s="14">
        <f>'PIVOT TABLES'!$W$27-'PIVOT TABLES'!$W$26</f>
        <v>27.948</v>
      </c>
      <c r="W2" s="14">
        <f>'PIVOT TABLES'!$W$28-'PIVOT TABLES'!$W$27</f>
        <v>27.947999999999993</v>
      </c>
      <c r="X2" s="14">
        <f>200-SUM(Table3[[#This Row],[S - LIGHT]:[S - VIGOROUS]])</f>
        <v>88.208000000000013</v>
      </c>
    </row>
    <row r="3" spans="1:24" x14ac:dyDescent="0.25">
      <c r="A3" s="13" t="s">
        <v>54</v>
      </c>
      <c r="B3" s="13" t="str">
        <f t="shared" ref="B3:B66" si="0">IF(A3="Sihle Gum","Defender",IF(A3="Kenny Langa","Defender",IF(A3="Tshepang Makara","Defender",IF(A3="Tshepiso Mahlangu","Defender",IF(A3="Neo Ramashala","Defender",IF(A3="Keabetswe Nkogatse","Defender",IF(A3="Kaketso Harold Majadibodu","Defender",IF(A3="Samuel Julies","Midfielder",IF(A3="Frank Mpedi","Midfielder",IF(A3="Sapholwethu Kelepu","Midfielder",IF(A3="Manelisi Sithole","Midfielder",IF(A3="Thabiso Mokoena","Midfielder",IF(A3="Khomotso Marebane","Midfielder",IF(A3="Tebogo Mohlamonyane","Midfielder",IF(A3="Thulani Zandamela","Midfielder",IF(A3="Mdevulana Camagu","Midfielder",IF(A3="Promise Mkhuma","Midfielder",IF(A3="Essien Makwarimba","Midfielder",IF(A3="Ayanda Mvambi","Winger",IF(A3="Delano Abrahams","Winger",IF(A3="Thokozani Sekotlong","Winger",IF(A3="Maselaelo Seanego","Winger",IF(A3="Lesedi Motha","Winger",IF(A3="Malekgene Mampuru","Winger",IF(A3="Matome Rangata","Winger",IF(A3="Thabang Sibanyoni","Striker",IF(A3="Tebogo Makungo","Striker",IF(A3="Neo Dikgale","Striker",IF(A3="Kamohelo Pheeane","Striker",IF(A3="Athenkosi Tonisi","Striker",IF(A3="Jesse Francis","Striker","####")))))))))))))))))))))))))))))))</f>
        <v>Striker</v>
      </c>
      <c r="C3" s="7">
        <v>45215</v>
      </c>
      <c r="D3" s="14">
        <v>7232</v>
      </c>
      <c r="E3" s="14">
        <v>0</v>
      </c>
      <c r="F3" s="14">
        <v>8</v>
      </c>
      <c r="G3" s="14">
        <v>9</v>
      </c>
      <c r="H3" s="9">
        <v>72.819999999999993</v>
      </c>
      <c r="I3" s="14">
        <f>'PIVOT TABLES'!$B$26</f>
        <v>60.283999999999999</v>
      </c>
      <c r="J3" s="14">
        <f>'PIVOT TABLES'!$B$27-'PIVOT TABLES'!$B$26</f>
        <v>30.142000000000003</v>
      </c>
      <c r="K3" s="14">
        <f>'PIVOT TABLES'!$B$28-'PIVOT TABLES'!$B$27</f>
        <v>30.141999999999996</v>
      </c>
      <c r="L3" s="14">
        <f>200-SUM(Table3[[#This Row],[D - LIGHT]:[D - VIGOROUS]])</f>
        <v>79.432000000000002</v>
      </c>
      <c r="M3" s="14">
        <f>'PIVOT TABLES'!$I$26</f>
        <v>65.603999999999999</v>
      </c>
      <c r="N3" s="14">
        <f>'PIVOT TABLES'!$I$27-'PIVOT TABLES'!$I$26</f>
        <v>32.802000000000007</v>
      </c>
      <c r="O3" s="14">
        <f>'PIVOT TABLES'!$I$28-'PIVOT TABLES'!$I$27</f>
        <v>32.801999999999992</v>
      </c>
      <c r="P3" s="14">
        <f>200-SUM(Table3[[#This Row],[M - LIGHT]:[M - VIGOROUS]])</f>
        <v>68.792000000000002</v>
      </c>
      <c r="Q3" s="14">
        <f>'PIVOT TABLES'!$P$26</f>
        <v>62.64</v>
      </c>
      <c r="R3" s="14">
        <f>'PIVOT TABLES'!$P$27-'PIVOT TABLES'!$P$26</f>
        <v>31.320000000000007</v>
      </c>
      <c r="S3" s="14">
        <f>'PIVOT TABLES'!$P$28-'PIVOT TABLES'!$P$27</f>
        <v>31.319999999999993</v>
      </c>
      <c r="T3" s="14">
        <f>200-SUM(Table3[[#This Row],[W - LIGHT]:[W - VIGOROUS]])</f>
        <v>74.72</v>
      </c>
      <c r="U3" s="14">
        <f>'PIVOT TABLES'!$W$26</f>
        <v>55.895999999999994</v>
      </c>
      <c r="V3" s="14">
        <f>'PIVOT TABLES'!$W$27-'PIVOT TABLES'!$W$26</f>
        <v>27.948</v>
      </c>
      <c r="W3" s="14">
        <f>'PIVOT TABLES'!$W$28-'PIVOT TABLES'!$W$27</f>
        <v>27.947999999999993</v>
      </c>
      <c r="X3" s="14">
        <f>200-SUM(Table3[[#This Row],[S - LIGHT]:[S - VIGOROUS]])</f>
        <v>88.208000000000013</v>
      </c>
    </row>
    <row r="4" spans="1:24" x14ac:dyDescent="0.25">
      <c r="A4" s="13" t="s">
        <v>55</v>
      </c>
      <c r="B4" s="13" t="str">
        <f t="shared" si="0"/>
        <v>Striker</v>
      </c>
      <c r="C4" s="7">
        <v>45215</v>
      </c>
      <c r="D4" s="14">
        <v>1762</v>
      </c>
      <c r="E4" s="14">
        <v>0</v>
      </c>
      <c r="F4" s="14">
        <v>0</v>
      </c>
      <c r="G4" s="14">
        <v>0</v>
      </c>
      <c r="H4" s="9">
        <v>17.62</v>
      </c>
      <c r="I4" s="14">
        <f>'PIVOT TABLES'!$B$26</f>
        <v>60.283999999999999</v>
      </c>
      <c r="J4" s="14">
        <f>'PIVOT TABLES'!$B$27-'PIVOT TABLES'!$B$26</f>
        <v>30.142000000000003</v>
      </c>
      <c r="K4" s="14">
        <f>'PIVOT TABLES'!$B$28-'PIVOT TABLES'!$B$27</f>
        <v>30.141999999999996</v>
      </c>
      <c r="L4" s="14">
        <f>200-SUM(Table3[[#This Row],[D - LIGHT]:[D - VIGOROUS]])</f>
        <v>79.432000000000002</v>
      </c>
      <c r="M4" s="14">
        <f>'PIVOT TABLES'!$I$26</f>
        <v>65.603999999999999</v>
      </c>
      <c r="N4" s="14">
        <f>'PIVOT TABLES'!$I$27-'PIVOT TABLES'!$I$26</f>
        <v>32.802000000000007</v>
      </c>
      <c r="O4" s="14">
        <f>'PIVOT TABLES'!$I$28-'PIVOT TABLES'!$I$27</f>
        <v>32.801999999999992</v>
      </c>
      <c r="P4" s="14">
        <f>200-SUM(Table3[[#This Row],[M - LIGHT]:[M - VIGOROUS]])</f>
        <v>68.792000000000002</v>
      </c>
      <c r="Q4" s="14">
        <f>'PIVOT TABLES'!$P$26</f>
        <v>62.64</v>
      </c>
      <c r="R4" s="14">
        <f>'PIVOT TABLES'!$P$27-'PIVOT TABLES'!$P$26</f>
        <v>31.320000000000007</v>
      </c>
      <c r="S4" s="14">
        <f>'PIVOT TABLES'!$P$28-'PIVOT TABLES'!$P$27</f>
        <v>31.319999999999993</v>
      </c>
      <c r="T4" s="14">
        <f>200-SUM(Table3[[#This Row],[W - LIGHT]:[W - VIGOROUS]])</f>
        <v>74.72</v>
      </c>
      <c r="U4" s="14">
        <f>'PIVOT TABLES'!$W$26</f>
        <v>55.895999999999994</v>
      </c>
      <c r="V4" s="14">
        <f>'PIVOT TABLES'!$W$27-'PIVOT TABLES'!$W$26</f>
        <v>27.948</v>
      </c>
      <c r="W4" s="14">
        <f>'PIVOT TABLES'!$W$28-'PIVOT TABLES'!$W$27</f>
        <v>27.947999999999993</v>
      </c>
      <c r="X4" s="14">
        <f>200-SUM(Table3[[#This Row],[S - LIGHT]:[S - VIGOROUS]])</f>
        <v>88.208000000000013</v>
      </c>
    </row>
    <row r="5" spans="1:24" x14ac:dyDescent="0.25">
      <c r="A5" s="13" t="s">
        <v>1</v>
      </c>
      <c r="B5" s="13" t="str">
        <f t="shared" si="0"/>
        <v>Defender</v>
      </c>
      <c r="C5" s="7">
        <v>45215</v>
      </c>
      <c r="D5" s="14">
        <v>5146</v>
      </c>
      <c r="E5" s="14">
        <v>0</v>
      </c>
      <c r="F5" s="14">
        <v>0</v>
      </c>
      <c r="G5" s="14">
        <v>1</v>
      </c>
      <c r="H5" s="9">
        <v>51.48</v>
      </c>
      <c r="I5" s="14">
        <f>'PIVOT TABLES'!$B$26</f>
        <v>60.283999999999999</v>
      </c>
      <c r="J5" s="14">
        <f>'PIVOT TABLES'!$B$27-'PIVOT TABLES'!$B$26</f>
        <v>30.142000000000003</v>
      </c>
      <c r="K5" s="14">
        <f>'PIVOT TABLES'!$B$28-'PIVOT TABLES'!$B$27</f>
        <v>30.141999999999996</v>
      </c>
      <c r="L5" s="14">
        <f>200-SUM(Table3[[#This Row],[D - LIGHT]:[D - VIGOROUS]])</f>
        <v>79.432000000000002</v>
      </c>
      <c r="M5" s="14">
        <f>'PIVOT TABLES'!$I$26</f>
        <v>65.603999999999999</v>
      </c>
      <c r="N5" s="14">
        <f>'PIVOT TABLES'!$I$27-'PIVOT TABLES'!$I$26</f>
        <v>32.802000000000007</v>
      </c>
      <c r="O5" s="14">
        <f>'PIVOT TABLES'!$I$28-'PIVOT TABLES'!$I$27</f>
        <v>32.801999999999992</v>
      </c>
      <c r="P5" s="14">
        <f>200-SUM(Table3[[#This Row],[M - LIGHT]:[M - VIGOROUS]])</f>
        <v>68.792000000000002</v>
      </c>
      <c r="Q5" s="14">
        <f>'PIVOT TABLES'!$P$26</f>
        <v>62.64</v>
      </c>
      <c r="R5" s="14">
        <f>'PIVOT TABLES'!$P$27-'PIVOT TABLES'!$P$26</f>
        <v>31.320000000000007</v>
      </c>
      <c r="S5" s="14">
        <f>'PIVOT TABLES'!$P$28-'PIVOT TABLES'!$P$27</f>
        <v>31.319999999999993</v>
      </c>
      <c r="T5" s="14">
        <f>200-SUM(Table3[[#This Row],[W - LIGHT]:[W - VIGOROUS]])</f>
        <v>74.72</v>
      </c>
      <c r="U5" s="14">
        <f>'PIVOT TABLES'!$W$26</f>
        <v>55.895999999999994</v>
      </c>
      <c r="V5" s="14">
        <f>'PIVOT TABLES'!$W$27-'PIVOT TABLES'!$W$26</f>
        <v>27.948</v>
      </c>
      <c r="W5" s="14">
        <f>'PIVOT TABLES'!$W$28-'PIVOT TABLES'!$W$27</f>
        <v>27.947999999999993</v>
      </c>
      <c r="X5" s="14">
        <f>200-SUM(Table3[[#This Row],[S - LIGHT]:[S - VIGOROUS]])</f>
        <v>88.208000000000013</v>
      </c>
    </row>
    <row r="6" spans="1:24" x14ac:dyDescent="0.25">
      <c r="A6" s="13" t="s">
        <v>56</v>
      </c>
      <c r="B6" s="13" t="str">
        <f t="shared" si="0"/>
        <v>Midfielder</v>
      </c>
      <c r="C6" s="7">
        <v>45215</v>
      </c>
      <c r="D6" s="14">
        <v>6182</v>
      </c>
      <c r="E6" s="14">
        <v>0</v>
      </c>
      <c r="F6" s="14">
        <v>48</v>
      </c>
      <c r="G6" s="14">
        <v>24</v>
      </c>
      <c r="H6" s="9">
        <v>64.22</v>
      </c>
      <c r="I6" s="14">
        <f>'PIVOT TABLES'!$B$26</f>
        <v>60.283999999999999</v>
      </c>
      <c r="J6" s="14">
        <f>'PIVOT TABLES'!$B$27-'PIVOT TABLES'!$B$26</f>
        <v>30.142000000000003</v>
      </c>
      <c r="K6" s="14">
        <f>'PIVOT TABLES'!$B$28-'PIVOT TABLES'!$B$27</f>
        <v>30.141999999999996</v>
      </c>
      <c r="L6" s="14">
        <f>200-SUM(Table3[[#This Row],[D - LIGHT]:[D - VIGOROUS]])</f>
        <v>79.432000000000002</v>
      </c>
      <c r="M6" s="14">
        <f>'PIVOT TABLES'!$I$26</f>
        <v>65.603999999999999</v>
      </c>
      <c r="N6" s="14">
        <f>'PIVOT TABLES'!$I$27-'PIVOT TABLES'!$I$26</f>
        <v>32.802000000000007</v>
      </c>
      <c r="O6" s="14">
        <f>'PIVOT TABLES'!$I$28-'PIVOT TABLES'!$I$27</f>
        <v>32.801999999999992</v>
      </c>
      <c r="P6" s="14">
        <f>200-SUM(Table3[[#This Row],[M - LIGHT]:[M - VIGOROUS]])</f>
        <v>68.792000000000002</v>
      </c>
      <c r="Q6" s="14">
        <f>'PIVOT TABLES'!$P$26</f>
        <v>62.64</v>
      </c>
      <c r="R6" s="14">
        <f>'PIVOT TABLES'!$P$27-'PIVOT TABLES'!$P$26</f>
        <v>31.320000000000007</v>
      </c>
      <c r="S6" s="14">
        <f>'PIVOT TABLES'!$P$28-'PIVOT TABLES'!$P$27</f>
        <v>31.319999999999993</v>
      </c>
      <c r="T6" s="14">
        <f>200-SUM(Table3[[#This Row],[W - LIGHT]:[W - VIGOROUS]])</f>
        <v>74.72</v>
      </c>
      <c r="U6" s="14">
        <f>'PIVOT TABLES'!$W$26</f>
        <v>55.895999999999994</v>
      </c>
      <c r="V6" s="14">
        <f>'PIVOT TABLES'!$W$27-'PIVOT TABLES'!$W$26</f>
        <v>27.948</v>
      </c>
      <c r="W6" s="14">
        <f>'PIVOT TABLES'!$W$28-'PIVOT TABLES'!$W$27</f>
        <v>27.947999999999993</v>
      </c>
      <c r="X6" s="14">
        <f>200-SUM(Table3[[#This Row],[S - LIGHT]:[S - VIGOROUS]])</f>
        <v>88.208000000000013</v>
      </c>
    </row>
    <row r="7" spans="1:24" x14ac:dyDescent="0.25">
      <c r="A7" s="13" t="s">
        <v>57</v>
      </c>
      <c r="B7" s="13" t="str">
        <f t="shared" si="0"/>
        <v>Midfielder</v>
      </c>
      <c r="C7" s="7">
        <v>45215</v>
      </c>
      <c r="D7" s="14">
        <v>2958</v>
      </c>
      <c r="E7" s="14">
        <v>0</v>
      </c>
      <c r="F7" s="14">
        <v>13</v>
      </c>
      <c r="G7" s="14">
        <v>13</v>
      </c>
      <c r="H7" s="9">
        <v>30.36</v>
      </c>
      <c r="I7" s="14">
        <f>'PIVOT TABLES'!$B$26</f>
        <v>60.283999999999999</v>
      </c>
      <c r="J7" s="14">
        <f>'PIVOT TABLES'!$B$27-'PIVOT TABLES'!$B$26</f>
        <v>30.142000000000003</v>
      </c>
      <c r="K7" s="14">
        <f>'PIVOT TABLES'!$B$28-'PIVOT TABLES'!$B$27</f>
        <v>30.141999999999996</v>
      </c>
      <c r="L7" s="14">
        <f>200-SUM(Table3[[#This Row],[D - LIGHT]:[D - VIGOROUS]])</f>
        <v>79.432000000000002</v>
      </c>
      <c r="M7" s="14">
        <f>'PIVOT TABLES'!$I$26</f>
        <v>65.603999999999999</v>
      </c>
      <c r="N7" s="14">
        <f>'PIVOT TABLES'!$I$27-'PIVOT TABLES'!$I$26</f>
        <v>32.802000000000007</v>
      </c>
      <c r="O7" s="14">
        <f>'PIVOT TABLES'!$I$28-'PIVOT TABLES'!$I$27</f>
        <v>32.801999999999992</v>
      </c>
      <c r="P7" s="14">
        <f>200-SUM(Table3[[#This Row],[M - LIGHT]:[M - VIGOROUS]])</f>
        <v>68.792000000000002</v>
      </c>
      <c r="Q7" s="14">
        <f>'PIVOT TABLES'!$P$26</f>
        <v>62.64</v>
      </c>
      <c r="R7" s="14">
        <f>'PIVOT TABLES'!$P$27-'PIVOT TABLES'!$P$26</f>
        <v>31.320000000000007</v>
      </c>
      <c r="S7" s="14">
        <f>'PIVOT TABLES'!$P$28-'PIVOT TABLES'!$P$27</f>
        <v>31.319999999999993</v>
      </c>
      <c r="T7" s="14">
        <f>200-SUM(Table3[[#This Row],[W - LIGHT]:[W - VIGOROUS]])</f>
        <v>74.72</v>
      </c>
      <c r="U7" s="14">
        <f>'PIVOT TABLES'!$W$26</f>
        <v>55.895999999999994</v>
      </c>
      <c r="V7" s="14">
        <f>'PIVOT TABLES'!$W$27-'PIVOT TABLES'!$W$26</f>
        <v>27.948</v>
      </c>
      <c r="W7" s="14">
        <f>'PIVOT TABLES'!$W$28-'PIVOT TABLES'!$W$27</f>
        <v>27.947999999999993</v>
      </c>
      <c r="X7" s="14">
        <f>200-SUM(Table3[[#This Row],[S - LIGHT]:[S - VIGOROUS]])</f>
        <v>88.208000000000013</v>
      </c>
    </row>
    <row r="8" spans="1:24" x14ac:dyDescent="0.25">
      <c r="A8" s="13" t="s">
        <v>2</v>
      </c>
      <c r="B8" s="13" t="str">
        <f t="shared" si="0"/>
        <v>Defender</v>
      </c>
      <c r="C8" s="7">
        <v>45215</v>
      </c>
      <c r="D8" s="14">
        <v>7227</v>
      </c>
      <c r="E8" s="14">
        <v>89</v>
      </c>
      <c r="F8" s="14">
        <v>55</v>
      </c>
      <c r="G8" s="14">
        <v>39</v>
      </c>
      <c r="H8" s="9">
        <v>77.92</v>
      </c>
      <c r="I8" s="14">
        <f>'PIVOT TABLES'!$B$26</f>
        <v>60.283999999999999</v>
      </c>
      <c r="J8" s="14">
        <f>'PIVOT TABLES'!$B$27-'PIVOT TABLES'!$B$26</f>
        <v>30.142000000000003</v>
      </c>
      <c r="K8" s="14">
        <f>'PIVOT TABLES'!$B$28-'PIVOT TABLES'!$B$27</f>
        <v>30.141999999999996</v>
      </c>
      <c r="L8" s="14">
        <f>200-SUM(Table3[[#This Row],[D - LIGHT]:[D - VIGOROUS]])</f>
        <v>79.432000000000002</v>
      </c>
      <c r="M8" s="14">
        <f>'PIVOT TABLES'!$I$26</f>
        <v>65.603999999999999</v>
      </c>
      <c r="N8" s="14">
        <f>'PIVOT TABLES'!$I$27-'PIVOT TABLES'!$I$26</f>
        <v>32.802000000000007</v>
      </c>
      <c r="O8" s="14">
        <f>'PIVOT TABLES'!$I$28-'PIVOT TABLES'!$I$27</f>
        <v>32.801999999999992</v>
      </c>
      <c r="P8" s="14">
        <f>200-SUM(Table3[[#This Row],[M - LIGHT]:[M - VIGOROUS]])</f>
        <v>68.792000000000002</v>
      </c>
      <c r="Q8" s="14">
        <f>'PIVOT TABLES'!$P$26</f>
        <v>62.64</v>
      </c>
      <c r="R8" s="14">
        <f>'PIVOT TABLES'!$P$27-'PIVOT TABLES'!$P$26</f>
        <v>31.320000000000007</v>
      </c>
      <c r="S8" s="14">
        <f>'PIVOT TABLES'!$P$28-'PIVOT TABLES'!$P$27</f>
        <v>31.319999999999993</v>
      </c>
      <c r="T8" s="14">
        <f>200-SUM(Table3[[#This Row],[W - LIGHT]:[W - VIGOROUS]])</f>
        <v>74.72</v>
      </c>
      <c r="U8" s="14">
        <f>'PIVOT TABLES'!$W$26</f>
        <v>55.895999999999994</v>
      </c>
      <c r="V8" s="14">
        <f>'PIVOT TABLES'!$W$27-'PIVOT TABLES'!$W$26</f>
        <v>27.948</v>
      </c>
      <c r="W8" s="14">
        <f>'PIVOT TABLES'!$W$28-'PIVOT TABLES'!$W$27</f>
        <v>27.947999999999993</v>
      </c>
      <c r="X8" s="14">
        <f>200-SUM(Table3[[#This Row],[S - LIGHT]:[S - VIGOROUS]])</f>
        <v>88.208000000000013</v>
      </c>
    </row>
    <row r="9" spans="1:24" x14ac:dyDescent="0.25">
      <c r="A9" s="13" t="s">
        <v>58</v>
      </c>
      <c r="B9" s="13" t="str">
        <f t="shared" si="0"/>
        <v>Defender</v>
      </c>
      <c r="C9" s="7">
        <v>45215</v>
      </c>
      <c r="D9" s="14">
        <v>1805</v>
      </c>
      <c r="E9" s="14">
        <v>0</v>
      </c>
      <c r="F9" s="14">
        <v>15</v>
      </c>
      <c r="G9" s="14">
        <v>8</v>
      </c>
      <c r="H9" s="9">
        <v>18.809999999999999</v>
      </c>
      <c r="I9" s="14">
        <f>'PIVOT TABLES'!$B$26</f>
        <v>60.283999999999999</v>
      </c>
      <c r="J9" s="14">
        <f>'PIVOT TABLES'!$B$27-'PIVOT TABLES'!$B$26</f>
        <v>30.142000000000003</v>
      </c>
      <c r="K9" s="14">
        <f>'PIVOT TABLES'!$B$28-'PIVOT TABLES'!$B$27</f>
        <v>30.141999999999996</v>
      </c>
      <c r="L9" s="14">
        <f>200-SUM(Table3[[#This Row],[D - LIGHT]:[D - VIGOROUS]])</f>
        <v>79.432000000000002</v>
      </c>
      <c r="M9" s="14">
        <f>'PIVOT TABLES'!$I$26</f>
        <v>65.603999999999999</v>
      </c>
      <c r="N9" s="14">
        <f>'PIVOT TABLES'!$I$27-'PIVOT TABLES'!$I$26</f>
        <v>32.802000000000007</v>
      </c>
      <c r="O9" s="14">
        <f>'PIVOT TABLES'!$I$28-'PIVOT TABLES'!$I$27</f>
        <v>32.801999999999992</v>
      </c>
      <c r="P9" s="14">
        <f>200-SUM(Table3[[#This Row],[M - LIGHT]:[M - VIGOROUS]])</f>
        <v>68.792000000000002</v>
      </c>
      <c r="Q9" s="14">
        <f>'PIVOT TABLES'!$P$26</f>
        <v>62.64</v>
      </c>
      <c r="R9" s="14">
        <f>'PIVOT TABLES'!$P$27-'PIVOT TABLES'!$P$26</f>
        <v>31.320000000000007</v>
      </c>
      <c r="S9" s="14">
        <f>'PIVOT TABLES'!$P$28-'PIVOT TABLES'!$P$27</f>
        <v>31.319999999999993</v>
      </c>
      <c r="T9" s="14">
        <f>200-SUM(Table3[[#This Row],[W - LIGHT]:[W - VIGOROUS]])</f>
        <v>74.72</v>
      </c>
      <c r="U9" s="14">
        <f>'PIVOT TABLES'!$W$26</f>
        <v>55.895999999999994</v>
      </c>
      <c r="V9" s="14">
        <f>'PIVOT TABLES'!$W$27-'PIVOT TABLES'!$W$26</f>
        <v>27.948</v>
      </c>
      <c r="W9" s="14">
        <f>'PIVOT TABLES'!$W$28-'PIVOT TABLES'!$W$27</f>
        <v>27.947999999999993</v>
      </c>
      <c r="X9" s="14">
        <f>200-SUM(Table3[[#This Row],[S - LIGHT]:[S - VIGOROUS]])</f>
        <v>88.208000000000013</v>
      </c>
    </row>
    <row r="10" spans="1:24" x14ac:dyDescent="0.25">
      <c r="A10" s="13" t="s">
        <v>3</v>
      </c>
      <c r="B10" s="13" t="str">
        <f t="shared" si="0"/>
        <v>Defender</v>
      </c>
      <c r="C10" s="7">
        <v>45215</v>
      </c>
      <c r="D10" s="14">
        <v>3894</v>
      </c>
      <c r="E10" s="14">
        <v>0</v>
      </c>
      <c r="F10" s="14">
        <v>30</v>
      </c>
      <c r="G10" s="14">
        <v>27</v>
      </c>
      <c r="H10" s="9">
        <v>40.68</v>
      </c>
      <c r="I10" s="14">
        <f>'PIVOT TABLES'!$B$26</f>
        <v>60.283999999999999</v>
      </c>
      <c r="J10" s="14">
        <f>'PIVOT TABLES'!$B$27-'PIVOT TABLES'!$B$26</f>
        <v>30.142000000000003</v>
      </c>
      <c r="K10" s="14">
        <f>'PIVOT TABLES'!$B$28-'PIVOT TABLES'!$B$27</f>
        <v>30.141999999999996</v>
      </c>
      <c r="L10" s="14">
        <f>200-SUM(Table3[[#This Row],[D - LIGHT]:[D - VIGOROUS]])</f>
        <v>79.432000000000002</v>
      </c>
      <c r="M10" s="14">
        <f>'PIVOT TABLES'!$I$26</f>
        <v>65.603999999999999</v>
      </c>
      <c r="N10" s="14">
        <f>'PIVOT TABLES'!$I$27-'PIVOT TABLES'!$I$26</f>
        <v>32.802000000000007</v>
      </c>
      <c r="O10" s="14">
        <f>'PIVOT TABLES'!$I$28-'PIVOT TABLES'!$I$27</f>
        <v>32.801999999999992</v>
      </c>
      <c r="P10" s="14">
        <f>200-SUM(Table3[[#This Row],[M - LIGHT]:[M - VIGOROUS]])</f>
        <v>68.792000000000002</v>
      </c>
      <c r="Q10" s="14">
        <f>'PIVOT TABLES'!$P$26</f>
        <v>62.64</v>
      </c>
      <c r="R10" s="14">
        <f>'PIVOT TABLES'!$P$27-'PIVOT TABLES'!$P$26</f>
        <v>31.320000000000007</v>
      </c>
      <c r="S10" s="14">
        <f>'PIVOT TABLES'!$P$28-'PIVOT TABLES'!$P$27</f>
        <v>31.319999999999993</v>
      </c>
      <c r="T10" s="14">
        <f>200-SUM(Table3[[#This Row],[W - LIGHT]:[W - VIGOROUS]])</f>
        <v>74.72</v>
      </c>
      <c r="U10" s="14">
        <f>'PIVOT TABLES'!$W$26</f>
        <v>55.895999999999994</v>
      </c>
      <c r="V10" s="14">
        <f>'PIVOT TABLES'!$W$27-'PIVOT TABLES'!$W$26</f>
        <v>27.948</v>
      </c>
      <c r="W10" s="14">
        <f>'PIVOT TABLES'!$W$28-'PIVOT TABLES'!$W$27</f>
        <v>27.947999999999993</v>
      </c>
      <c r="X10" s="14">
        <f>200-SUM(Table3[[#This Row],[S - LIGHT]:[S - VIGOROUS]])</f>
        <v>88.208000000000013</v>
      </c>
    </row>
    <row r="11" spans="1:24" x14ac:dyDescent="0.25">
      <c r="A11" s="13" t="s">
        <v>59</v>
      </c>
      <c r="B11" s="13" t="str">
        <f t="shared" si="0"/>
        <v>Striker</v>
      </c>
      <c r="C11" s="7">
        <v>45215</v>
      </c>
      <c r="D11" s="14">
        <v>5653</v>
      </c>
      <c r="E11" s="14">
        <v>11</v>
      </c>
      <c r="F11" s="14">
        <v>54</v>
      </c>
      <c r="G11" s="14">
        <v>43</v>
      </c>
      <c r="H11" s="9">
        <v>59.88</v>
      </c>
      <c r="I11" s="14">
        <f>'PIVOT TABLES'!$B$26</f>
        <v>60.283999999999999</v>
      </c>
      <c r="J11" s="14">
        <f>'PIVOT TABLES'!$B$27-'PIVOT TABLES'!$B$26</f>
        <v>30.142000000000003</v>
      </c>
      <c r="K11" s="14">
        <f>'PIVOT TABLES'!$B$28-'PIVOT TABLES'!$B$27</f>
        <v>30.141999999999996</v>
      </c>
      <c r="L11" s="14">
        <f>200-SUM(Table3[[#This Row],[D - LIGHT]:[D - VIGOROUS]])</f>
        <v>79.432000000000002</v>
      </c>
      <c r="M11" s="14">
        <f>'PIVOT TABLES'!$I$26</f>
        <v>65.603999999999999</v>
      </c>
      <c r="N11" s="14">
        <f>'PIVOT TABLES'!$I$27-'PIVOT TABLES'!$I$26</f>
        <v>32.802000000000007</v>
      </c>
      <c r="O11" s="14">
        <f>'PIVOT TABLES'!$I$28-'PIVOT TABLES'!$I$27</f>
        <v>32.801999999999992</v>
      </c>
      <c r="P11" s="14">
        <f>200-SUM(Table3[[#This Row],[M - LIGHT]:[M - VIGOROUS]])</f>
        <v>68.792000000000002</v>
      </c>
      <c r="Q11" s="14">
        <f>'PIVOT TABLES'!$P$26</f>
        <v>62.64</v>
      </c>
      <c r="R11" s="14">
        <f>'PIVOT TABLES'!$P$27-'PIVOT TABLES'!$P$26</f>
        <v>31.320000000000007</v>
      </c>
      <c r="S11" s="14">
        <f>'PIVOT TABLES'!$P$28-'PIVOT TABLES'!$P$27</f>
        <v>31.319999999999993</v>
      </c>
      <c r="T11" s="14">
        <f>200-SUM(Table3[[#This Row],[W - LIGHT]:[W - VIGOROUS]])</f>
        <v>74.72</v>
      </c>
      <c r="U11" s="14">
        <f>'PIVOT TABLES'!$W$26</f>
        <v>55.895999999999994</v>
      </c>
      <c r="V11" s="14">
        <f>'PIVOT TABLES'!$W$27-'PIVOT TABLES'!$W$26</f>
        <v>27.948</v>
      </c>
      <c r="W11" s="14">
        <f>'PIVOT TABLES'!$W$28-'PIVOT TABLES'!$W$27</f>
        <v>27.947999999999993</v>
      </c>
      <c r="X11" s="14">
        <f>200-SUM(Table3[[#This Row],[S - LIGHT]:[S - VIGOROUS]])</f>
        <v>88.208000000000013</v>
      </c>
    </row>
    <row r="12" spans="1:24" x14ac:dyDescent="0.25">
      <c r="A12" s="13" t="s">
        <v>4</v>
      </c>
      <c r="B12" s="13" t="str">
        <f t="shared" si="0"/>
        <v>Midfielder</v>
      </c>
      <c r="C12" s="7">
        <v>45215</v>
      </c>
      <c r="D12" s="14">
        <v>6049</v>
      </c>
      <c r="E12" s="14">
        <v>7</v>
      </c>
      <c r="F12" s="14">
        <v>27</v>
      </c>
      <c r="G12" s="14">
        <v>35</v>
      </c>
      <c r="H12" s="9">
        <v>62.48</v>
      </c>
      <c r="I12" s="14">
        <f>'PIVOT TABLES'!$B$26</f>
        <v>60.283999999999999</v>
      </c>
      <c r="J12" s="14">
        <f>'PIVOT TABLES'!$B$27-'PIVOT TABLES'!$B$26</f>
        <v>30.142000000000003</v>
      </c>
      <c r="K12" s="14">
        <f>'PIVOT TABLES'!$B$28-'PIVOT TABLES'!$B$27</f>
        <v>30.141999999999996</v>
      </c>
      <c r="L12" s="14">
        <f>200-SUM(Table3[[#This Row],[D - LIGHT]:[D - VIGOROUS]])</f>
        <v>79.432000000000002</v>
      </c>
      <c r="M12" s="14">
        <f>'PIVOT TABLES'!$I$26</f>
        <v>65.603999999999999</v>
      </c>
      <c r="N12" s="14">
        <f>'PIVOT TABLES'!$I$27-'PIVOT TABLES'!$I$26</f>
        <v>32.802000000000007</v>
      </c>
      <c r="O12" s="14">
        <f>'PIVOT TABLES'!$I$28-'PIVOT TABLES'!$I$27</f>
        <v>32.801999999999992</v>
      </c>
      <c r="P12" s="14">
        <f>200-SUM(Table3[[#This Row],[M - LIGHT]:[M - VIGOROUS]])</f>
        <v>68.792000000000002</v>
      </c>
      <c r="Q12" s="14">
        <f>'PIVOT TABLES'!$P$26</f>
        <v>62.64</v>
      </c>
      <c r="R12" s="14">
        <f>'PIVOT TABLES'!$P$27-'PIVOT TABLES'!$P$26</f>
        <v>31.320000000000007</v>
      </c>
      <c r="S12" s="14">
        <f>'PIVOT TABLES'!$P$28-'PIVOT TABLES'!$P$27</f>
        <v>31.319999999999993</v>
      </c>
      <c r="T12" s="14">
        <f>200-SUM(Table3[[#This Row],[W - LIGHT]:[W - VIGOROUS]])</f>
        <v>74.72</v>
      </c>
      <c r="U12" s="14">
        <f>'PIVOT TABLES'!$W$26</f>
        <v>55.895999999999994</v>
      </c>
      <c r="V12" s="14">
        <f>'PIVOT TABLES'!$W$27-'PIVOT TABLES'!$W$26</f>
        <v>27.948</v>
      </c>
      <c r="W12" s="14">
        <f>'PIVOT TABLES'!$W$28-'PIVOT TABLES'!$W$27</f>
        <v>27.947999999999993</v>
      </c>
      <c r="X12" s="14">
        <f>200-SUM(Table3[[#This Row],[S - LIGHT]:[S - VIGOROUS]])</f>
        <v>88.208000000000013</v>
      </c>
    </row>
    <row r="13" spans="1:24" x14ac:dyDescent="0.25">
      <c r="A13" s="13" t="s">
        <v>60</v>
      </c>
      <c r="B13" s="13" t="str">
        <f t="shared" si="0"/>
        <v>Winger</v>
      </c>
      <c r="C13" s="7">
        <v>45215</v>
      </c>
      <c r="D13" s="14">
        <v>8553</v>
      </c>
      <c r="E13" s="14">
        <v>0</v>
      </c>
      <c r="F13" s="14">
        <v>25</v>
      </c>
      <c r="G13" s="14">
        <v>20</v>
      </c>
      <c r="H13" s="9">
        <v>86.93</v>
      </c>
      <c r="I13" s="14">
        <f>'PIVOT TABLES'!$B$26</f>
        <v>60.283999999999999</v>
      </c>
      <c r="J13" s="14">
        <f>'PIVOT TABLES'!$B$27-'PIVOT TABLES'!$B$26</f>
        <v>30.142000000000003</v>
      </c>
      <c r="K13" s="14">
        <f>'PIVOT TABLES'!$B$28-'PIVOT TABLES'!$B$27</f>
        <v>30.141999999999996</v>
      </c>
      <c r="L13" s="14">
        <f>200-SUM(Table3[[#This Row],[D - LIGHT]:[D - VIGOROUS]])</f>
        <v>79.432000000000002</v>
      </c>
      <c r="M13" s="14">
        <f>'PIVOT TABLES'!$I$26</f>
        <v>65.603999999999999</v>
      </c>
      <c r="N13" s="14">
        <f>'PIVOT TABLES'!$I$27-'PIVOT TABLES'!$I$26</f>
        <v>32.802000000000007</v>
      </c>
      <c r="O13" s="14">
        <f>'PIVOT TABLES'!$I$28-'PIVOT TABLES'!$I$27</f>
        <v>32.801999999999992</v>
      </c>
      <c r="P13" s="14">
        <f>200-SUM(Table3[[#This Row],[M - LIGHT]:[M - VIGOROUS]])</f>
        <v>68.792000000000002</v>
      </c>
      <c r="Q13" s="14">
        <f>'PIVOT TABLES'!$P$26</f>
        <v>62.64</v>
      </c>
      <c r="R13" s="14">
        <f>'PIVOT TABLES'!$P$27-'PIVOT TABLES'!$P$26</f>
        <v>31.320000000000007</v>
      </c>
      <c r="S13" s="14">
        <f>'PIVOT TABLES'!$P$28-'PIVOT TABLES'!$P$27</f>
        <v>31.319999999999993</v>
      </c>
      <c r="T13" s="14">
        <f>200-SUM(Table3[[#This Row],[W - LIGHT]:[W - VIGOROUS]])</f>
        <v>74.72</v>
      </c>
      <c r="U13" s="14">
        <f>'PIVOT TABLES'!$W$26</f>
        <v>55.895999999999994</v>
      </c>
      <c r="V13" s="14">
        <f>'PIVOT TABLES'!$W$27-'PIVOT TABLES'!$W$26</f>
        <v>27.948</v>
      </c>
      <c r="W13" s="14">
        <f>'PIVOT TABLES'!$W$28-'PIVOT TABLES'!$W$27</f>
        <v>27.947999999999993</v>
      </c>
      <c r="X13" s="14">
        <f>200-SUM(Table3[[#This Row],[S - LIGHT]:[S - VIGOROUS]])</f>
        <v>88.208000000000013</v>
      </c>
    </row>
    <row r="14" spans="1:24" x14ac:dyDescent="0.25">
      <c r="A14" s="13" t="s">
        <v>61</v>
      </c>
      <c r="B14" s="13" t="str">
        <f t="shared" si="0"/>
        <v>####</v>
      </c>
      <c r="C14" s="7">
        <v>45215</v>
      </c>
      <c r="D14" s="14">
        <v>1959</v>
      </c>
      <c r="E14" s="14">
        <v>0</v>
      </c>
      <c r="F14" s="14">
        <v>1</v>
      </c>
      <c r="G14" s="14">
        <v>3</v>
      </c>
      <c r="H14" s="9">
        <v>19.690000000000001</v>
      </c>
      <c r="I14" s="14">
        <f>'PIVOT TABLES'!$B$26</f>
        <v>60.283999999999999</v>
      </c>
      <c r="J14" s="14">
        <f>'PIVOT TABLES'!$B$27-'PIVOT TABLES'!$B$26</f>
        <v>30.142000000000003</v>
      </c>
      <c r="K14" s="14">
        <f>'PIVOT TABLES'!$B$28-'PIVOT TABLES'!$B$27</f>
        <v>30.141999999999996</v>
      </c>
      <c r="L14" s="14">
        <f>200-SUM(Table3[[#This Row],[D - LIGHT]:[D - VIGOROUS]])</f>
        <v>79.432000000000002</v>
      </c>
      <c r="M14" s="14">
        <f>'PIVOT TABLES'!$I$26</f>
        <v>65.603999999999999</v>
      </c>
      <c r="N14" s="14">
        <f>'PIVOT TABLES'!$I$27-'PIVOT TABLES'!$I$26</f>
        <v>32.802000000000007</v>
      </c>
      <c r="O14" s="14">
        <f>'PIVOT TABLES'!$I$28-'PIVOT TABLES'!$I$27</f>
        <v>32.801999999999992</v>
      </c>
      <c r="P14" s="14">
        <f>200-SUM(Table3[[#This Row],[M - LIGHT]:[M - VIGOROUS]])</f>
        <v>68.792000000000002</v>
      </c>
      <c r="Q14" s="14">
        <f>'PIVOT TABLES'!$P$26</f>
        <v>62.64</v>
      </c>
      <c r="R14" s="14">
        <f>'PIVOT TABLES'!$P$27-'PIVOT TABLES'!$P$26</f>
        <v>31.320000000000007</v>
      </c>
      <c r="S14" s="14">
        <f>'PIVOT TABLES'!$P$28-'PIVOT TABLES'!$P$27</f>
        <v>31.319999999999993</v>
      </c>
      <c r="T14" s="14">
        <f>200-SUM(Table3[[#This Row],[W - LIGHT]:[W - VIGOROUS]])</f>
        <v>74.72</v>
      </c>
      <c r="U14" s="14">
        <f>'PIVOT TABLES'!$W$26</f>
        <v>55.895999999999994</v>
      </c>
      <c r="V14" s="14">
        <f>'PIVOT TABLES'!$W$27-'PIVOT TABLES'!$W$26</f>
        <v>27.948</v>
      </c>
      <c r="W14" s="14">
        <f>'PIVOT TABLES'!$W$28-'PIVOT TABLES'!$W$27</f>
        <v>27.947999999999993</v>
      </c>
      <c r="X14" s="14">
        <f>200-SUM(Table3[[#This Row],[S - LIGHT]:[S - VIGOROUS]])</f>
        <v>88.208000000000013</v>
      </c>
    </row>
    <row r="15" spans="1:24" x14ac:dyDescent="0.25">
      <c r="A15" s="13" t="s">
        <v>5</v>
      </c>
      <c r="B15" s="13" t="str">
        <f t="shared" si="0"/>
        <v>Midfielder</v>
      </c>
      <c r="C15" s="7">
        <v>45215</v>
      </c>
      <c r="D15" s="14">
        <v>4682</v>
      </c>
      <c r="E15" s="14">
        <v>0</v>
      </c>
      <c r="F15" s="14">
        <v>23</v>
      </c>
      <c r="G15" s="14">
        <v>19</v>
      </c>
      <c r="H15" s="9">
        <v>48.12</v>
      </c>
      <c r="I15" s="14">
        <f>'PIVOT TABLES'!$B$26</f>
        <v>60.283999999999999</v>
      </c>
      <c r="J15" s="14">
        <f>'PIVOT TABLES'!$B$27-'PIVOT TABLES'!$B$26</f>
        <v>30.142000000000003</v>
      </c>
      <c r="K15" s="14">
        <f>'PIVOT TABLES'!$B$28-'PIVOT TABLES'!$B$27</f>
        <v>30.141999999999996</v>
      </c>
      <c r="L15" s="14">
        <f>200-SUM(Table3[[#This Row],[D - LIGHT]:[D - VIGOROUS]])</f>
        <v>79.432000000000002</v>
      </c>
      <c r="M15" s="14">
        <f>'PIVOT TABLES'!$I$26</f>
        <v>65.603999999999999</v>
      </c>
      <c r="N15" s="14">
        <f>'PIVOT TABLES'!$I$27-'PIVOT TABLES'!$I$26</f>
        <v>32.802000000000007</v>
      </c>
      <c r="O15" s="14">
        <f>'PIVOT TABLES'!$I$28-'PIVOT TABLES'!$I$27</f>
        <v>32.801999999999992</v>
      </c>
      <c r="P15" s="14">
        <f>200-SUM(Table3[[#This Row],[M - LIGHT]:[M - VIGOROUS]])</f>
        <v>68.792000000000002</v>
      </c>
      <c r="Q15" s="14">
        <f>'PIVOT TABLES'!$P$26</f>
        <v>62.64</v>
      </c>
      <c r="R15" s="14">
        <f>'PIVOT TABLES'!$P$27-'PIVOT TABLES'!$P$26</f>
        <v>31.320000000000007</v>
      </c>
      <c r="S15" s="14">
        <f>'PIVOT TABLES'!$P$28-'PIVOT TABLES'!$P$27</f>
        <v>31.319999999999993</v>
      </c>
      <c r="T15" s="14">
        <f>200-SUM(Table3[[#This Row],[W - LIGHT]:[W - VIGOROUS]])</f>
        <v>74.72</v>
      </c>
      <c r="U15" s="14">
        <f>'PIVOT TABLES'!$W$26</f>
        <v>55.895999999999994</v>
      </c>
      <c r="V15" s="14">
        <f>'PIVOT TABLES'!$W$27-'PIVOT TABLES'!$W$26</f>
        <v>27.948</v>
      </c>
      <c r="W15" s="14">
        <f>'PIVOT TABLES'!$W$28-'PIVOT TABLES'!$W$27</f>
        <v>27.947999999999993</v>
      </c>
      <c r="X15" s="14">
        <f>200-SUM(Table3[[#This Row],[S - LIGHT]:[S - VIGOROUS]])</f>
        <v>88.208000000000013</v>
      </c>
    </row>
    <row r="16" spans="1:24" x14ac:dyDescent="0.25">
      <c r="A16" s="13" t="s">
        <v>6</v>
      </c>
      <c r="B16" s="13" t="str">
        <f t="shared" si="0"/>
        <v>Midfielder</v>
      </c>
      <c r="C16" s="7">
        <v>45215</v>
      </c>
      <c r="D16" s="14">
        <v>1823</v>
      </c>
      <c r="E16" s="14">
        <v>0</v>
      </c>
      <c r="F16" s="14">
        <v>18</v>
      </c>
      <c r="G16" s="14">
        <v>11</v>
      </c>
      <c r="H16" s="9">
        <v>19.170000000000002</v>
      </c>
      <c r="I16" s="14">
        <f>'PIVOT TABLES'!$B$26</f>
        <v>60.283999999999999</v>
      </c>
      <c r="J16" s="14">
        <f>'PIVOT TABLES'!$B$27-'PIVOT TABLES'!$B$26</f>
        <v>30.142000000000003</v>
      </c>
      <c r="K16" s="14">
        <f>'PIVOT TABLES'!$B$28-'PIVOT TABLES'!$B$27</f>
        <v>30.141999999999996</v>
      </c>
      <c r="L16" s="14">
        <f>200-SUM(Table3[[#This Row],[D - LIGHT]:[D - VIGOROUS]])</f>
        <v>79.432000000000002</v>
      </c>
      <c r="M16" s="14">
        <f>'PIVOT TABLES'!$I$26</f>
        <v>65.603999999999999</v>
      </c>
      <c r="N16" s="14">
        <f>'PIVOT TABLES'!$I$27-'PIVOT TABLES'!$I$26</f>
        <v>32.802000000000007</v>
      </c>
      <c r="O16" s="14">
        <f>'PIVOT TABLES'!$I$28-'PIVOT TABLES'!$I$27</f>
        <v>32.801999999999992</v>
      </c>
      <c r="P16" s="14">
        <f>200-SUM(Table3[[#This Row],[M - LIGHT]:[M - VIGOROUS]])</f>
        <v>68.792000000000002</v>
      </c>
      <c r="Q16" s="14">
        <f>'PIVOT TABLES'!$P$26</f>
        <v>62.64</v>
      </c>
      <c r="R16" s="14">
        <f>'PIVOT TABLES'!$P$27-'PIVOT TABLES'!$P$26</f>
        <v>31.320000000000007</v>
      </c>
      <c r="S16" s="14">
        <f>'PIVOT TABLES'!$P$28-'PIVOT TABLES'!$P$27</f>
        <v>31.319999999999993</v>
      </c>
      <c r="T16" s="14">
        <f>200-SUM(Table3[[#This Row],[W - LIGHT]:[W - VIGOROUS]])</f>
        <v>74.72</v>
      </c>
      <c r="U16" s="14">
        <f>'PIVOT TABLES'!$W$26</f>
        <v>55.895999999999994</v>
      </c>
      <c r="V16" s="14">
        <f>'PIVOT TABLES'!$W$27-'PIVOT TABLES'!$W$26</f>
        <v>27.948</v>
      </c>
      <c r="W16" s="14">
        <f>'PIVOT TABLES'!$W$28-'PIVOT TABLES'!$W$27</f>
        <v>27.947999999999993</v>
      </c>
      <c r="X16" s="14">
        <f>200-SUM(Table3[[#This Row],[S - LIGHT]:[S - VIGOROUS]])</f>
        <v>88.208000000000013</v>
      </c>
    </row>
    <row r="17" spans="1:24" x14ac:dyDescent="0.25">
      <c r="A17" s="13" t="s">
        <v>62</v>
      </c>
      <c r="B17" s="13" t="str">
        <f t="shared" si="0"/>
        <v>Midfielder</v>
      </c>
      <c r="C17" s="7">
        <v>45215</v>
      </c>
      <c r="D17" s="14">
        <v>6356</v>
      </c>
      <c r="E17" s="14">
        <v>8</v>
      </c>
      <c r="F17" s="14">
        <v>35</v>
      </c>
      <c r="G17" s="14">
        <v>28</v>
      </c>
      <c r="H17" s="9">
        <v>65.760000000000005</v>
      </c>
      <c r="I17" s="14">
        <f>'PIVOT TABLES'!$B$26</f>
        <v>60.283999999999999</v>
      </c>
      <c r="J17" s="14">
        <f>'PIVOT TABLES'!$B$27-'PIVOT TABLES'!$B$26</f>
        <v>30.142000000000003</v>
      </c>
      <c r="K17" s="14">
        <f>'PIVOT TABLES'!$B$28-'PIVOT TABLES'!$B$27</f>
        <v>30.141999999999996</v>
      </c>
      <c r="L17" s="14">
        <f>200-SUM(Table3[[#This Row],[D - LIGHT]:[D - VIGOROUS]])</f>
        <v>79.432000000000002</v>
      </c>
      <c r="M17" s="14">
        <f>'PIVOT TABLES'!$I$26</f>
        <v>65.603999999999999</v>
      </c>
      <c r="N17" s="14">
        <f>'PIVOT TABLES'!$I$27-'PIVOT TABLES'!$I$26</f>
        <v>32.802000000000007</v>
      </c>
      <c r="O17" s="14">
        <f>'PIVOT TABLES'!$I$28-'PIVOT TABLES'!$I$27</f>
        <v>32.801999999999992</v>
      </c>
      <c r="P17" s="14">
        <f>200-SUM(Table3[[#This Row],[M - LIGHT]:[M - VIGOROUS]])</f>
        <v>68.792000000000002</v>
      </c>
      <c r="Q17" s="14">
        <f>'PIVOT TABLES'!$P$26</f>
        <v>62.64</v>
      </c>
      <c r="R17" s="14">
        <f>'PIVOT TABLES'!$P$27-'PIVOT TABLES'!$P$26</f>
        <v>31.320000000000007</v>
      </c>
      <c r="S17" s="14">
        <f>'PIVOT TABLES'!$P$28-'PIVOT TABLES'!$P$27</f>
        <v>31.319999999999993</v>
      </c>
      <c r="T17" s="14">
        <f>200-SUM(Table3[[#This Row],[W - LIGHT]:[W - VIGOROUS]])</f>
        <v>74.72</v>
      </c>
      <c r="U17" s="14">
        <f>'PIVOT TABLES'!$W$26</f>
        <v>55.895999999999994</v>
      </c>
      <c r="V17" s="14">
        <f>'PIVOT TABLES'!$W$27-'PIVOT TABLES'!$W$26</f>
        <v>27.948</v>
      </c>
      <c r="W17" s="14">
        <f>'PIVOT TABLES'!$W$28-'PIVOT TABLES'!$W$27</f>
        <v>27.947999999999993</v>
      </c>
      <c r="X17" s="14">
        <f>200-SUM(Table3[[#This Row],[S - LIGHT]:[S - VIGOROUS]])</f>
        <v>88.208000000000013</v>
      </c>
    </row>
    <row r="18" spans="1:24" x14ac:dyDescent="0.25">
      <c r="A18" s="13" t="s">
        <v>63</v>
      </c>
      <c r="B18" s="13" t="str">
        <f t="shared" si="0"/>
        <v>Winger</v>
      </c>
      <c r="C18" s="7">
        <v>45215</v>
      </c>
      <c r="D18" s="14">
        <v>6601</v>
      </c>
      <c r="E18" s="14">
        <v>36</v>
      </c>
      <c r="F18" s="14">
        <v>39</v>
      </c>
      <c r="G18" s="14">
        <v>28</v>
      </c>
      <c r="H18" s="9">
        <v>69.209999999999994</v>
      </c>
      <c r="I18" s="14">
        <f>'PIVOT TABLES'!$B$26</f>
        <v>60.283999999999999</v>
      </c>
      <c r="J18" s="14">
        <f>'PIVOT TABLES'!$B$27-'PIVOT TABLES'!$B$26</f>
        <v>30.142000000000003</v>
      </c>
      <c r="K18" s="14">
        <f>'PIVOT TABLES'!$B$28-'PIVOT TABLES'!$B$27</f>
        <v>30.141999999999996</v>
      </c>
      <c r="L18" s="14">
        <f>200-SUM(Table3[[#This Row],[D - LIGHT]:[D - VIGOROUS]])</f>
        <v>79.432000000000002</v>
      </c>
      <c r="M18" s="14">
        <f>'PIVOT TABLES'!$I$26</f>
        <v>65.603999999999999</v>
      </c>
      <c r="N18" s="14">
        <f>'PIVOT TABLES'!$I$27-'PIVOT TABLES'!$I$26</f>
        <v>32.802000000000007</v>
      </c>
      <c r="O18" s="14">
        <f>'PIVOT TABLES'!$I$28-'PIVOT TABLES'!$I$27</f>
        <v>32.801999999999992</v>
      </c>
      <c r="P18" s="14">
        <f>200-SUM(Table3[[#This Row],[M - LIGHT]:[M - VIGOROUS]])</f>
        <v>68.792000000000002</v>
      </c>
      <c r="Q18" s="14">
        <f>'PIVOT TABLES'!$P$26</f>
        <v>62.64</v>
      </c>
      <c r="R18" s="14">
        <f>'PIVOT TABLES'!$P$27-'PIVOT TABLES'!$P$26</f>
        <v>31.320000000000007</v>
      </c>
      <c r="S18" s="14">
        <f>'PIVOT TABLES'!$P$28-'PIVOT TABLES'!$P$27</f>
        <v>31.319999999999993</v>
      </c>
      <c r="T18" s="14">
        <f>200-SUM(Table3[[#This Row],[W - LIGHT]:[W - VIGOROUS]])</f>
        <v>74.72</v>
      </c>
      <c r="U18" s="14">
        <f>'PIVOT TABLES'!$W$26</f>
        <v>55.895999999999994</v>
      </c>
      <c r="V18" s="14">
        <f>'PIVOT TABLES'!$W$27-'PIVOT TABLES'!$W$26</f>
        <v>27.948</v>
      </c>
      <c r="W18" s="14">
        <f>'PIVOT TABLES'!$W$28-'PIVOT TABLES'!$W$27</f>
        <v>27.947999999999993</v>
      </c>
      <c r="X18" s="14">
        <f>200-SUM(Table3[[#This Row],[S - LIGHT]:[S - VIGOROUS]])</f>
        <v>88.208000000000013</v>
      </c>
    </row>
    <row r="19" spans="1:24" x14ac:dyDescent="0.25">
      <c r="A19" s="13" t="s">
        <v>64</v>
      </c>
      <c r="B19" s="13" t="str">
        <f t="shared" si="0"/>
        <v>Midfielder</v>
      </c>
      <c r="C19" s="7">
        <v>45215</v>
      </c>
      <c r="D19" s="14">
        <v>7366</v>
      </c>
      <c r="E19" s="14">
        <v>11</v>
      </c>
      <c r="F19" s="14">
        <v>66</v>
      </c>
      <c r="G19" s="14">
        <v>40</v>
      </c>
      <c r="H19" s="9">
        <v>77.430000000000007</v>
      </c>
      <c r="I19" s="14">
        <f>'PIVOT TABLES'!$B$26</f>
        <v>60.283999999999999</v>
      </c>
      <c r="J19" s="14">
        <f>'PIVOT TABLES'!$B$27-'PIVOT TABLES'!$B$26</f>
        <v>30.142000000000003</v>
      </c>
      <c r="K19" s="14">
        <f>'PIVOT TABLES'!$B$28-'PIVOT TABLES'!$B$27</f>
        <v>30.141999999999996</v>
      </c>
      <c r="L19" s="14">
        <f>200-SUM(Table3[[#This Row],[D - LIGHT]:[D - VIGOROUS]])</f>
        <v>79.432000000000002</v>
      </c>
      <c r="M19" s="14">
        <f>'PIVOT TABLES'!$I$26</f>
        <v>65.603999999999999</v>
      </c>
      <c r="N19" s="14">
        <f>'PIVOT TABLES'!$I$27-'PIVOT TABLES'!$I$26</f>
        <v>32.802000000000007</v>
      </c>
      <c r="O19" s="14">
        <f>'PIVOT TABLES'!$I$28-'PIVOT TABLES'!$I$27</f>
        <v>32.801999999999992</v>
      </c>
      <c r="P19" s="14">
        <f>200-SUM(Table3[[#This Row],[M - LIGHT]:[M - VIGOROUS]])</f>
        <v>68.792000000000002</v>
      </c>
      <c r="Q19" s="14">
        <f>'PIVOT TABLES'!$P$26</f>
        <v>62.64</v>
      </c>
      <c r="R19" s="14">
        <f>'PIVOT TABLES'!$P$27-'PIVOT TABLES'!$P$26</f>
        <v>31.320000000000007</v>
      </c>
      <c r="S19" s="14">
        <f>'PIVOT TABLES'!$P$28-'PIVOT TABLES'!$P$27</f>
        <v>31.319999999999993</v>
      </c>
      <c r="T19" s="14">
        <f>200-SUM(Table3[[#This Row],[W - LIGHT]:[W - VIGOROUS]])</f>
        <v>74.72</v>
      </c>
      <c r="U19" s="14">
        <f>'PIVOT TABLES'!$W$26</f>
        <v>55.895999999999994</v>
      </c>
      <c r="V19" s="14">
        <f>'PIVOT TABLES'!$W$27-'PIVOT TABLES'!$W$26</f>
        <v>27.948</v>
      </c>
      <c r="W19" s="14">
        <f>'PIVOT TABLES'!$W$28-'PIVOT TABLES'!$W$27</f>
        <v>27.947999999999993</v>
      </c>
      <c r="X19" s="14">
        <f>200-SUM(Table3[[#This Row],[S - LIGHT]:[S - VIGOROUS]])</f>
        <v>88.208000000000013</v>
      </c>
    </row>
    <row r="20" spans="1:24" x14ac:dyDescent="0.25">
      <c r="A20" s="13" t="s">
        <v>65</v>
      </c>
      <c r="B20" s="13" t="str">
        <f t="shared" si="0"/>
        <v>Winger</v>
      </c>
      <c r="C20" s="7">
        <v>45215</v>
      </c>
      <c r="D20" s="14">
        <v>3573</v>
      </c>
      <c r="E20" s="14">
        <v>74</v>
      </c>
      <c r="F20" s="14">
        <v>25</v>
      </c>
      <c r="G20" s="14">
        <v>19</v>
      </c>
      <c r="H20" s="9">
        <v>39.33</v>
      </c>
      <c r="I20" s="14">
        <f>'PIVOT TABLES'!$B$26</f>
        <v>60.283999999999999</v>
      </c>
      <c r="J20" s="14">
        <f>'PIVOT TABLES'!$B$27-'PIVOT TABLES'!$B$26</f>
        <v>30.142000000000003</v>
      </c>
      <c r="K20" s="14">
        <f>'PIVOT TABLES'!$B$28-'PIVOT TABLES'!$B$27</f>
        <v>30.141999999999996</v>
      </c>
      <c r="L20" s="14">
        <f>200-SUM(Table3[[#This Row],[D - LIGHT]:[D - VIGOROUS]])</f>
        <v>79.432000000000002</v>
      </c>
      <c r="M20" s="14">
        <f>'PIVOT TABLES'!$I$26</f>
        <v>65.603999999999999</v>
      </c>
      <c r="N20" s="14">
        <f>'PIVOT TABLES'!$I$27-'PIVOT TABLES'!$I$26</f>
        <v>32.802000000000007</v>
      </c>
      <c r="O20" s="14">
        <f>'PIVOT TABLES'!$I$28-'PIVOT TABLES'!$I$27</f>
        <v>32.801999999999992</v>
      </c>
      <c r="P20" s="14">
        <f>200-SUM(Table3[[#This Row],[M - LIGHT]:[M - VIGOROUS]])</f>
        <v>68.792000000000002</v>
      </c>
      <c r="Q20" s="14">
        <f>'PIVOT TABLES'!$P$26</f>
        <v>62.64</v>
      </c>
      <c r="R20" s="14">
        <f>'PIVOT TABLES'!$P$27-'PIVOT TABLES'!$P$26</f>
        <v>31.320000000000007</v>
      </c>
      <c r="S20" s="14">
        <f>'PIVOT TABLES'!$P$28-'PIVOT TABLES'!$P$27</f>
        <v>31.319999999999993</v>
      </c>
      <c r="T20" s="14">
        <f>200-SUM(Table3[[#This Row],[W - LIGHT]:[W - VIGOROUS]])</f>
        <v>74.72</v>
      </c>
      <c r="U20" s="14">
        <f>'PIVOT TABLES'!$W$26</f>
        <v>55.895999999999994</v>
      </c>
      <c r="V20" s="14">
        <f>'PIVOT TABLES'!$W$27-'PIVOT TABLES'!$W$26</f>
        <v>27.948</v>
      </c>
      <c r="W20" s="14">
        <f>'PIVOT TABLES'!$W$28-'PIVOT TABLES'!$W$27</f>
        <v>27.947999999999993</v>
      </c>
      <c r="X20" s="14">
        <f>200-SUM(Table3[[#This Row],[S - LIGHT]:[S - VIGOROUS]])</f>
        <v>88.208000000000013</v>
      </c>
    </row>
    <row r="21" spans="1:24" x14ac:dyDescent="0.25">
      <c r="A21" s="13" t="s">
        <v>66</v>
      </c>
      <c r="B21" s="13" t="str">
        <f t="shared" si="0"/>
        <v>Striker</v>
      </c>
      <c r="C21" s="7">
        <v>45215</v>
      </c>
      <c r="D21" s="14">
        <v>5622</v>
      </c>
      <c r="E21" s="14">
        <v>2</v>
      </c>
      <c r="F21" s="14">
        <v>37</v>
      </c>
      <c r="G21" s="14">
        <v>21</v>
      </c>
      <c r="H21" s="9">
        <v>58.18</v>
      </c>
      <c r="I21" s="14">
        <f>'PIVOT TABLES'!$B$26</f>
        <v>60.283999999999999</v>
      </c>
      <c r="J21" s="14">
        <f>'PIVOT TABLES'!$B$27-'PIVOT TABLES'!$B$26</f>
        <v>30.142000000000003</v>
      </c>
      <c r="K21" s="14">
        <f>'PIVOT TABLES'!$B$28-'PIVOT TABLES'!$B$27</f>
        <v>30.141999999999996</v>
      </c>
      <c r="L21" s="14">
        <f>200-SUM(Table3[[#This Row],[D - LIGHT]:[D - VIGOROUS]])</f>
        <v>79.432000000000002</v>
      </c>
      <c r="M21" s="14">
        <f>'PIVOT TABLES'!$I$26</f>
        <v>65.603999999999999</v>
      </c>
      <c r="N21" s="14">
        <f>'PIVOT TABLES'!$I$27-'PIVOT TABLES'!$I$26</f>
        <v>32.802000000000007</v>
      </c>
      <c r="O21" s="14">
        <f>'PIVOT TABLES'!$I$28-'PIVOT TABLES'!$I$27</f>
        <v>32.801999999999992</v>
      </c>
      <c r="P21" s="14">
        <f>200-SUM(Table3[[#This Row],[M - LIGHT]:[M - VIGOROUS]])</f>
        <v>68.792000000000002</v>
      </c>
      <c r="Q21" s="14">
        <f>'PIVOT TABLES'!$P$26</f>
        <v>62.64</v>
      </c>
      <c r="R21" s="14">
        <f>'PIVOT TABLES'!$P$27-'PIVOT TABLES'!$P$26</f>
        <v>31.320000000000007</v>
      </c>
      <c r="S21" s="14">
        <f>'PIVOT TABLES'!$P$28-'PIVOT TABLES'!$P$27</f>
        <v>31.319999999999993</v>
      </c>
      <c r="T21" s="14">
        <f>200-SUM(Table3[[#This Row],[W - LIGHT]:[W - VIGOROUS]])</f>
        <v>74.72</v>
      </c>
      <c r="U21" s="14">
        <f>'PIVOT TABLES'!$W$26</f>
        <v>55.895999999999994</v>
      </c>
      <c r="V21" s="14">
        <f>'PIVOT TABLES'!$W$27-'PIVOT TABLES'!$W$26</f>
        <v>27.948</v>
      </c>
      <c r="W21" s="14">
        <f>'PIVOT TABLES'!$W$28-'PIVOT TABLES'!$W$27</f>
        <v>27.947999999999993</v>
      </c>
      <c r="X21" s="14">
        <f>200-SUM(Table3[[#This Row],[S - LIGHT]:[S - VIGOROUS]])</f>
        <v>88.208000000000013</v>
      </c>
    </row>
    <row r="22" spans="1:24" x14ac:dyDescent="0.25">
      <c r="A22" s="13" t="s">
        <v>7</v>
      </c>
      <c r="B22" s="13" t="str">
        <f t="shared" si="0"/>
        <v>Winger</v>
      </c>
      <c r="C22" s="7">
        <v>45215</v>
      </c>
      <c r="D22" s="14">
        <v>4986</v>
      </c>
      <c r="E22" s="14">
        <v>24</v>
      </c>
      <c r="F22" s="14">
        <v>36</v>
      </c>
      <c r="G22" s="14">
        <v>42</v>
      </c>
      <c r="H22" s="9">
        <v>52.86</v>
      </c>
      <c r="I22" s="14">
        <f>'PIVOT TABLES'!$B$26</f>
        <v>60.283999999999999</v>
      </c>
      <c r="J22" s="14">
        <f>'PIVOT TABLES'!$B$27-'PIVOT TABLES'!$B$26</f>
        <v>30.142000000000003</v>
      </c>
      <c r="K22" s="14">
        <f>'PIVOT TABLES'!$B$28-'PIVOT TABLES'!$B$27</f>
        <v>30.141999999999996</v>
      </c>
      <c r="L22" s="14">
        <f>200-SUM(Table3[[#This Row],[D - LIGHT]:[D - VIGOROUS]])</f>
        <v>79.432000000000002</v>
      </c>
      <c r="M22" s="14">
        <f>'PIVOT TABLES'!$I$26</f>
        <v>65.603999999999999</v>
      </c>
      <c r="N22" s="14">
        <f>'PIVOT TABLES'!$I$27-'PIVOT TABLES'!$I$26</f>
        <v>32.802000000000007</v>
      </c>
      <c r="O22" s="14">
        <f>'PIVOT TABLES'!$I$28-'PIVOT TABLES'!$I$27</f>
        <v>32.801999999999992</v>
      </c>
      <c r="P22" s="14">
        <f>200-SUM(Table3[[#This Row],[M - LIGHT]:[M - VIGOROUS]])</f>
        <v>68.792000000000002</v>
      </c>
      <c r="Q22" s="14">
        <f>'PIVOT TABLES'!$P$26</f>
        <v>62.64</v>
      </c>
      <c r="R22" s="14">
        <f>'PIVOT TABLES'!$P$27-'PIVOT TABLES'!$P$26</f>
        <v>31.320000000000007</v>
      </c>
      <c r="S22" s="14">
        <f>'PIVOT TABLES'!$P$28-'PIVOT TABLES'!$P$27</f>
        <v>31.319999999999993</v>
      </c>
      <c r="T22" s="14">
        <f>200-SUM(Table3[[#This Row],[W - LIGHT]:[W - VIGOROUS]])</f>
        <v>74.72</v>
      </c>
      <c r="U22" s="14">
        <f>'PIVOT TABLES'!$W$26</f>
        <v>55.895999999999994</v>
      </c>
      <c r="V22" s="14">
        <f>'PIVOT TABLES'!$W$27-'PIVOT TABLES'!$W$26</f>
        <v>27.948</v>
      </c>
      <c r="W22" s="14">
        <f>'PIVOT TABLES'!$W$28-'PIVOT TABLES'!$W$27</f>
        <v>27.947999999999993</v>
      </c>
      <c r="X22" s="14">
        <f>200-SUM(Table3[[#This Row],[S - LIGHT]:[S - VIGOROUS]])</f>
        <v>88.208000000000013</v>
      </c>
    </row>
    <row r="23" spans="1:24" x14ac:dyDescent="0.25">
      <c r="A23" s="13" t="s">
        <v>8</v>
      </c>
      <c r="B23" s="13" t="str">
        <f t="shared" si="0"/>
        <v>Striker</v>
      </c>
      <c r="C23" s="7">
        <v>45215</v>
      </c>
      <c r="D23" s="14">
        <v>6464</v>
      </c>
      <c r="E23" s="14">
        <v>30</v>
      </c>
      <c r="F23" s="14">
        <v>45</v>
      </c>
      <c r="G23" s="14">
        <v>38</v>
      </c>
      <c r="H23" s="9">
        <v>68.099999999999994</v>
      </c>
      <c r="I23" s="14">
        <f>'PIVOT TABLES'!$B$26</f>
        <v>60.283999999999999</v>
      </c>
      <c r="J23" s="14">
        <f>'PIVOT TABLES'!$B$27-'PIVOT TABLES'!$B$26</f>
        <v>30.142000000000003</v>
      </c>
      <c r="K23" s="14">
        <f>'PIVOT TABLES'!$B$28-'PIVOT TABLES'!$B$27</f>
        <v>30.141999999999996</v>
      </c>
      <c r="L23" s="14">
        <f>200-SUM(Table3[[#This Row],[D - LIGHT]:[D - VIGOROUS]])</f>
        <v>79.432000000000002</v>
      </c>
      <c r="M23" s="14">
        <f>'PIVOT TABLES'!$I$26</f>
        <v>65.603999999999999</v>
      </c>
      <c r="N23" s="14">
        <f>'PIVOT TABLES'!$I$27-'PIVOT TABLES'!$I$26</f>
        <v>32.802000000000007</v>
      </c>
      <c r="O23" s="14">
        <f>'PIVOT TABLES'!$I$28-'PIVOT TABLES'!$I$27</f>
        <v>32.801999999999992</v>
      </c>
      <c r="P23" s="14">
        <f>200-SUM(Table3[[#This Row],[M - LIGHT]:[M - VIGOROUS]])</f>
        <v>68.792000000000002</v>
      </c>
      <c r="Q23" s="14">
        <f>'PIVOT TABLES'!$P$26</f>
        <v>62.64</v>
      </c>
      <c r="R23" s="14">
        <f>'PIVOT TABLES'!$P$27-'PIVOT TABLES'!$P$26</f>
        <v>31.320000000000007</v>
      </c>
      <c r="S23" s="14">
        <f>'PIVOT TABLES'!$P$28-'PIVOT TABLES'!$P$27</f>
        <v>31.319999999999993</v>
      </c>
      <c r="T23" s="14">
        <f>200-SUM(Table3[[#This Row],[W - LIGHT]:[W - VIGOROUS]])</f>
        <v>74.72</v>
      </c>
      <c r="U23" s="14">
        <f>'PIVOT TABLES'!$W$26</f>
        <v>55.895999999999994</v>
      </c>
      <c r="V23" s="14">
        <f>'PIVOT TABLES'!$W$27-'PIVOT TABLES'!$W$26</f>
        <v>27.948</v>
      </c>
      <c r="W23" s="14">
        <f>'PIVOT TABLES'!$W$28-'PIVOT TABLES'!$W$27</f>
        <v>27.947999999999993</v>
      </c>
      <c r="X23" s="14">
        <f>200-SUM(Table3[[#This Row],[S - LIGHT]:[S - VIGOROUS]])</f>
        <v>88.208000000000013</v>
      </c>
    </row>
    <row r="24" spans="1:24" x14ac:dyDescent="0.25">
      <c r="A24" s="13" t="s">
        <v>67</v>
      </c>
      <c r="B24" s="13" t="str">
        <f t="shared" si="0"/>
        <v>Midfielder</v>
      </c>
      <c r="C24" s="7">
        <v>45215</v>
      </c>
      <c r="D24" s="14">
        <v>6433</v>
      </c>
      <c r="E24" s="14">
        <v>4</v>
      </c>
      <c r="F24" s="14">
        <v>53</v>
      </c>
      <c r="G24" s="14">
        <v>35</v>
      </c>
      <c r="H24" s="9">
        <v>67.27</v>
      </c>
      <c r="I24" s="14">
        <f>'PIVOT TABLES'!$B$26</f>
        <v>60.283999999999999</v>
      </c>
      <c r="J24" s="14">
        <f>'PIVOT TABLES'!$B$27-'PIVOT TABLES'!$B$26</f>
        <v>30.142000000000003</v>
      </c>
      <c r="K24" s="14">
        <f>'PIVOT TABLES'!$B$28-'PIVOT TABLES'!$B$27</f>
        <v>30.141999999999996</v>
      </c>
      <c r="L24" s="14">
        <f>200-SUM(Table3[[#This Row],[D - LIGHT]:[D - VIGOROUS]])</f>
        <v>79.432000000000002</v>
      </c>
      <c r="M24" s="14">
        <f>'PIVOT TABLES'!$I$26</f>
        <v>65.603999999999999</v>
      </c>
      <c r="N24" s="14">
        <f>'PIVOT TABLES'!$I$27-'PIVOT TABLES'!$I$26</f>
        <v>32.802000000000007</v>
      </c>
      <c r="O24" s="14">
        <f>'PIVOT TABLES'!$I$28-'PIVOT TABLES'!$I$27</f>
        <v>32.801999999999992</v>
      </c>
      <c r="P24" s="14">
        <f>200-SUM(Table3[[#This Row],[M - LIGHT]:[M - VIGOROUS]])</f>
        <v>68.792000000000002</v>
      </c>
      <c r="Q24" s="14">
        <f>'PIVOT TABLES'!$P$26</f>
        <v>62.64</v>
      </c>
      <c r="R24" s="14">
        <f>'PIVOT TABLES'!$P$27-'PIVOT TABLES'!$P$26</f>
        <v>31.320000000000007</v>
      </c>
      <c r="S24" s="14">
        <f>'PIVOT TABLES'!$P$28-'PIVOT TABLES'!$P$27</f>
        <v>31.319999999999993</v>
      </c>
      <c r="T24" s="14">
        <f>200-SUM(Table3[[#This Row],[W - LIGHT]:[W - VIGOROUS]])</f>
        <v>74.72</v>
      </c>
      <c r="U24" s="14">
        <f>'PIVOT TABLES'!$W$26</f>
        <v>55.895999999999994</v>
      </c>
      <c r="V24" s="14">
        <f>'PIVOT TABLES'!$W$27-'PIVOT TABLES'!$W$26</f>
        <v>27.948</v>
      </c>
      <c r="W24" s="14">
        <f>'PIVOT TABLES'!$W$28-'PIVOT TABLES'!$W$27</f>
        <v>27.947999999999993</v>
      </c>
      <c r="X24" s="14">
        <f>200-SUM(Table3[[#This Row],[S - LIGHT]:[S - VIGOROUS]])</f>
        <v>88.208000000000013</v>
      </c>
    </row>
    <row r="25" spans="1:24" x14ac:dyDescent="0.25">
      <c r="A25" s="13" t="s">
        <v>68</v>
      </c>
      <c r="B25" s="13" t="str">
        <f t="shared" si="0"/>
        <v>####</v>
      </c>
      <c r="C25" s="7">
        <v>45215</v>
      </c>
      <c r="D25" s="14">
        <v>6418</v>
      </c>
      <c r="E25" s="14">
        <v>53</v>
      </c>
      <c r="F25" s="14">
        <v>32</v>
      </c>
      <c r="G25" s="14">
        <v>26</v>
      </c>
      <c r="H25" s="9">
        <v>67.569999999999993</v>
      </c>
      <c r="I25" s="14">
        <f>'PIVOT TABLES'!$B$26</f>
        <v>60.283999999999999</v>
      </c>
      <c r="J25" s="14">
        <f>'PIVOT TABLES'!$B$27-'PIVOT TABLES'!$B$26</f>
        <v>30.142000000000003</v>
      </c>
      <c r="K25" s="14">
        <f>'PIVOT TABLES'!$B$28-'PIVOT TABLES'!$B$27</f>
        <v>30.141999999999996</v>
      </c>
      <c r="L25" s="14">
        <f>200-SUM(Table3[[#This Row],[D - LIGHT]:[D - VIGOROUS]])</f>
        <v>79.432000000000002</v>
      </c>
      <c r="M25" s="14">
        <f>'PIVOT TABLES'!$I$26</f>
        <v>65.603999999999999</v>
      </c>
      <c r="N25" s="14">
        <f>'PIVOT TABLES'!$I$27-'PIVOT TABLES'!$I$26</f>
        <v>32.802000000000007</v>
      </c>
      <c r="O25" s="14">
        <f>'PIVOT TABLES'!$I$28-'PIVOT TABLES'!$I$27</f>
        <v>32.801999999999992</v>
      </c>
      <c r="P25" s="14">
        <f>200-SUM(Table3[[#This Row],[M - LIGHT]:[M - VIGOROUS]])</f>
        <v>68.792000000000002</v>
      </c>
      <c r="Q25" s="14">
        <f>'PIVOT TABLES'!$P$26</f>
        <v>62.64</v>
      </c>
      <c r="R25" s="14">
        <f>'PIVOT TABLES'!$P$27-'PIVOT TABLES'!$P$26</f>
        <v>31.320000000000007</v>
      </c>
      <c r="S25" s="14">
        <f>'PIVOT TABLES'!$P$28-'PIVOT TABLES'!$P$27</f>
        <v>31.319999999999993</v>
      </c>
      <c r="T25" s="14">
        <f>200-SUM(Table3[[#This Row],[W - LIGHT]:[W - VIGOROUS]])</f>
        <v>74.72</v>
      </c>
      <c r="U25" s="14">
        <f>'PIVOT TABLES'!$W$26</f>
        <v>55.895999999999994</v>
      </c>
      <c r="V25" s="14">
        <f>'PIVOT TABLES'!$W$27-'PIVOT TABLES'!$W$26</f>
        <v>27.948</v>
      </c>
      <c r="W25" s="14">
        <f>'PIVOT TABLES'!$W$28-'PIVOT TABLES'!$W$27</f>
        <v>27.947999999999993</v>
      </c>
      <c r="X25" s="14">
        <f>200-SUM(Table3[[#This Row],[S - LIGHT]:[S - VIGOROUS]])</f>
        <v>88.208000000000013</v>
      </c>
    </row>
    <row r="26" spans="1:24" x14ac:dyDescent="0.25">
      <c r="A26" s="13" t="s">
        <v>9</v>
      </c>
      <c r="B26" s="13" t="str">
        <f t="shared" si="0"/>
        <v>Striker</v>
      </c>
      <c r="C26" s="7">
        <v>45215</v>
      </c>
      <c r="D26" s="14">
        <v>6153</v>
      </c>
      <c r="E26" s="14">
        <v>27</v>
      </c>
      <c r="F26" s="14">
        <v>52</v>
      </c>
      <c r="G26" s="14">
        <v>48</v>
      </c>
      <c r="H26" s="9">
        <v>65.38</v>
      </c>
      <c r="I26" s="14">
        <f>'PIVOT TABLES'!$B$26</f>
        <v>60.283999999999999</v>
      </c>
      <c r="J26" s="14">
        <f>'PIVOT TABLES'!$B$27-'PIVOT TABLES'!$B$26</f>
        <v>30.142000000000003</v>
      </c>
      <c r="K26" s="14">
        <f>'PIVOT TABLES'!$B$28-'PIVOT TABLES'!$B$27</f>
        <v>30.141999999999996</v>
      </c>
      <c r="L26" s="14">
        <f>200-SUM(Table3[[#This Row],[D - LIGHT]:[D - VIGOROUS]])</f>
        <v>79.432000000000002</v>
      </c>
      <c r="M26" s="14">
        <f>'PIVOT TABLES'!$I$26</f>
        <v>65.603999999999999</v>
      </c>
      <c r="N26" s="14">
        <f>'PIVOT TABLES'!$I$27-'PIVOT TABLES'!$I$26</f>
        <v>32.802000000000007</v>
      </c>
      <c r="O26" s="14">
        <f>'PIVOT TABLES'!$I$28-'PIVOT TABLES'!$I$27</f>
        <v>32.801999999999992</v>
      </c>
      <c r="P26" s="14">
        <f>200-SUM(Table3[[#This Row],[M - LIGHT]:[M - VIGOROUS]])</f>
        <v>68.792000000000002</v>
      </c>
      <c r="Q26" s="14">
        <f>'PIVOT TABLES'!$P$26</f>
        <v>62.64</v>
      </c>
      <c r="R26" s="14">
        <f>'PIVOT TABLES'!$P$27-'PIVOT TABLES'!$P$26</f>
        <v>31.320000000000007</v>
      </c>
      <c r="S26" s="14">
        <f>'PIVOT TABLES'!$P$28-'PIVOT TABLES'!$P$27</f>
        <v>31.319999999999993</v>
      </c>
      <c r="T26" s="14">
        <f>200-SUM(Table3[[#This Row],[W - LIGHT]:[W - VIGOROUS]])</f>
        <v>74.72</v>
      </c>
      <c r="U26" s="14">
        <f>'PIVOT TABLES'!$W$26</f>
        <v>55.895999999999994</v>
      </c>
      <c r="V26" s="14">
        <f>'PIVOT TABLES'!$W$27-'PIVOT TABLES'!$W$26</f>
        <v>27.948</v>
      </c>
      <c r="W26" s="14">
        <f>'PIVOT TABLES'!$W$28-'PIVOT TABLES'!$W$27</f>
        <v>27.947999999999993</v>
      </c>
      <c r="X26" s="14">
        <f>200-SUM(Table3[[#This Row],[S - LIGHT]:[S - VIGOROUS]])</f>
        <v>88.208000000000013</v>
      </c>
    </row>
    <row r="27" spans="1:24" x14ac:dyDescent="0.25">
      <c r="A27" s="13" t="s">
        <v>69</v>
      </c>
      <c r="B27" s="13" t="str">
        <f t="shared" si="0"/>
        <v>Midfielder</v>
      </c>
      <c r="C27" s="7">
        <v>45215</v>
      </c>
      <c r="D27" s="14">
        <v>4569</v>
      </c>
      <c r="E27" s="14">
        <v>7</v>
      </c>
      <c r="F27" s="14">
        <v>29</v>
      </c>
      <c r="G27" s="14">
        <v>35</v>
      </c>
      <c r="H27" s="9">
        <v>47.76</v>
      </c>
      <c r="I27" s="14">
        <f>'PIVOT TABLES'!$B$26</f>
        <v>60.283999999999999</v>
      </c>
      <c r="J27" s="14">
        <f>'PIVOT TABLES'!$B$27-'PIVOT TABLES'!$B$26</f>
        <v>30.142000000000003</v>
      </c>
      <c r="K27" s="14">
        <f>'PIVOT TABLES'!$B$28-'PIVOT TABLES'!$B$27</f>
        <v>30.141999999999996</v>
      </c>
      <c r="L27" s="14">
        <f>200-SUM(Table3[[#This Row],[D - LIGHT]:[D - VIGOROUS]])</f>
        <v>79.432000000000002</v>
      </c>
      <c r="M27" s="14">
        <f>'PIVOT TABLES'!$I$26</f>
        <v>65.603999999999999</v>
      </c>
      <c r="N27" s="14">
        <f>'PIVOT TABLES'!$I$27-'PIVOT TABLES'!$I$26</f>
        <v>32.802000000000007</v>
      </c>
      <c r="O27" s="14">
        <f>'PIVOT TABLES'!$I$28-'PIVOT TABLES'!$I$27</f>
        <v>32.801999999999992</v>
      </c>
      <c r="P27" s="14">
        <f>200-SUM(Table3[[#This Row],[M - LIGHT]:[M - VIGOROUS]])</f>
        <v>68.792000000000002</v>
      </c>
      <c r="Q27" s="14">
        <f>'PIVOT TABLES'!$P$26</f>
        <v>62.64</v>
      </c>
      <c r="R27" s="14">
        <f>'PIVOT TABLES'!$P$27-'PIVOT TABLES'!$P$26</f>
        <v>31.320000000000007</v>
      </c>
      <c r="S27" s="14">
        <f>'PIVOT TABLES'!$P$28-'PIVOT TABLES'!$P$27</f>
        <v>31.319999999999993</v>
      </c>
      <c r="T27" s="14">
        <f>200-SUM(Table3[[#This Row],[W - LIGHT]:[W - VIGOROUS]])</f>
        <v>74.72</v>
      </c>
      <c r="U27" s="14">
        <f>'PIVOT TABLES'!$W$26</f>
        <v>55.895999999999994</v>
      </c>
      <c r="V27" s="14">
        <f>'PIVOT TABLES'!$W$27-'PIVOT TABLES'!$W$26</f>
        <v>27.948</v>
      </c>
      <c r="W27" s="14">
        <f>'PIVOT TABLES'!$W$28-'PIVOT TABLES'!$W$27</f>
        <v>27.947999999999993</v>
      </c>
      <c r="X27" s="14">
        <f>200-SUM(Table3[[#This Row],[S - LIGHT]:[S - VIGOROUS]])</f>
        <v>88.208000000000013</v>
      </c>
    </row>
    <row r="28" spans="1:24" x14ac:dyDescent="0.25">
      <c r="A28" s="13" t="s">
        <v>70</v>
      </c>
      <c r="B28" s="13" t="str">
        <f t="shared" si="0"/>
        <v>Winger</v>
      </c>
      <c r="C28" s="7">
        <v>45216</v>
      </c>
      <c r="D28" s="14">
        <v>7625</v>
      </c>
      <c r="E28" s="14">
        <v>83</v>
      </c>
      <c r="F28" s="14">
        <v>24</v>
      </c>
      <c r="G28" s="14">
        <v>31</v>
      </c>
      <c r="H28" s="9">
        <v>80.319999999999993</v>
      </c>
      <c r="I28" s="14">
        <f>'PIVOT TABLES'!$B$26</f>
        <v>60.283999999999999</v>
      </c>
      <c r="J28" s="14">
        <f>'PIVOT TABLES'!$B$27-'PIVOT TABLES'!$B$26</f>
        <v>30.142000000000003</v>
      </c>
      <c r="K28" s="14">
        <f>'PIVOT TABLES'!$B$28-'PIVOT TABLES'!$B$27</f>
        <v>30.141999999999996</v>
      </c>
      <c r="L28" s="14">
        <f>200-SUM(Table3[[#This Row],[D - LIGHT]:[D - VIGOROUS]])</f>
        <v>79.432000000000002</v>
      </c>
      <c r="M28" s="14">
        <f>'PIVOT TABLES'!$I$26</f>
        <v>65.603999999999999</v>
      </c>
      <c r="N28" s="14">
        <f>'PIVOT TABLES'!$I$27-'PIVOT TABLES'!$I$26</f>
        <v>32.802000000000007</v>
      </c>
      <c r="O28" s="14">
        <f>'PIVOT TABLES'!$I$28-'PIVOT TABLES'!$I$27</f>
        <v>32.801999999999992</v>
      </c>
      <c r="P28" s="14">
        <f>200-SUM(Table3[[#This Row],[M - LIGHT]:[M - VIGOROUS]])</f>
        <v>68.792000000000002</v>
      </c>
      <c r="Q28" s="14">
        <f>'PIVOT TABLES'!$P$26</f>
        <v>62.64</v>
      </c>
      <c r="R28" s="14">
        <f>'PIVOT TABLES'!$P$27-'PIVOT TABLES'!$P$26</f>
        <v>31.320000000000007</v>
      </c>
      <c r="S28" s="14">
        <f>'PIVOT TABLES'!$P$28-'PIVOT TABLES'!$P$27</f>
        <v>31.319999999999993</v>
      </c>
      <c r="T28" s="14">
        <f>200-SUM(Table3[[#This Row],[W - LIGHT]:[W - VIGOROUS]])</f>
        <v>74.72</v>
      </c>
      <c r="U28" s="14">
        <f>'PIVOT TABLES'!$W$26</f>
        <v>55.895999999999994</v>
      </c>
      <c r="V28" s="14">
        <f>'PIVOT TABLES'!$W$27-'PIVOT TABLES'!$W$26</f>
        <v>27.948</v>
      </c>
      <c r="W28" s="14">
        <f>'PIVOT TABLES'!$W$28-'PIVOT TABLES'!$W$27</f>
        <v>27.947999999999993</v>
      </c>
      <c r="X28" s="14">
        <f>200-SUM(Table3[[#This Row],[S - LIGHT]:[S - VIGOROUS]])</f>
        <v>88.208000000000013</v>
      </c>
    </row>
    <row r="29" spans="1:24" x14ac:dyDescent="0.25">
      <c r="A29" s="13" t="s">
        <v>53</v>
      </c>
      <c r="B29" s="13" t="str">
        <f t="shared" si="0"/>
        <v>Midfielder</v>
      </c>
      <c r="C29" s="7">
        <v>45216</v>
      </c>
      <c r="D29" s="14">
        <v>7796</v>
      </c>
      <c r="E29" s="14">
        <v>14</v>
      </c>
      <c r="F29" s="14">
        <v>25</v>
      </c>
      <c r="G29" s="14">
        <v>29</v>
      </c>
      <c r="H29" s="9">
        <v>79.959999999999994</v>
      </c>
      <c r="I29" s="14">
        <f>'PIVOT TABLES'!$B$26</f>
        <v>60.283999999999999</v>
      </c>
      <c r="J29" s="14">
        <f>'PIVOT TABLES'!$B$27-'PIVOT TABLES'!$B$26</f>
        <v>30.142000000000003</v>
      </c>
      <c r="K29" s="14">
        <f>'PIVOT TABLES'!$B$28-'PIVOT TABLES'!$B$27</f>
        <v>30.141999999999996</v>
      </c>
      <c r="L29" s="14">
        <f>200-SUM(Table3[[#This Row],[D - LIGHT]:[D - VIGOROUS]])</f>
        <v>79.432000000000002</v>
      </c>
      <c r="M29" s="14">
        <f>'PIVOT TABLES'!$I$26</f>
        <v>65.603999999999999</v>
      </c>
      <c r="N29" s="14">
        <f>'PIVOT TABLES'!$I$27-'PIVOT TABLES'!$I$26</f>
        <v>32.802000000000007</v>
      </c>
      <c r="O29" s="14">
        <f>'PIVOT TABLES'!$I$28-'PIVOT TABLES'!$I$27</f>
        <v>32.801999999999992</v>
      </c>
      <c r="P29" s="14">
        <f>200-SUM(Table3[[#This Row],[M - LIGHT]:[M - VIGOROUS]])</f>
        <v>68.792000000000002</v>
      </c>
      <c r="Q29" s="14">
        <f>'PIVOT TABLES'!$P$26</f>
        <v>62.64</v>
      </c>
      <c r="R29" s="14">
        <f>'PIVOT TABLES'!$P$27-'PIVOT TABLES'!$P$26</f>
        <v>31.320000000000007</v>
      </c>
      <c r="S29" s="14">
        <f>'PIVOT TABLES'!$P$28-'PIVOT TABLES'!$P$27</f>
        <v>31.319999999999993</v>
      </c>
      <c r="T29" s="14">
        <f>200-SUM(Table3[[#This Row],[W - LIGHT]:[W - VIGOROUS]])</f>
        <v>74.72</v>
      </c>
      <c r="U29" s="14">
        <f>'PIVOT TABLES'!$W$26</f>
        <v>55.895999999999994</v>
      </c>
      <c r="V29" s="14">
        <f>'PIVOT TABLES'!$W$27-'PIVOT TABLES'!$W$26</f>
        <v>27.948</v>
      </c>
      <c r="W29" s="14">
        <f>'PIVOT TABLES'!$W$28-'PIVOT TABLES'!$W$27</f>
        <v>27.947999999999993</v>
      </c>
      <c r="X29" s="14">
        <f>200-SUM(Table3[[#This Row],[S - LIGHT]:[S - VIGOROUS]])</f>
        <v>88.208000000000013</v>
      </c>
    </row>
    <row r="30" spans="1:24" x14ac:dyDescent="0.25">
      <c r="A30" s="13" t="s">
        <v>54</v>
      </c>
      <c r="B30" s="13" t="str">
        <f t="shared" si="0"/>
        <v>Striker</v>
      </c>
      <c r="C30" s="7">
        <v>45216</v>
      </c>
      <c r="D30" s="14">
        <v>4298</v>
      </c>
      <c r="E30" s="14">
        <v>14</v>
      </c>
      <c r="F30" s="14">
        <v>12</v>
      </c>
      <c r="G30" s="14">
        <v>22</v>
      </c>
      <c r="H30" s="9">
        <v>44.32</v>
      </c>
      <c r="I30" s="14">
        <f>'PIVOT TABLES'!$B$26</f>
        <v>60.283999999999999</v>
      </c>
      <c r="J30" s="14">
        <f>'PIVOT TABLES'!$B$27-'PIVOT TABLES'!$B$26</f>
        <v>30.142000000000003</v>
      </c>
      <c r="K30" s="14">
        <f>'PIVOT TABLES'!$B$28-'PIVOT TABLES'!$B$27</f>
        <v>30.141999999999996</v>
      </c>
      <c r="L30" s="14">
        <f>200-SUM(Table3[[#This Row],[D - LIGHT]:[D - VIGOROUS]])</f>
        <v>79.432000000000002</v>
      </c>
      <c r="M30" s="14">
        <f>'PIVOT TABLES'!$I$26</f>
        <v>65.603999999999999</v>
      </c>
      <c r="N30" s="14">
        <f>'PIVOT TABLES'!$I$27-'PIVOT TABLES'!$I$26</f>
        <v>32.802000000000007</v>
      </c>
      <c r="O30" s="14">
        <f>'PIVOT TABLES'!$I$28-'PIVOT TABLES'!$I$27</f>
        <v>32.801999999999992</v>
      </c>
      <c r="P30" s="14">
        <f>200-SUM(Table3[[#This Row],[M - LIGHT]:[M - VIGOROUS]])</f>
        <v>68.792000000000002</v>
      </c>
      <c r="Q30" s="14">
        <f>'PIVOT TABLES'!$P$26</f>
        <v>62.64</v>
      </c>
      <c r="R30" s="14">
        <f>'PIVOT TABLES'!$P$27-'PIVOT TABLES'!$P$26</f>
        <v>31.320000000000007</v>
      </c>
      <c r="S30" s="14">
        <f>'PIVOT TABLES'!$P$28-'PIVOT TABLES'!$P$27</f>
        <v>31.319999999999993</v>
      </c>
      <c r="T30" s="14">
        <f>200-SUM(Table3[[#This Row],[W - LIGHT]:[W - VIGOROUS]])</f>
        <v>74.72</v>
      </c>
      <c r="U30" s="14">
        <f>'PIVOT TABLES'!$W$26</f>
        <v>55.895999999999994</v>
      </c>
      <c r="V30" s="14">
        <f>'PIVOT TABLES'!$W$27-'PIVOT TABLES'!$W$26</f>
        <v>27.948</v>
      </c>
      <c r="W30" s="14">
        <f>'PIVOT TABLES'!$W$28-'PIVOT TABLES'!$W$27</f>
        <v>27.947999999999993</v>
      </c>
      <c r="X30" s="14">
        <f>200-SUM(Table3[[#This Row],[S - LIGHT]:[S - VIGOROUS]])</f>
        <v>88.208000000000013</v>
      </c>
    </row>
    <row r="31" spans="1:24" x14ac:dyDescent="0.25">
      <c r="A31" s="13" t="s">
        <v>1</v>
      </c>
      <c r="B31" s="13" t="str">
        <f t="shared" si="0"/>
        <v>Defender</v>
      </c>
      <c r="C31" s="7">
        <v>45216</v>
      </c>
      <c r="D31" s="14">
        <v>8407</v>
      </c>
      <c r="E31" s="14">
        <v>0</v>
      </c>
      <c r="F31" s="14">
        <v>9</v>
      </c>
      <c r="G31" s="14">
        <v>9</v>
      </c>
      <c r="H31" s="9">
        <v>84.61</v>
      </c>
      <c r="I31" s="14">
        <f>'PIVOT TABLES'!$B$26</f>
        <v>60.283999999999999</v>
      </c>
      <c r="J31" s="14">
        <f>'PIVOT TABLES'!$B$27-'PIVOT TABLES'!$B$26</f>
        <v>30.142000000000003</v>
      </c>
      <c r="K31" s="14">
        <f>'PIVOT TABLES'!$B$28-'PIVOT TABLES'!$B$27</f>
        <v>30.141999999999996</v>
      </c>
      <c r="L31" s="14">
        <f>200-SUM(Table3[[#This Row],[D - LIGHT]:[D - VIGOROUS]])</f>
        <v>79.432000000000002</v>
      </c>
      <c r="M31" s="14">
        <f>'PIVOT TABLES'!$I$26</f>
        <v>65.603999999999999</v>
      </c>
      <c r="N31" s="14">
        <f>'PIVOT TABLES'!$I$27-'PIVOT TABLES'!$I$26</f>
        <v>32.802000000000007</v>
      </c>
      <c r="O31" s="14">
        <f>'PIVOT TABLES'!$I$28-'PIVOT TABLES'!$I$27</f>
        <v>32.801999999999992</v>
      </c>
      <c r="P31" s="14">
        <f>200-SUM(Table3[[#This Row],[M - LIGHT]:[M - VIGOROUS]])</f>
        <v>68.792000000000002</v>
      </c>
      <c r="Q31" s="14">
        <f>'PIVOT TABLES'!$P$26</f>
        <v>62.64</v>
      </c>
      <c r="R31" s="14">
        <f>'PIVOT TABLES'!$P$27-'PIVOT TABLES'!$P$26</f>
        <v>31.320000000000007</v>
      </c>
      <c r="S31" s="14">
        <f>'PIVOT TABLES'!$P$28-'PIVOT TABLES'!$P$27</f>
        <v>31.319999999999993</v>
      </c>
      <c r="T31" s="14">
        <f>200-SUM(Table3[[#This Row],[W - LIGHT]:[W - VIGOROUS]])</f>
        <v>74.72</v>
      </c>
      <c r="U31" s="14">
        <f>'PIVOT TABLES'!$W$26</f>
        <v>55.895999999999994</v>
      </c>
      <c r="V31" s="14">
        <f>'PIVOT TABLES'!$W$27-'PIVOT TABLES'!$W$26</f>
        <v>27.948</v>
      </c>
      <c r="W31" s="14">
        <f>'PIVOT TABLES'!$W$28-'PIVOT TABLES'!$W$27</f>
        <v>27.947999999999993</v>
      </c>
      <c r="X31" s="14">
        <f>200-SUM(Table3[[#This Row],[S - LIGHT]:[S - VIGOROUS]])</f>
        <v>88.208000000000013</v>
      </c>
    </row>
    <row r="32" spans="1:24" x14ac:dyDescent="0.25">
      <c r="A32" s="13" t="s">
        <v>56</v>
      </c>
      <c r="B32" s="13" t="str">
        <f t="shared" si="0"/>
        <v>Midfielder</v>
      </c>
      <c r="C32" s="7">
        <v>45216</v>
      </c>
      <c r="D32" s="14">
        <v>8214</v>
      </c>
      <c r="E32" s="14">
        <v>38</v>
      </c>
      <c r="F32" s="14">
        <v>34</v>
      </c>
      <c r="G32" s="14">
        <v>35</v>
      </c>
      <c r="H32" s="9">
        <v>85.34</v>
      </c>
      <c r="I32" s="14">
        <f>'PIVOT TABLES'!$B$26</f>
        <v>60.283999999999999</v>
      </c>
      <c r="J32" s="14">
        <f>'PIVOT TABLES'!$B$27-'PIVOT TABLES'!$B$26</f>
        <v>30.142000000000003</v>
      </c>
      <c r="K32" s="14">
        <f>'PIVOT TABLES'!$B$28-'PIVOT TABLES'!$B$27</f>
        <v>30.141999999999996</v>
      </c>
      <c r="L32" s="14">
        <f>200-SUM(Table3[[#This Row],[D - LIGHT]:[D - VIGOROUS]])</f>
        <v>79.432000000000002</v>
      </c>
      <c r="M32" s="14">
        <f>'PIVOT TABLES'!$I$26</f>
        <v>65.603999999999999</v>
      </c>
      <c r="N32" s="14">
        <f>'PIVOT TABLES'!$I$27-'PIVOT TABLES'!$I$26</f>
        <v>32.802000000000007</v>
      </c>
      <c r="O32" s="14">
        <f>'PIVOT TABLES'!$I$28-'PIVOT TABLES'!$I$27</f>
        <v>32.801999999999992</v>
      </c>
      <c r="P32" s="14">
        <f>200-SUM(Table3[[#This Row],[M - LIGHT]:[M - VIGOROUS]])</f>
        <v>68.792000000000002</v>
      </c>
      <c r="Q32" s="14">
        <f>'PIVOT TABLES'!$P$26</f>
        <v>62.64</v>
      </c>
      <c r="R32" s="14">
        <f>'PIVOT TABLES'!$P$27-'PIVOT TABLES'!$P$26</f>
        <v>31.320000000000007</v>
      </c>
      <c r="S32" s="14">
        <f>'PIVOT TABLES'!$P$28-'PIVOT TABLES'!$P$27</f>
        <v>31.319999999999993</v>
      </c>
      <c r="T32" s="14">
        <f>200-SUM(Table3[[#This Row],[W - LIGHT]:[W - VIGOROUS]])</f>
        <v>74.72</v>
      </c>
      <c r="U32" s="14">
        <f>'PIVOT TABLES'!$W$26</f>
        <v>55.895999999999994</v>
      </c>
      <c r="V32" s="14">
        <f>'PIVOT TABLES'!$W$27-'PIVOT TABLES'!$W$26</f>
        <v>27.948</v>
      </c>
      <c r="W32" s="14">
        <f>'PIVOT TABLES'!$W$28-'PIVOT TABLES'!$W$27</f>
        <v>27.947999999999993</v>
      </c>
      <c r="X32" s="14">
        <f>200-SUM(Table3[[#This Row],[S - LIGHT]:[S - VIGOROUS]])</f>
        <v>88.208000000000013</v>
      </c>
    </row>
    <row r="33" spans="1:24" x14ac:dyDescent="0.25">
      <c r="A33" s="13" t="s">
        <v>57</v>
      </c>
      <c r="B33" s="13" t="str">
        <f t="shared" si="0"/>
        <v>Midfielder</v>
      </c>
      <c r="C33" s="7">
        <v>45216</v>
      </c>
      <c r="D33" s="14">
        <v>7457</v>
      </c>
      <c r="E33" s="14">
        <v>11</v>
      </c>
      <c r="F33" s="14">
        <v>38</v>
      </c>
      <c r="G33" s="14">
        <v>49</v>
      </c>
      <c r="H33" s="9">
        <v>77.400000000000006</v>
      </c>
      <c r="I33" s="14">
        <f>'PIVOT TABLES'!$B$26</f>
        <v>60.283999999999999</v>
      </c>
      <c r="J33" s="14">
        <f>'PIVOT TABLES'!$B$27-'PIVOT TABLES'!$B$26</f>
        <v>30.142000000000003</v>
      </c>
      <c r="K33" s="14">
        <f>'PIVOT TABLES'!$B$28-'PIVOT TABLES'!$B$27</f>
        <v>30.141999999999996</v>
      </c>
      <c r="L33" s="14">
        <f>200-SUM(Table3[[#This Row],[D - LIGHT]:[D - VIGOROUS]])</f>
        <v>79.432000000000002</v>
      </c>
      <c r="M33" s="14">
        <f>'PIVOT TABLES'!$I$26</f>
        <v>65.603999999999999</v>
      </c>
      <c r="N33" s="14">
        <f>'PIVOT TABLES'!$I$27-'PIVOT TABLES'!$I$26</f>
        <v>32.802000000000007</v>
      </c>
      <c r="O33" s="14">
        <f>'PIVOT TABLES'!$I$28-'PIVOT TABLES'!$I$27</f>
        <v>32.801999999999992</v>
      </c>
      <c r="P33" s="14">
        <f>200-SUM(Table3[[#This Row],[M - LIGHT]:[M - VIGOROUS]])</f>
        <v>68.792000000000002</v>
      </c>
      <c r="Q33" s="14">
        <f>'PIVOT TABLES'!$P$26</f>
        <v>62.64</v>
      </c>
      <c r="R33" s="14">
        <f>'PIVOT TABLES'!$P$27-'PIVOT TABLES'!$P$26</f>
        <v>31.320000000000007</v>
      </c>
      <c r="S33" s="14">
        <f>'PIVOT TABLES'!$P$28-'PIVOT TABLES'!$P$27</f>
        <v>31.319999999999993</v>
      </c>
      <c r="T33" s="14">
        <f>200-SUM(Table3[[#This Row],[W - LIGHT]:[W - VIGOROUS]])</f>
        <v>74.72</v>
      </c>
      <c r="U33" s="14">
        <f>'PIVOT TABLES'!$W$26</f>
        <v>55.895999999999994</v>
      </c>
      <c r="V33" s="14">
        <f>'PIVOT TABLES'!$W$27-'PIVOT TABLES'!$W$26</f>
        <v>27.948</v>
      </c>
      <c r="W33" s="14">
        <f>'PIVOT TABLES'!$W$28-'PIVOT TABLES'!$W$27</f>
        <v>27.947999999999993</v>
      </c>
      <c r="X33" s="14">
        <f>200-SUM(Table3[[#This Row],[S - LIGHT]:[S - VIGOROUS]])</f>
        <v>88.208000000000013</v>
      </c>
    </row>
    <row r="34" spans="1:24" x14ac:dyDescent="0.25">
      <c r="A34" s="13" t="s">
        <v>2</v>
      </c>
      <c r="B34" s="13" t="str">
        <f t="shared" si="0"/>
        <v>Defender</v>
      </c>
      <c r="C34" s="7">
        <v>45216</v>
      </c>
      <c r="D34" s="14">
        <v>6865</v>
      </c>
      <c r="E34" s="14">
        <v>27</v>
      </c>
      <c r="F34" s="14">
        <v>22</v>
      </c>
      <c r="G34" s="14">
        <v>40</v>
      </c>
      <c r="H34" s="9">
        <v>71.14</v>
      </c>
      <c r="I34" s="14">
        <f>'PIVOT TABLES'!$B$26</f>
        <v>60.283999999999999</v>
      </c>
      <c r="J34" s="14">
        <f>'PIVOT TABLES'!$B$27-'PIVOT TABLES'!$B$26</f>
        <v>30.142000000000003</v>
      </c>
      <c r="K34" s="14">
        <f>'PIVOT TABLES'!$B$28-'PIVOT TABLES'!$B$27</f>
        <v>30.141999999999996</v>
      </c>
      <c r="L34" s="14">
        <f>200-SUM(Table3[[#This Row],[D - LIGHT]:[D - VIGOROUS]])</f>
        <v>79.432000000000002</v>
      </c>
      <c r="M34" s="14">
        <f>'PIVOT TABLES'!$I$26</f>
        <v>65.603999999999999</v>
      </c>
      <c r="N34" s="14">
        <f>'PIVOT TABLES'!$I$27-'PIVOT TABLES'!$I$26</f>
        <v>32.802000000000007</v>
      </c>
      <c r="O34" s="14">
        <f>'PIVOT TABLES'!$I$28-'PIVOT TABLES'!$I$27</f>
        <v>32.801999999999992</v>
      </c>
      <c r="P34" s="14">
        <f>200-SUM(Table3[[#This Row],[M - LIGHT]:[M - VIGOROUS]])</f>
        <v>68.792000000000002</v>
      </c>
      <c r="Q34" s="14">
        <f>'PIVOT TABLES'!$P$26</f>
        <v>62.64</v>
      </c>
      <c r="R34" s="14">
        <f>'PIVOT TABLES'!$P$27-'PIVOT TABLES'!$P$26</f>
        <v>31.320000000000007</v>
      </c>
      <c r="S34" s="14">
        <f>'PIVOT TABLES'!$P$28-'PIVOT TABLES'!$P$27</f>
        <v>31.319999999999993</v>
      </c>
      <c r="T34" s="14">
        <f>200-SUM(Table3[[#This Row],[W - LIGHT]:[W - VIGOROUS]])</f>
        <v>74.72</v>
      </c>
      <c r="U34" s="14">
        <f>'PIVOT TABLES'!$W$26</f>
        <v>55.895999999999994</v>
      </c>
      <c r="V34" s="14">
        <f>'PIVOT TABLES'!$W$27-'PIVOT TABLES'!$W$26</f>
        <v>27.948</v>
      </c>
      <c r="W34" s="14">
        <f>'PIVOT TABLES'!$W$28-'PIVOT TABLES'!$W$27</f>
        <v>27.947999999999993</v>
      </c>
      <c r="X34" s="14">
        <f>200-SUM(Table3[[#This Row],[S - LIGHT]:[S - VIGOROUS]])</f>
        <v>88.208000000000013</v>
      </c>
    </row>
    <row r="35" spans="1:24" x14ac:dyDescent="0.25">
      <c r="A35" s="13" t="s">
        <v>3</v>
      </c>
      <c r="B35" s="13" t="str">
        <f t="shared" si="0"/>
        <v>Defender</v>
      </c>
      <c r="C35" s="7">
        <v>45216</v>
      </c>
      <c r="D35" s="14">
        <v>8055</v>
      </c>
      <c r="E35" s="14">
        <v>65</v>
      </c>
      <c r="F35" s="14">
        <v>47</v>
      </c>
      <c r="G35" s="14">
        <v>64</v>
      </c>
      <c r="H35" s="9">
        <v>85.66</v>
      </c>
      <c r="I35" s="14">
        <f>'PIVOT TABLES'!$B$26</f>
        <v>60.283999999999999</v>
      </c>
      <c r="J35" s="14">
        <f>'PIVOT TABLES'!$B$27-'PIVOT TABLES'!$B$26</f>
        <v>30.142000000000003</v>
      </c>
      <c r="K35" s="14">
        <f>'PIVOT TABLES'!$B$28-'PIVOT TABLES'!$B$27</f>
        <v>30.141999999999996</v>
      </c>
      <c r="L35" s="14">
        <f>200-SUM(Table3[[#This Row],[D - LIGHT]:[D - VIGOROUS]])</f>
        <v>79.432000000000002</v>
      </c>
      <c r="M35" s="14">
        <f>'PIVOT TABLES'!$I$26</f>
        <v>65.603999999999999</v>
      </c>
      <c r="N35" s="14">
        <f>'PIVOT TABLES'!$I$27-'PIVOT TABLES'!$I$26</f>
        <v>32.802000000000007</v>
      </c>
      <c r="O35" s="14">
        <f>'PIVOT TABLES'!$I$28-'PIVOT TABLES'!$I$27</f>
        <v>32.801999999999992</v>
      </c>
      <c r="P35" s="14">
        <f>200-SUM(Table3[[#This Row],[M - LIGHT]:[M - VIGOROUS]])</f>
        <v>68.792000000000002</v>
      </c>
      <c r="Q35" s="14">
        <f>'PIVOT TABLES'!$P$26</f>
        <v>62.64</v>
      </c>
      <c r="R35" s="14">
        <f>'PIVOT TABLES'!$P$27-'PIVOT TABLES'!$P$26</f>
        <v>31.320000000000007</v>
      </c>
      <c r="S35" s="14">
        <f>'PIVOT TABLES'!$P$28-'PIVOT TABLES'!$P$27</f>
        <v>31.319999999999993</v>
      </c>
      <c r="T35" s="14">
        <f>200-SUM(Table3[[#This Row],[W - LIGHT]:[W - VIGOROUS]])</f>
        <v>74.72</v>
      </c>
      <c r="U35" s="14">
        <f>'PIVOT TABLES'!$W$26</f>
        <v>55.895999999999994</v>
      </c>
      <c r="V35" s="14">
        <f>'PIVOT TABLES'!$W$27-'PIVOT TABLES'!$W$26</f>
        <v>27.948</v>
      </c>
      <c r="W35" s="14">
        <f>'PIVOT TABLES'!$W$28-'PIVOT TABLES'!$W$27</f>
        <v>27.947999999999993</v>
      </c>
      <c r="X35" s="14">
        <f>200-SUM(Table3[[#This Row],[S - LIGHT]:[S - VIGOROUS]])</f>
        <v>88.208000000000013</v>
      </c>
    </row>
    <row r="36" spans="1:24" x14ac:dyDescent="0.25">
      <c r="A36" s="13" t="s">
        <v>59</v>
      </c>
      <c r="B36" s="13" t="str">
        <f t="shared" si="0"/>
        <v>Striker</v>
      </c>
      <c r="C36" s="7">
        <v>45216</v>
      </c>
      <c r="D36" s="14">
        <v>7736</v>
      </c>
      <c r="E36" s="14">
        <v>7</v>
      </c>
      <c r="F36" s="14">
        <v>18</v>
      </c>
      <c r="G36" s="14">
        <v>29</v>
      </c>
      <c r="H36" s="9">
        <v>78.87</v>
      </c>
      <c r="I36" s="14">
        <f>'PIVOT TABLES'!$B$26</f>
        <v>60.283999999999999</v>
      </c>
      <c r="J36" s="14">
        <f>'PIVOT TABLES'!$B$27-'PIVOT TABLES'!$B$26</f>
        <v>30.142000000000003</v>
      </c>
      <c r="K36" s="14">
        <f>'PIVOT TABLES'!$B$28-'PIVOT TABLES'!$B$27</f>
        <v>30.141999999999996</v>
      </c>
      <c r="L36" s="14">
        <f>200-SUM(Table3[[#This Row],[D - LIGHT]:[D - VIGOROUS]])</f>
        <v>79.432000000000002</v>
      </c>
      <c r="M36" s="14">
        <f>'PIVOT TABLES'!$I$26</f>
        <v>65.603999999999999</v>
      </c>
      <c r="N36" s="14">
        <f>'PIVOT TABLES'!$I$27-'PIVOT TABLES'!$I$26</f>
        <v>32.802000000000007</v>
      </c>
      <c r="O36" s="14">
        <f>'PIVOT TABLES'!$I$28-'PIVOT TABLES'!$I$27</f>
        <v>32.801999999999992</v>
      </c>
      <c r="P36" s="14">
        <f>200-SUM(Table3[[#This Row],[M - LIGHT]:[M - VIGOROUS]])</f>
        <v>68.792000000000002</v>
      </c>
      <c r="Q36" s="14">
        <f>'PIVOT TABLES'!$P$26</f>
        <v>62.64</v>
      </c>
      <c r="R36" s="14">
        <f>'PIVOT TABLES'!$P$27-'PIVOT TABLES'!$P$26</f>
        <v>31.320000000000007</v>
      </c>
      <c r="S36" s="14">
        <f>'PIVOT TABLES'!$P$28-'PIVOT TABLES'!$P$27</f>
        <v>31.319999999999993</v>
      </c>
      <c r="T36" s="14">
        <f>200-SUM(Table3[[#This Row],[W - LIGHT]:[W - VIGOROUS]])</f>
        <v>74.72</v>
      </c>
      <c r="U36" s="14">
        <f>'PIVOT TABLES'!$W$26</f>
        <v>55.895999999999994</v>
      </c>
      <c r="V36" s="14">
        <f>'PIVOT TABLES'!$W$27-'PIVOT TABLES'!$W$26</f>
        <v>27.948</v>
      </c>
      <c r="W36" s="14">
        <f>'PIVOT TABLES'!$W$28-'PIVOT TABLES'!$W$27</f>
        <v>27.947999999999993</v>
      </c>
      <c r="X36" s="14">
        <f>200-SUM(Table3[[#This Row],[S - LIGHT]:[S - VIGOROUS]])</f>
        <v>88.208000000000013</v>
      </c>
    </row>
    <row r="37" spans="1:24" x14ac:dyDescent="0.25">
      <c r="A37" s="13" t="s">
        <v>4</v>
      </c>
      <c r="B37" s="13" t="str">
        <f t="shared" si="0"/>
        <v>Midfielder</v>
      </c>
      <c r="C37" s="7">
        <v>45216</v>
      </c>
      <c r="D37" s="14">
        <v>7313</v>
      </c>
      <c r="E37" s="14">
        <v>16</v>
      </c>
      <c r="F37" s="14">
        <v>17</v>
      </c>
      <c r="G37" s="14">
        <v>26</v>
      </c>
      <c r="H37" s="9">
        <v>74.81</v>
      </c>
      <c r="I37" s="14">
        <f>'PIVOT TABLES'!$B$26</f>
        <v>60.283999999999999</v>
      </c>
      <c r="J37" s="14">
        <f>'PIVOT TABLES'!$B$27-'PIVOT TABLES'!$B$26</f>
        <v>30.142000000000003</v>
      </c>
      <c r="K37" s="14">
        <f>'PIVOT TABLES'!$B$28-'PIVOT TABLES'!$B$27</f>
        <v>30.141999999999996</v>
      </c>
      <c r="L37" s="14">
        <f>200-SUM(Table3[[#This Row],[D - LIGHT]:[D - VIGOROUS]])</f>
        <v>79.432000000000002</v>
      </c>
      <c r="M37" s="14">
        <f>'PIVOT TABLES'!$I$26</f>
        <v>65.603999999999999</v>
      </c>
      <c r="N37" s="14">
        <f>'PIVOT TABLES'!$I$27-'PIVOT TABLES'!$I$26</f>
        <v>32.802000000000007</v>
      </c>
      <c r="O37" s="14">
        <f>'PIVOT TABLES'!$I$28-'PIVOT TABLES'!$I$27</f>
        <v>32.801999999999992</v>
      </c>
      <c r="P37" s="14">
        <f>200-SUM(Table3[[#This Row],[M - LIGHT]:[M - VIGOROUS]])</f>
        <v>68.792000000000002</v>
      </c>
      <c r="Q37" s="14">
        <f>'PIVOT TABLES'!$P$26</f>
        <v>62.64</v>
      </c>
      <c r="R37" s="14">
        <f>'PIVOT TABLES'!$P$27-'PIVOT TABLES'!$P$26</f>
        <v>31.320000000000007</v>
      </c>
      <c r="S37" s="14">
        <f>'PIVOT TABLES'!$P$28-'PIVOT TABLES'!$P$27</f>
        <v>31.319999999999993</v>
      </c>
      <c r="T37" s="14">
        <f>200-SUM(Table3[[#This Row],[W - LIGHT]:[W - VIGOROUS]])</f>
        <v>74.72</v>
      </c>
      <c r="U37" s="14">
        <f>'PIVOT TABLES'!$W$26</f>
        <v>55.895999999999994</v>
      </c>
      <c r="V37" s="14">
        <f>'PIVOT TABLES'!$W$27-'PIVOT TABLES'!$W$26</f>
        <v>27.948</v>
      </c>
      <c r="W37" s="14">
        <f>'PIVOT TABLES'!$W$28-'PIVOT TABLES'!$W$27</f>
        <v>27.947999999999993</v>
      </c>
      <c r="X37" s="14">
        <f>200-SUM(Table3[[#This Row],[S - LIGHT]:[S - VIGOROUS]])</f>
        <v>88.208000000000013</v>
      </c>
    </row>
    <row r="38" spans="1:24" x14ac:dyDescent="0.25">
      <c r="A38" s="13" t="s">
        <v>60</v>
      </c>
      <c r="B38" s="13" t="str">
        <f t="shared" si="0"/>
        <v>Winger</v>
      </c>
      <c r="C38" s="7">
        <v>45216</v>
      </c>
      <c r="D38" s="14">
        <v>8596</v>
      </c>
      <c r="E38" s="14">
        <v>70</v>
      </c>
      <c r="F38" s="14">
        <v>39</v>
      </c>
      <c r="G38" s="14">
        <v>44</v>
      </c>
      <c r="H38" s="9">
        <v>90.5</v>
      </c>
      <c r="I38" s="14">
        <f>'PIVOT TABLES'!$B$26</f>
        <v>60.283999999999999</v>
      </c>
      <c r="J38" s="14">
        <f>'PIVOT TABLES'!$B$27-'PIVOT TABLES'!$B$26</f>
        <v>30.142000000000003</v>
      </c>
      <c r="K38" s="14">
        <f>'PIVOT TABLES'!$B$28-'PIVOT TABLES'!$B$27</f>
        <v>30.141999999999996</v>
      </c>
      <c r="L38" s="14">
        <f>200-SUM(Table3[[#This Row],[D - LIGHT]:[D - VIGOROUS]])</f>
        <v>79.432000000000002</v>
      </c>
      <c r="M38" s="14">
        <f>'PIVOT TABLES'!$I$26</f>
        <v>65.603999999999999</v>
      </c>
      <c r="N38" s="14">
        <f>'PIVOT TABLES'!$I$27-'PIVOT TABLES'!$I$26</f>
        <v>32.802000000000007</v>
      </c>
      <c r="O38" s="14">
        <f>'PIVOT TABLES'!$I$28-'PIVOT TABLES'!$I$27</f>
        <v>32.801999999999992</v>
      </c>
      <c r="P38" s="14">
        <f>200-SUM(Table3[[#This Row],[M - LIGHT]:[M - VIGOROUS]])</f>
        <v>68.792000000000002</v>
      </c>
      <c r="Q38" s="14">
        <f>'PIVOT TABLES'!$P$26</f>
        <v>62.64</v>
      </c>
      <c r="R38" s="14">
        <f>'PIVOT TABLES'!$P$27-'PIVOT TABLES'!$P$26</f>
        <v>31.320000000000007</v>
      </c>
      <c r="S38" s="14">
        <f>'PIVOT TABLES'!$P$28-'PIVOT TABLES'!$P$27</f>
        <v>31.319999999999993</v>
      </c>
      <c r="T38" s="14">
        <f>200-SUM(Table3[[#This Row],[W - LIGHT]:[W - VIGOROUS]])</f>
        <v>74.72</v>
      </c>
      <c r="U38" s="14">
        <f>'PIVOT TABLES'!$W$26</f>
        <v>55.895999999999994</v>
      </c>
      <c r="V38" s="14">
        <f>'PIVOT TABLES'!$W$27-'PIVOT TABLES'!$W$26</f>
        <v>27.948</v>
      </c>
      <c r="W38" s="14">
        <f>'PIVOT TABLES'!$W$28-'PIVOT TABLES'!$W$27</f>
        <v>27.947999999999993</v>
      </c>
      <c r="X38" s="14">
        <f>200-SUM(Table3[[#This Row],[S - LIGHT]:[S - VIGOROUS]])</f>
        <v>88.208000000000013</v>
      </c>
    </row>
    <row r="39" spans="1:24" x14ac:dyDescent="0.25">
      <c r="A39" s="13" t="s">
        <v>61</v>
      </c>
      <c r="B39" s="13" t="str">
        <f t="shared" si="0"/>
        <v>####</v>
      </c>
      <c r="C39" s="7">
        <v>45216</v>
      </c>
      <c r="D39" s="14">
        <v>6933</v>
      </c>
      <c r="E39" s="14">
        <v>71</v>
      </c>
      <c r="F39" s="14">
        <v>24</v>
      </c>
      <c r="G39" s="14">
        <v>21</v>
      </c>
      <c r="H39" s="9">
        <v>72.84</v>
      </c>
      <c r="I39" s="14">
        <f>'PIVOT TABLES'!$B$26</f>
        <v>60.283999999999999</v>
      </c>
      <c r="J39" s="14">
        <f>'PIVOT TABLES'!$B$27-'PIVOT TABLES'!$B$26</f>
        <v>30.142000000000003</v>
      </c>
      <c r="K39" s="14">
        <f>'PIVOT TABLES'!$B$28-'PIVOT TABLES'!$B$27</f>
        <v>30.141999999999996</v>
      </c>
      <c r="L39" s="14">
        <f>200-SUM(Table3[[#This Row],[D - LIGHT]:[D - VIGOROUS]])</f>
        <v>79.432000000000002</v>
      </c>
      <c r="M39" s="14">
        <f>'PIVOT TABLES'!$I$26</f>
        <v>65.603999999999999</v>
      </c>
      <c r="N39" s="14">
        <f>'PIVOT TABLES'!$I$27-'PIVOT TABLES'!$I$26</f>
        <v>32.802000000000007</v>
      </c>
      <c r="O39" s="14">
        <f>'PIVOT TABLES'!$I$28-'PIVOT TABLES'!$I$27</f>
        <v>32.801999999999992</v>
      </c>
      <c r="P39" s="14">
        <f>200-SUM(Table3[[#This Row],[M - LIGHT]:[M - VIGOROUS]])</f>
        <v>68.792000000000002</v>
      </c>
      <c r="Q39" s="14">
        <f>'PIVOT TABLES'!$P$26</f>
        <v>62.64</v>
      </c>
      <c r="R39" s="14">
        <f>'PIVOT TABLES'!$P$27-'PIVOT TABLES'!$P$26</f>
        <v>31.320000000000007</v>
      </c>
      <c r="S39" s="14">
        <f>'PIVOT TABLES'!$P$28-'PIVOT TABLES'!$P$27</f>
        <v>31.319999999999993</v>
      </c>
      <c r="T39" s="14">
        <f>200-SUM(Table3[[#This Row],[W - LIGHT]:[W - VIGOROUS]])</f>
        <v>74.72</v>
      </c>
      <c r="U39" s="14">
        <f>'PIVOT TABLES'!$W$26</f>
        <v>55.895999999999994</v>
      </c>
      <c r="V39" s="14">
        <f>'PIVOT TABLES'!$W$27-'PIVOT TABLES'!$W$26</f>
        <v>27.948</v>
      </c>
      <c r="W39" s="14">
        <f>'PIVOT TABLES'!$W$28-'PIVOT TABLES'!$W$27</f>
        <v>27.947999999999993</v>
      </c>
      <c r="X39" s="14">
        <f>200-SUM(Table3[[#This Row],[S - LIGHT]:[S - VIGOROUS]])</f>
        <v>88.208000000000013</v>
      </c>
    </row>
    <row r="40" spans="1:24" x14ac:dyDescent="0.25">
      <c r="A40" s="13" t="s">
        <v>71</v>
      </c>
      <c r="B40" s="13" t="str">
        <f t="shared" si="0"/>
        <v>Midfielder</v>
      </c>
      <c r="C40" s="7">
        <v>45216</v>
      </c>
      <c r="D40" s="14">
        <v>7434</v>
      </c>
      <c r="E40" s="14">
        <v>17</v>
      </c>
      <c r="F40" s="14">
        <v>30</v>
      </c>
      <c r="G40" s="14">
        <v>18</v>
      </c>
      <c r="H40" s="9">
        <v>76.41</v>
      </c>
      <c r="I40" s="14">
        <f>'PIVOT TABLES'!$B$26</f>
        <v>60.283999999999999</v>
      </c>
      <c r="J40" s="14">
        <f>'PIVOT TABLES'!$B$27-'PIVOT TABLES'!$B$26</f>
        <v>30.142000000000003</v>
      </c>
      <c r="K40" s="14">
        <f>'PIVOT TABLES'!$B$28-'PIVOT TABLES'!$B$27</f>
        <v>30.141999999999996</v>
      </c>
      <c r="L40" s="14">
        <f>200-SUM(Table3[[#This Row],[D - LIGHT]:[D - VIGOROUS]])</f>
        <v>79.432000000000002</v>
      </c>
      <c r="M40" s="14">
        <f>'PIVOT TABLES'!$I$26</f>
        <v>65.603999999999999</v>
      </c>
      <c r="N40" s="14">
        <f>'PIVOT TABLES'!$I$27-'PIVOT TABLES'!$I$26</f>
        <v>32.802000000000007</v>
      </c>
      <c r="O40" s="14">
        <f>'PIVOT TABLES'!$I$28-'PIVOT TABLES'!$I$27</f>
        <v>32.801999999999992</v>
      </c>
      <c r="P40" s="14">
        <f>200-SUM(Table3[[#This Row],[M - LIGHT]:[M - VIGOROUS]])</f>
        <v>68.792000000000002</v>
      </c>
      <c r="Q40" s="14">
        <f>'PIVOT TABLES'!$P$26</f>
        <v>62.64</v>
      </c>
      <c r="R40" s="14">
        <f>'PIVOT TABLES'!$P$27-'PIVOT TABLES'!$P$26</f>
        <v>31.320000000000007</v>
      </c>
      <c r="S40" s="14">
        <f>'PIVOT TABLES'!$P$28-'PIVOT TABLES'!$P$27</f>
        <v>31.319999999999993</v>
      </c>
      <c r="T40" s="14">
        <f>200-SUM(Table3[[#This Row],[W - LIGHT]:[W - VIGOROUS]])</f>
        <v>74.72</v>
      </c>
      <c r="U40" s="14">
        <f>'PIVOT TABLES'!$W$26</f>
        <v>55.895999999999994</v>
      </c>
      <c r="V40" s="14">
        <f>'PIVOT TABLES'!$W$27-'PIVOT TABLES'!$W$26</f>
        <v>27.948</v>
      </c>
      <c r="W40" s="14">
        <f>'PIVOT TABLES'!$W$28-'PIVOT TABLES'!$W$27</f>
        <v>27.947999999999993</v>
      </c>
      <c r="X40" s="14">
        <f>200-SUM(Table3[[#This Row],[S - LIGHT]:[S - VIGOROUS]])</f>
        <v>88.208000000000013</v>
      </c>
    </row>
    <row r="41" spans="1:24" x14ac:dyDescent="0.25">
      <c r="A41" s="13" t="s">
        <v>5</v>
      </c>
      <c r="B41" s="13" t="str">
        <f t="shared" si="0"/>
        <v>Midfielder</v>
      </c>
      <c r="C41" s="7">
        <v>45216</v>
      </c>
      <c r="D41" s="14">
        <v>7102</v>
      </c>
      <c r="E41" s="14">
        <v>32</v>
      </c>
      <c r="F41" s="14">
        <v>15</v>
      </c>
      <c r="G41" s="14">
        <v>31</v>
      </c>
      <c r="H41" s="9">
        <v>73.2</v>
      </c>
      <c r="I41" s="14">
        <f>'PIVOT TABLES'!$B$26</f>
        <v>60.283999999999999</v>
      </c>
      <c r="J41" s="14">
        <f>'PIVOT TABLES'!$B$27-'PIVOT TABLES'!$B$26</f>
        <v>30.142000000000003</v>
      </c>
      <c r="K41" s="14">
        <f>'PIVOT TABLES'!$B$28-'PIVOT TABLES'!$B$27</f>
        <v>30.141999999999996</v>
      </c>
      <c r="L41" s="14">
        <f>200-SUM(Table3[[#This Row],[D - LIGHT]:[D - VIGOROUS]])</f>
        <v>79.432000000000002</v>
      </c>
      <c r="M41" s="14">
        <f>'PIVOT TABLES'!$I$26</f>
        <v>65.603999999999999</v>
      </c>
      <c r="N41" s="14">
        <f>'PIVOT TABLES'!$I$27-'PIVOT TABLES'!$I$26</f>
        <v>32.802000000000007</v>
      </c>
      <c r="O41" s="14">
        <f>'PIVOT TABLES'!$I$28-'PIVOT TABLES'!$I$27</f>
        <v>32.801999999999992</v>
      </c>
      <c r="P41" s="14">
        <f>200-SUM(Table3[[#This Row],[M - LIGHT]:[M - VIGOROUS]])</f>
        <v>68.792000000000002</v>
      </c>
      <c r="Q41" s="14">
        <f>'PIVOT TABLES'!$P$26</f>
        <v>62.64</v>
      </c>
      <c r="R41" s="14">
        <f>'PIVOT TABLES'!$P$27-'PIVOT TABLES'!$P$26</f>
        <v>31.320000000000007</v>
      </c>
      <c r="S41" s="14">
        <f>'PIVOT TABLES'!$P$28-'PIVOT TABLES'!$P$27</f>
        <v>31.319999999999993</v>
      </c>
      <c r="T41" s="14">
        <f>200-SUM(Table3[[#This Row],[W - LIGHT]:[W - VIGOROUS]])</f>
        <v>74.72</v>
      </c>
      <c r="U41" s="14">
        <f>'PIVOT TABLES'!$W$26</f>
        <v>55.895999999999994</v>
      </c>
      <c r="V41" s="14">
        <f>'PIVOT TABLES'!$W$27-'PIVOT TABLES'!$W$26</f>
        <v>27.948</v>
      </c>
      <c r="W41" s="14">
        <f>'PIVOT TABLES'!$W$28-'PIVOT TABLES'!$W$27</f>
        <v>27.947999999999993</v>
      </c>
      <c r="X41" s="14">
        <f>200-SUM(Table3[[#This Row],[S - LIGHT]:[S - VIGOROUS]])</f>
        <v>88.208000000000013</v>
      </c>
    </row>
    <row r="42" spans="1:24" x14ac:dyDescent="0.25">
      <c r="A42" s="13" t="s">
        <v>6</v>
      </c>
      <c r="B42" s="13" t="str">
        <f t="shared" si="0"/>
        <v>Midfielder</v>
      </c>
      <c r="C42" s="7">
        <v>45216</v>
      </c>
      <c r="D42" s="14">
        <v>7590</v>
      </c>
      <c r="E42" s="14">
        <v>58</v>
      </c>
      <c r="F42" s="14">
        <v>31</v>
      </c>
      <c r="G42" s="14">
        <v>39</v>
      </c>
      <c r="H42" s="9">
        <v>79.66</v>
      </c>
      <c r="I42" s="14">
        <f>'PIVOT TABLES'!$B$26</f>
        <v>60.283999999999999</v>
      </c>
      <c r="J42" s="14">
        <f>'PIVOT TABLES'!$B$27-'PIVOT TABLES'!$B$26</f>
        <v>30.142000000000003</v>
      </c>
      <c r="K42" s="14">
        <f>'PIVOT TABLES'!$B$28-'PIVOT TABLES'!$B$27</f>
        <v>30.141999999999996</v>
      </c>
      <c r="L42" s="14">
        <f>200-SUM(Table3[[#This Row],[D - LIGHT]:[D - VIGOROUS]])</f>
        <v>79.432000000000002</v>
      </c>
      <c r="M42" s="14">
        <f>'PIVOT TABLES'!$I$26</f>
        <v>65.603999999999999</v>
      </c>
      <c r="N42" s="14">
        <f>'PIVOT TABLES'!$I$27-'PIVOT TABLES'!$I$26</f>
        <v>32.802000000000007</v>
      </c>
      <c r="O42" s="14">
        <f>'PIVOT TABLES'!$I$28-'PIVOT TABLES'!$I$27</f>
        <v>32.801999999999992</v>
      </c>
      <c r="P42" s="14">
        <f>200-SUM(Table3[[#This Row],[M - LIGHT]:[M - VIGOROUS]])</f>
        <v>68.792000000000002</v>
      </c>
      <c r="Q42" s="14">
        <f>'PIVOT TABLES'!$P$26</f>
        <v>62.64</v>
      </c>
      <c r="R42" s="14">
        <f>'PIVOT TABLES'!$P$27-'PIVOT TABLES'!$P$26</f>
        <v>31.320000000000007</v>
      </c>
      <c r="S42" s="14">
        <f>'PIVOT TABLES'!$P$28-'PIVOT TABLES'!$P$27</f>
        <v>31.319999999999993</v>
      </c>
      <c r="T42" s="14">
        <f>200-SUM(Table3[[#This Row],[W - LIGHT]:[W - VIGOROUS]])</f>
        <v>74.72</v>
      </c>
      <c r="U42" s="14">
        <f>'PIVOT TABLES'!$W$26</f>
        <v>55.895999999999994</v>
      </c>
      <c r="V42" s="14">
        <f>'PIVOT TABLES'!$W$27-'PIVOT TABLES'!$W$26</f>
        <v>27.948</v>
      </c>
      <c r="W42" s="14">
        <f>'PIVOT TABLES'!$W$28-'PIVOT TABLES'!$W$27</f>
        <v>27.947999999999993</v>
      </c>
      <c r="X42" s="14">
        <f>200-SUM(Table3[[#This Row],[S - LIGHT]:[S - VIGOROUS]])</f>
        <v>88.208000000000013</v>
      </c>
    </row>
    <row r="43" spans="1:24" x14ac:dyDescent="0.25">
      <c r="A43" s="13" t="s">
        <v>62</v>
      </c>
      <c r="B43" s="13" t="str">
        <f t="shared" si="0"/>
        <v>Midfielder</v>
      </c>
      <c r="C43" s="7">
        <v>45216</v>
      </c>
      <c r="D43" s="14">
        <v>7411</v>
      </c>
      <c r="E43" s="14">
        <v>22</v>
      </c>
      <c r="F43" s="14">
        <v>20</v>
      </c>
      <c r="G43" s="14">
        <v>35</v>
      </c>
      <c r="H43" s="9">
        <v>76.27</v>
      </c>
      <c r="I43" s="14">
        <f>'PIVOT TABLES'!$B$26</f>
        <v>60.283999999999999</v>
      </c>
      <c r="J43" s="14">
        <f>'PIVOT TABLES'!$B$27-'PIVOT TABLES'!$B$26</f>
        <v>30.142000000000003</v>
      </c>
      <c r="K43" s="14">
        <f>'PIVOT TABLES'!$B$28-'PIVOT TABLES'!$B$27</f>
        <v>30.141999999999996</v>
      </c>
      <c r="L43" s="14">
        <f>200-SUM(Table3[[#This Row],[D - LIGHT]:[D - VIGOROUS]])</f>
        <v>79.432000000000002</v>
      </c>
      <c r="M43" s="14">
        <f>'PIVOT TABLES'!$I$26</f>
        <v>65.603999999999999</v>
      </c>
      <c r="N43" s="14">
        <f>'PIVOT TABLES'!$I$27-'PIVOT TABLES'!$I$26</f>
        <v>32.802000000000007</v>
      </c>
      <c r="O43" s="14">
        <f>'PIVOT TABLES'!$I$28-'PIVOT TABLES'!$I$27</f>
        <v>32.801999999999992</v>
      </c>
      <c r="P43" s="14">
        <f>200-SUM(Table3[[#This Row],[M - LIGHT]:[M - VIGOROUS]])</f>
        <v>68.792000000000002</v>
      </c>
      <c r="Q43" s="14">
        <f>'PIVOT TABLES'!$P$26</f>
        <v>62.64</v>
      </c>
      <c r="R43" s="14">
        <f>'PIVOT TABLES'!$P$27-'PIVOT TABLES'!$P$26</f>
        <v>31.320000000000007</v>
      </c>
      <c r="S43" s="14">
        <f>'PIVOT TABLES'!$P$28-'PIVOT TABLES'!$P$27</f>
        <v>31.319999999999993</v>
      </c>
      <c r="T43" s="14">
        <f>200-SUM(Table3[[#This Row],[W - LIGHT]:[W - VIGOROUS]])</f>
        <v>74.72</v>
      </c>
      <c r="U43" s="14">
        <f>'PIVOT TABLES'!$W$26</f>
        <v>55.895999999999994</v>
      </c>
      <c r="V43" s="14">
        <f>'PIVOT TABLES'!$W$27-'PIVOT TABLES'!$W$26</f>
        <v>27.948</v>
      </c>
      <c r="W43" s="14">
        <f>'PIVOT TABLES'!$W$28-'PIVOT TABLES'!$W$27</f>
        <v>27.947999999999993</v>
      </c>
      <c r="X43" s="14">
        <f>200-SUM(Table3[[#This Row],[S - LIGHT]:[S - VIGOROUS]])</f>
        <v>88.208000000000013</v>
      </c>
    </row>
    <row r="44" spans="1:24" x14ac:dyDescent="0.25">
      <c r="A44" s="13" t="s">
        <v>63</v>
      </c>
      <c r="B44" s="13" t="str">
        <f t="shared" si="0"/>
        <v>Winger</v>
      </c>
      <c r="C44" s="7">
        <v>45216</v>
      </c>
      <c r="D44" s="14">
        <v>7340</v>
      </c>
      <c r="E44" s="14">
        <v>92</v>
      </c>
      <c r="F44" s="14">
        <v>31</v>
      </c>
      <c r="G44" s="14">
        <v>31</v>
      </c>
      <c r="H44" s="9">
        <v>78.02</v>
      </c>
      <c r="I44" s="14">
        <f>'PIVOT TABLES'!$B$26</f>
        <v>60.283999999999999</v>
      </c>
      <c r="J44" s="14">
        <f>'PIVOT TABLES'!$B$27-'PIVOT TABLES'!$B$26</f>
        <v>30.142000000000003</v>
      </c>
      <c r="K44" s="14">
        <f>'PIVOT TABLES'!$B$28-'PIVOT TABLES'!$B$27</f>
        <v>30.141999999999996</v>
      </c>
      <c r="L44" s="14">
        <f>200-SUM(Table3[[#This Row],[D - LIGHT]:[D - VIGOROUS]])</f>
        <v>79.432000000000002</v>
      </c>
      <c r="M44" s="14">
        <f>'PIVOT TABLES'!$I$26</f>
        <v>65.603999999999999</v>
      </c>
      <c r="N44" s="14">
        <f>'PIVOT TABLES'!$I$27-'PIVOT TABLES'!$I$26</f>
        <v>32.802000000000007</v>
      </c>
      <c r="O44" s="14">
        <f>'PIVOT TABLES'!$I$28-'PIVOT TABLES'!$I$27</f>
        <v>32.801999999999992</v>
      </c>
      <c r="P44" s="14">
        <f>200-SUM(Table3[[#This Row],[M - LIGHT]:[M - VIGOROUS]])</f>
        <v>68.792000000000002</v>
      </c>
      <c r="Q44" s="14">
        <f>'PIVOT TABLES'!$P$26</f>
        <v>62.64</v>
      </c>
      <c r="R44" s="14">
        <f>'PIVOT TABLES'!$P$27-'PIVOT TABLES'!$P$26</f>
        <v>31.320000000000007</v>
      </c>
      <c r="S44" s="14">
        <f>'PIVOT TABLES'!$P$28-'PIVOT TABLES'!$P$27</f>
        <v>31.319999999999993</v>
      </c>
      <c r="T44" s="14">
        <f>200-SUM(Table3[[#This Row],[W - LIGHT]:[W - VIGOROUS]])</f>
        <v>74.72</v>
      </c>
      <c r="U44" s="14">
        <f>'PIVOT TABLES'!$W$26</f>
        <v>55.895999999999994</v>
      </c>
      <c r="V44" s="14">
        <f>'PIVOT TABLES'!$W$27-'PIVOT TABLES'!$W$26</f>
        <v>27.948</v>
      </c>
      <c r="W44" s="14">
        <f>'PIVOT TABLES'!$W$28-'PIVOT TABLES'!$W$27</f>
        <v>27.947999999999993</v>
      </c>
      <c r="X44" s="14">
        <f>200-SUM(Table3[[#This Row],[S - LIGHT]:[S - VIGOROUS]])</f>
        <v>88.208000000000013</v>
      </c>
    </row>
    <row r="45" spans="1:24" x14ac:dyDescent="0.25">
      <c r="A45" s="13" t="s">
        <v>64</v>
      </c>
      <c r="B45" s="13" t="str">
        <f t="shared" si="0"/>
        <v>Midfielder</v>
      </c>
      <c r="C45" s="7">
        <v>45216</v>
      </c>
      <c r="D45" s="14">
        <v>8352</v>
      </c>
      <c r="E45" s="14">
        <v>49</v>
      </c>
      <c r="F45" s="14">
        <v>52</v>
      </c>
      <c r="G45" s="14">
        <v>50</v>
      </c>
      <c r="H45" s="9">
        <v>88.07</v>
      </c>
      <c r="I45" s="14">
        <f>'PIVOT TABLES'!$B$26</f>
        <v>60.283999999999999</v>
      </c>
      <c r="J45" s="14">
        <f>'PIVOT TABLES'!$B$27-'PIVOT TABLES'!$B$26</f>
        <v>30.142000000000003</v>
      </c>
      <c r="K45" s="14">
        <f>'PIVOT TABLES'!$B$28-'PIVOT TABLES'!$B$27</f>
        <v>30.141999999999996</v>
      </c>
      <c r="L45" s="14">
        <f>200-SUM(Table3[[#This Row],[D - LIGHT]:[D - VIGOROUS]])</f>
        <v>79.432000000000002</v>
      </c>
      <c r="M45" s="14">
        <f>'PIVOT TABLES'!$I$26</f>
        <v>65.603999999999999</v>
      </c>
      <c r="N45" s="14">
        <f>'PIVOT TABLES'!$I$27-'PIVOT TABLES'!$I$26</f>
        <v>32.802000000000007</v>
      </c>
      <c r="O45" s="14">
        <f>'PIVOT TABLES'!$I$28-'PIVOT TABLES'!$I$27</f>
        <v>32.801999999999992</v>
      </c>
      <c r="P45" s="14">
        <f>200-SUM(Table3[[#This Row],[M - LIGHT]:[M - VIGOROUS]])</f>
        <v>68.792000000000002</v>
      </c>
      <c r="Q45" s="14">
        <f>'PIVOT TABLES'!$P$26</f>
        <v>62.64</v>
      </c>
      <c r="R45" s="14">
        <f>'PIVOT TABLES'!$P$27-'PIVOT TABLES'!$P$26</f>
        <v>31.320000000000007</v>
      </c>
      <c r="S45" s="14">
        <f>'PIVOT TABLES'!$P$28-'PIVOT TABLES'!$P$27</f>
        <v>31.319999999999993</v>
      </c>
      <c r="T45" s="14">
        <f>200-SUM(Table3[[#This Row],[W - LIGHT]:[W - VIGOROUS]])</f>
        <v>74.72</v>
      </c>
      <c r="U45" s="14">
        <f>'PIVOT TABLES'!$W$26</f>
        <v>55.895999999999994</v>
      </c>
      <c r="V45" s="14">
        <f>'PIVOT TABLES'!$W$27-'PIVOT TABLES'!$W$26</f>
        <v>27.948</v>
      </c>
      <c r="W45" s="14">
        <f>'PIVOT TABLES'!$W$28-'PIVOT TABLES'!$W$27</f>
        <v>27.947999999999993</v>
      </c>
      <c r="X45" s="14">
        <f>200-SUM(Table3[[#This Row],[S - LIGHT]:[S - VIGOROUS]])</f>
        <v>88.208000000000013</v>
      </c>
    </row>
    <row r="46" spans="1:24" x14ac:dyDescent="0.25">
      <c r="A46" s="13" t="s">
        <v>65</v>
      </c>
      <c r="B46" s="13" t="str">
        <f t="shared" si="0"/>
        <v>Winger</v>
      </c>
      <c r="C46" s="7">
        <v>45216</v>
      </c>
      <c r="D46" s="14">
        <v>8557</v>
      </c>
      <c r="E46" s="14">
        <v>182</v>
      </c>
      <c r="F46" s="14">
        <v>39</v>
      </c>
      <c r="G46" s="14">
        <v>55</v>
      </c>
      <c r="H46" s="9">
        <v>93.69</v>
      </c>
      <c r="I46" s="14">
        <f>'PIVOT TABLES'!$B$26</f>
        <v>60.283999999999999</v>
      </c>
      <c r="J46" s="14">
        <f>'PIVOT TABLES'!$B$27-'PIVOT TABLES'!$B$26</f>
        <v>30.142000000000003</v>
      </c>
      <c r="K46" s="14">
        <f>'PIVOT TABLES'!$B$28-'PIVOT TABLES'!$B$27</f>
        <v>30.141999999999996</v>
      </c>
      <c r="L46" s="14">
        <f>200-SUM(Table3[[#This Row],[D - LIGHT]:[D - VIGOROUS]])</f>
        <v>79.432000000000002</v>
      </c>
      <c r="M46" s="14">
        <f>'PIVOT TABLES'!$I$26</f>
        <v>65.603999999999999</v>
      </c>
      <c r="N46" s="14">
        <f>'PIVOT TABLES'!$I$27-'PIVOT TABLES'!$I$26</f>
        <v>32.802000000000007</v>
      </c>
      <c r="O46" s="14">
        <f>'PIVOT TABLES'!$I$28-'PIVOT TABLES'!$I$27</f>
        <v>32.801999999999992</v>
      </c>
      <c r="P46" s="14">
        <f>200-SUM(Table3[[#This Row],[M - LIGHT]:[M - VIGOROUS]])</f>
        <v>68.792000000000002</v>
      </c>
      <c r="Q46" s="14">
        <f>'PIVOT TABLES'!$P$26</f>
        <v>62.64</v>
      </c>
      <c r="R46" s="14">
        <f>'PIVOT TABLES'!$P$27-'PIVOT TABLES'!$P$26</f>
        <v>31.320000000000007</v>
      </c>
      <c r="S46" s="14">
        <f>'PIVOT TABLES'!$P$28-'PIVOT TABLES'!$P$27</f>
        <v>31.319999999999993</v>
      </c>
      <c r="T46" s="14">
        <f>200-SUM(Table3[[#This Row],[W - LIGHT]:[W - VIGOROUS]])</f>
        <v>74.72</v>
      </c>
      <c r="U46" s="14">
        <f>'PIVOT TABLES'!$W$26</f>
        <v>55.895999999999994</v>
      </c>
      <c r="V46" s="14">
        <f>'PIVOT TABLES'!$W$27-'PIVOT TABLES'!$W$26</f>
        <v>27.948</v>
      </c>
      <c r="W46" s="14">
        <f>'PIVOT TABLES'!$W$28-'PIVOT TABLES'!$W$27</f>
        <v>27.947999999999993</v>
      </c>
      <c r="X46" s="14">
        <f>200-SUM(Table3[[#This Row],[S - LIGHT]:[S - VIGOROUS]])</f>
        <v>88.208000000000013</v>
      </c>
    </row>
    <row r="47" spans="1:24" x14ac:dyDescent="0.25">
      <c r="A47" s="13" t="s">
        <v>66</v>
      </c>
      <c r="B47" s="13" t="str">
        <f t="shared" si="0"/>
        <v>Striker</v>
      </c>
      <c r="C47" s="7">
        <v>45216</v>
      </c>
      <c r="D47" s="14">
        <v>8415</v>
      </c>
      <c r="E47" s="14">
        <v>75</v>
      </c>
      <c r="F47" s="14">
        <v>41</v>
      </c>
      <c r="G47" s="14">
        <v>44</v>
      </c>
      <c r="H47" s="9">
        <v>88.92</v>
      </c>
      <c r="I47" s="14">
        <f>'PIVOT TABLES'!$B$26</f>
        <v>60.283999999999999</v>
      </c>
      <c r="J47" s="14">
        <f>'PIVOT TABLES'!$B$27-'PIVOT TABLES'!$B$26</f>
        <v>30.142000000000003</v>
      </c>
      <c r="K47" s="14">
        <f>'PIVOT TABLES'!$B$28-'PIVOT TABLES'!$B$27</f>
        <v>30.141999999999996</v>
      </c>
      <c r="L47" s="14">
        <f>200-SUM(Table3[[#This Row],[D - LIGHT]:[D - VIGOROUS]])</f>
        <v>79.432000000000002</v>
      </c>
      <c r="M47" s="14">
        <f>'PIVOT TABLES'!$I$26</f>
        <v>65.603999999999999</v>
      </c>
      <c r="N47" s="14">
        <f>'PIVOT TABLES'!$I$27-'PIVOT TABLES'!$I$26</f>
        <v>32.802000000000007</v>
      </c>
      <c r="O47" s="14">
        <f>'PIVOT TABLES'!$I$28-'PIVOT TABLES'!$I$27</f>
        <v>32.801999999999992</v>
      </c>
      <c r="P47" s="14">
        <f>200-SUM(Table3[[#This Row],[M - LIGHT]:[M - VIGOROUS]])</f>
        <v>68.792000000000002</v>
      </c>
      <c r="Q47" s="14">
        <f>'PIVOT TABLES'!$P$26</f>
        <v>62.64</v>
      </c>
      <c r="R47" s="14">
        <f>'PIVOT TABLES'!$P$27-'PIVOT TABLES'!$P$26</f>
        <v>31.320000000000007</v>
      </c>
      <c r="S47" s="14">
        <f>'PIVOT TABLES'!$P$28-'PIVOT TABLES'!$P$27</f>
        <v>31.319999999999993</v>
      </c>
      <c r="T47" s="14">
        <f>200-SUM(Table3[[#This Row],[W - LIGHT]:[W - VIGOROUS]])</f>
        <v>74.72</v>
      </c>
      <c r="U47" s="14">
        <f>'PIVOT TABLES'!$W$26</f>
        <v>55.895999999999994</v>
      </c>
      <c r="V47" s="14">
        <f>'PIVOT TABLES'!$W$27-'PIVOT TABLES'!$W$26</f>
        <v>27.948</v>
      </c>
      <c r="W47" s="14">
        <f>'PIVOT TABLES'!$W$28-'PIVOT TABLES'!$W$27</f>
        <v>27.947999999999993</v>
      </c>
      <c r="X47" s="14">
        <f>200-SUM(Table3[[#This Row],[S - LIGHT]:[S - VIGOROUS]])</f>
        <v>88.208000000000013</v>
      </c>
    </row>
    <row r="48" spans="1:24" x14ac:dyDescent="0.25">
      <c r="A48" s="13" t="s">
        <v>8</v>
      </c>
      <c r="B48" s="13" t="str">
        <f t="shared" si="0"/>
        <v>Striker</v>
      </c>
      <c r="C48" s="7">
        <v>45216</v>
      </c>
      <c r="D48" s="14">
        <v>8564</v>
      </c>
      <c r="E48" s="14">
        <v>54</v>
      </c>
      <c r="F48" s="14">
        <v>43</v>
      </c>
      <c r="G48" s="14">
        <v>58</v>
      </c>
      <c r="H48" s="9">
        <v>90.14</v>
      </c>
      <c r="I48" s="14">
        <f>'PIVOT TABLES'!$B$26</f>
        <v>60.283999999999999</v>
      </c>
      <c r="J48" s="14">
        <f>'PIVOT TABLES'!$B$27-'PIVOT TABLES'!$B$26</f>
        <v>30.142000000000003</v>
      </c>
      <c r="K48" s="14">
        <f>'PIVOT TABLES'!$B$28-'PIVOT TABLES'!$B$27</f>
        <v>30.141999999999996</v>
      </c>
      <c r="L48" s="14">
        <f>200-SUM(Table3[[#This Row],[D - LIGHT]:[D - VIGOROUS]])</f>
        <v>79.432000000000002</v>
      </c>
      <c r="M48" s="14">
        <f>'PIVOT TABLES'!$I$26</f>
        <v>65.603999999999999</v>
      </c>
      <c r="N48" s="14">
        <f>'PIVOT TABLES'!$I$27-'PIVOT TABLES'!$I$26</f>
        <v>32.802000000000007</v>
      </c>
      <c r="O48" s="14">
        <f>'PIVOT TABLES'!$I$28-'PIVOT TABLES'!$I$27</f>
        <v>32.801999999999992</v>
      </c>
      <c r="P48" s="14">
        <f>200-SUM(Table3[[#This Row],[M - LIGHT]:[M - VIGOROUS]])</f>
        <v>68.792000000000002</v>
      </c>
      <c r="Q48" s="14">
        <f>'PIVOT TABLES'!$P$26</f>
        <v>62.64</v>
      </c>
      <c r="R48" s="14">
        <f>'PIVOT TABLES'!$P$27-'PIVOT TABLES'!$P$26</f>
        <v>31.320000000000007</v>
      </c>
      <c r="S48" s="14">
        <f>'PIVOT TABLES'!$P$28-'PIVOT TABLES'!$P$27</f>
        <v>31.319999999999993</v>
      </c>
      <c r="T48" s="14">
        <f>200-SUM(Table3[[#This Row],[W - LIGHT]:[W - VIGOROUS]])</f>
        <v>74.72</v>
      </c>
      <c r="U48" s="14">
        <f>'PIVOT TABLES'!$W$26</f>
        <v>55.895999999999994</v>
      </c>
      <c r="V48" s="14">
        <f>'PIVOT TABLES'!$W$27-'PIVOT TABLES'!$W$26</f>
        <v>27.948</v>
      </c>
      <c r="W48" s="14">
        <f>'PIVOT TABLES'!$W$28-'PIVOT TABLES'!$W$27</f>
        <v>27.947999999999993</v>
      </c>
      <c r="X48" s="14">
        <f>200-SUM(Table3[[#This Row],[S - LIGHT]:[S - VIGOROUS]])</f>
        <v>88.208000000000013</v>
      </c>
    </row>
    <row r="49" spans="1:24" x14ac:dyDescent="0.25">
      <c r="A49" s="13" t="s">
        <v>67</v>
      </c>
      <c r="B49" s="13" t="str">
        <f t="shared" si="0"/>
        <v>Midfielder</v>
      </c>
      <c r="C49" s="7">
        <v>45216</v>
      </c>
      <c r="D49" s="14">
        <v>8505</v>
      </c>
      <c r="E49" s="14">
        <v>44</v>
      </c>
      <c r="F49" s="14">
        <v>46</v>
      </c>
      <c r="G49" s="14">
        <v>40</v>
      </c>
      <c r="H49" s="9">
        <v>89.01</v>
      </c>
      <c r="I49" s="14">
        <f>'PIVOT TABLES'!$B$26</f>
        <v>60.283999999999999</v>
      </c>
      <c r="J49" s="14">
        <f>'PIVOT TABLES'!$B$27-'PIVOT TABLES'!$B$26</f>
        <v>30.142000000000003</v>
      </c>
      <c r="K49" s="14">
        <f>'PIVOT TABLES'!$B$28-'PIVOT TABLES'!$B$27</f>
        <v>30.141999999999996</v>
      </c>
      <c r="L49" s="14">
        <f>200-SUM(Table3[[#This Row],[D - LIGHT]:[D - VIGOROUS]])</f>
        <v>79.432000000000002</v>
      </c>
      <c r="M49" s="14">
        <f>'PIVOT TABLES'!$I$26</f>
        <v>65.603999999999999</v>
      </c>
      <c r="N49" s="14">
        <f>'PIVOT TABLES'!$I$27-'PIVOT TABLES'!$I$26</f>
        <v>32.802000000000007</v>
      </c>
      <c r="O49" s="14">
        <f>'PIVOT TABLES'!$I$28-'PIVOT TABLES'!$I$27</f>
        <v>32.801999999999992</v>
      </c>
      <c r="P49" s="14">
        <f>200-SUM(Table3[[#This Row],[M - LIGHT]:[M - VIGOROUS]])</f>
        <v>68.792000000000002</v>
      </c>
      <c r="Q49" s="14">
        <f>'PIVOT TABLES'!$P$26</f>
        <v>62.64</v>
      </c>
      <c r="R49" s="14">
        <f>'PIVOT TABLES'!$P$27-'PIVOT TABLES'!$P$26</f>
        <v>31.320000000000007</v>
      </c>
      <c r="S49" s="14">
        <f>'PIVOT TABLES'!$P$28-'PIVOT TABLES'!$P$27</f>
        <v>31.319999999999993</v>
      </c>
      <c r="T49" s="14">
        <f>200-SUM(Table3[[#This Row],[W - LIGHT]:[W - VIGOROUS]])</f>
        <v>74.72</v>
      </c>
      <c r="U49" s="14">
        <f>'PIVOT TABLES'!$W$26</f>
        <v>55.895999999999994</v>
      </c>
      <c r="V49" s="14">
        <f>'PIVOT TABLES'!$W$27-'PIVOT TABLES'!$W$26</f>
        <v>27.948</v>
      </c>
      <c r="W49" s="14">
        <f>'PIVOT TABLES'!$W$28-'PIVOT TABLES'!$W$27</f>
        <v>27.947999999999993</v>
      </c>
      <c r="X49" s="14">
        <f>200-SUM(Table3[[#This Row],[S - LIGHT]:[S - VIGOROUS]])</f>
        <v>88.208000000000013</v>
      </c>
    </row>
    <row r="50" spans="1:24" x14ac:dyDescent="0.25">
      <c r="A50" s="13" t="s">
        <v>68</v>
      </c>
      <c r="B50" s="13" t="str">
        <f t="shared" si="0"/>
        <v>####</v>
      </c>
      <c r="C50" s="7">
        <v>45216</v>
      </c>
      <c r="D50" s="14">
        <v>70</v>
      </c>
      <c r="E50" s="14">
        <v>0</v>
      </c>
      <c r="F50" s="14">
        <v>0</v>
      </c>
      <c r="G50" s="14">
        <v>0</v>
      </c>
      <c r="H50" s="9">
        <v>0.7</v>
      </c>
      <c r="I50" s="14">
        <f>'PIVOT TABLES'!$B$26</f>
        <v>60.283999999999999</v>
      </c>
      <c r="J50" s="14">
        <f>'PIVOT TABLES'!$B$27-'PIVOT TABLES'!$B$26</f>
        <v>30.142000000000003</v>
      </c>
      <c r="K50" s="14">
        <f>'PIVOT TABLES'!$B$28-'PIVOT TABLES'!$B$27</f>
        <v>30.141999999999996</v>
      </c>
      <c r="L50" s="14">
        <f>200-SUM(Table3[[#This Row],[D - LIGHT]:[D - VIGOROUS]])</f>
        <v>79.432000000000002</v>
      </c>
      <c r="M50" s="14">
        <f>'PIVOT TABLES'!$I$26</f>
        <v>65.603999999999999</v>
      </c>
      <c r="N50" s="14">
        <f>'PIVOT TABLES'!$I$27-'PIVOT TABLES'!$I$26</f>
        <v>32.802000000000007</v>
      </c>
      <c r="O50" s="14">
        <f>'PIVOT TABLES'!$I$28-'PIVOT TABLES'!$I$27</f>
        <v>32.801999999999992</v>
      </c>
      <c r="P50" s="14">
        <f>200-SUM(Table3[[#This Row],[M - LIGHT]:[M - VIGOROUS]])</f>
        <v>68.792000000000002</v>
      </c>
      <c r="Q50" s="14">
        <f>'PIVOT TABLES'!$P$26</f>
        <v>62.64</v>
      </c>
      <c r="R50" s="14">
        <f>'PIVOT TABLES'!$P$27-'PIVOT TABLES'!$P$26</f>
        <v>31.320000000000007</v>
      </c>
      <c r="S50" s="14">
        <f>'PIVOT TABLES'!$P$28-'PIVOT TABLES'!$P$27</f>
        <v>31.319999999999993</v>
      </c>
      <c r="T50" s="14">
        <f>200-SUM(Table3[[#This Row],[W - LIGHT]:[W - VIGOROUS]])</f>
        <v>74.72</v>
      </c>
      <c r="U50" s="14">
        <f>'PIVOT TABLES'!$W$26</f>
        <v>55.895999999999994</v>
      </c>
      <c r="V50" s="14">
        <f>'PIVOT TABLES'!$W$27-'PIVOT TABLES'!$W$26</f>
        <v>27.948</v>
      </c>
      <c r="W50" s="14">
        <f>'PIVOT TABLES'!$W$28-'PIVOT TABLES'!$W$27</f>
        <v>27.947999999999993</v>
      </c>
      <c r="X50" s="14">
        <f>200-SUM(Table3[[#This Row],[S - LIGHT]:[S - VIGOROUS]])</f>
        <v>88.208000000000013</v>
      </c>
    </row>
    <row r="51" spans="1:24" x14ac:dyDescent="0.25">
      <c r="A51" s="13" t="s">
        <v>9</v>
      </c>
      <c r="B51" s="13" t="str">
        <f t="shared" si="0"/>
        <v>Striker</v>
      </c>
      <c r="C51" s="7">
        <v>45216</v>
      </c>
      <c r="D51" s="14">
        <v>8749</v>
      </c>
      <c r="E51" s="14">
        <v>9</v>
      </c>
      <c r="F51" s="14">
        <v>22</v>
      </c>
      <c r="G51" s="14">
        <v>32</v>
      </c>
      <c r="H51" s="9">
        <v>89.28</v>
      </c>
      <c r="I51" s="14">
        <f>'PIVOT TABLES'!$B$26</f>
        <v>60.283999999999999</v>
      </c>
      <c r="J51" s="14">
        <f>'PIVOT TABLES'!$B$27-'PIVOT TABLES'!$B$26</f>
        <v>30.142000000000003</v>
      </c>
      <c r="K51" s="14">
        <f>'PIVOT TABLES'!$B$28-'PIVOT TABLES'!$B$27</f>
        <v>30.141999999999996</v>
      </c>
      <c r="L51" s="14">
        <f>200-SUM(Table3[[#This Row],[D - LIGHT]:[D - VIGOROUS]])</f>
        <v>79.432000000000002</v>
      </c>
      <c r="M51" s="14">
        <f>'PIVOT TABLES'!$I$26</f>
        <v>65.603999999999999</v>
      </c>
      <c r="N51" s="14">
        <f>'PIVOT TABLES'!$I$27-'PIVOT TABLES'!$I$26</f>
        <v>32.802000000000007</v>
      </c>
      <c r="O51" s="14">
        <f>'PIVOT TABLES'!$I$28-'PIVOT TABLES'!$I$27</f>
        <v>32.801999999999992</v>
      </c>
      <c r="P51" s="14">
        <f>200-SUM(Table3[[#This Row],[M - LIGHT]:[M - VIGOROUS]])</f>
        <v>68.792000000000002</v>
      </c>
      <c r="Q51" s="14">
        <f>'PIVOT TABLES'!$P$26</f>
        <v>62.64</v>
      </c>
      <c r="R51" s="14">
        <f>'PIVOT TABLES'!$P$27-'PIVOT TABLES'!$P$26</f>
        <v>31.320000000000007</v>
      </c>
      <c r="S51" s="14">
        <f>'PIVOT TABLES'!$P$28-'PIVOT TABLES'!$P$27</f>
        <v>31.319999999999993</v>
      </c>
      <c r="T51" s="14">
        <f>200-SUM(Table3[[#This Row],[W - LIGHT]:[W - VIGOROUS]])</f>
        <v>74.72</v>
      </c>
      <c r="U51" s="14">
        <f>'PIVOT TABLES'!$W$26</f>
        <v>55.895999999999994</v>
      </c>
      <c r="V51" s="14">
        <f>'PIVOT TABLES'!$W$27-'PIVOT TABLES'!$W$26</f>
        <v>27.948</v>
      </c>
      <c r="W51" s="14">
        <f>'PIVOT TABLES'!$W$28-'PIVOT TABLES'!$W$27</f>
        <v>27.947999999999993</v>
      </c>
      <c r="X51" s="14">
        <f>200-SUM(Table3[[#This Row],[S - LIGHT]:[S - VIGOROUS]])</f>
        <v>88.208000000000013</v>
      </c>
    </row>
    <row r="52" spans="1:24" x14ac:dyDescent="0.25">
      <c r="A52" s="13" t="s">
        <v>69</v>
      </c>
      <c r="B52" s="13" t="str">
        <f t="shared" si="0"/>
        <v>Midfielder</v>
      </c>
      <c r="C52" s="7">
        <v>45216</v>
      </c>
      <c r="D52" s="14">
        <v>7542</v>
      </c>
      <c r="E52" s="14">
        <v>29</v>
      </c>
      <c r="F52" s="14">
        <v>23</v>
      </c>
      <c r="G52" s="14">
        <v>38</v>
      </c>
      <c r="H52" s="9">
        <v>77.97</v>
      </c>
      <c r="I52" s="14">
        <f>'PIVOT TABLES'!$B$26</f>
        <v>60.283999999999999</v>
      </c>
      <c r="J52" s="14">
        <f>'PIVOT TABLES'!$B$27-'PIVOT TABLES'!$B$26</f>
        <v>30.142000000000003</v>
      </c>
      <c r="K52" s="14">
        <f>'PIVOT TABLES'!$B$28-'PIVOT TABLES'!$B$27</f>
        <v>30.141999999999996</v>
      </c>
      <c r="L52" s="14">
        <f>200-SUM(Table3[[#This Row],[D - LIGHT]:[D - VIGOROUS]])</f>
        <v>79.432000000000002</v>
      </c>
      <c r="M52" s="14">
        <f>'PIVOT TABLES'!$I$26</f>
        <v>65.603999999999999</v>
      </c>
      <c r="N52" s="14">
        <f>'PIVOT TABLES'!$I$27-'PIVOT TABLES'!$I$26</f>
        <v>32.802000000000007</v>
      </c>
      <c r="O52" s="14">
        <f>'PIVOT TABLES'!$I$28-'PIVOT TABLES'!$I$27</f>
        <v>32.801999999999992</v>
      </c>
      <c r="P52" s="14">
        <f>200-SUM(Table3[[#This Row],[M - LIGHT]:[M - VIGOROUS]])</f>
        <v>68.792000000000002</v>
      </c>
      <c r="Q52" s="14">
        <f>'PIVOT TABLES'!$P$26</f>
        <v>62.64</v>
      </c>
      <c r="R52" s="14">
        <f>'PIVOT TABLES'!$P$27-'PIVOT TABLES'!$P$26</f>
        <v>31.320000000000007</v>
      </c>
      <c r="S52" s="14">
        <f>'PIVOT TABLES'!$P$28-'PIVOT TABLES'!$P$27</f>
        <v>31.319999999999993</v>
      </c>
      <c r="T52" s="14">
        <f>200-SUM(Table3[[#This Row],[W - LIGHT]:[W - VIGOROUS]])</f>
        <v>74.72</v>
      </c>
      <c r="U52" s="14">
        <f>'PIVOT TABLES'!$W$26</f>
        <v>55.895999999999994</v>
      </c>
      <c r="V52" s="14">
        <f>'PIVOT TABLES'!$W$27-'PIVOT TABLES'!$W$26</f>
        <v>27.948</v>
      </c>
      <c r="W52" s="14">
        <f>'PIVOT TABLES'!$W$28-'PIVOT TABLES'!$W$27</f>
        <v>27.947999999999993</v>
      </c>
      <c r="X52" s="14">
        <f>200-SUM(Table3[[#This Row],[S - LIGHT]:[S - VIGOROUS]])</f>
        <v>88.208000000000013</v>
      </c>
    </row>
    <row r="53" spans="1:24" x14ac:dyDescent="0.25">
      <c r="A53" s="17" t="s">
        <v>70</v>
      </c>
      <c r="B53" s="13" t="str">
        <f t="shared" si="0"/>
        <v>Winger</v>
      </c>
      <c r="C53" s="7">
        <v>45217.636041666665</v>
      </c>
      <c r="D53" s="14">
        <v>5724</v>
      </c>
      <c r="E53" s="14">
        <v>95</v>
      </c>
      <c r="F53" s="14">
        <v>22</v>
      </c>
      <c r="G53" s="14">
        <v>27</v>
      </c>
      <c r="H53" s="14">
        <v>61.51</v>
      </c>
      <c r="I53" s="14">
        <f>'PIVOT TABLES'!$B$26</f>
        <v>60.283999999999999</v>
      </c>
      <c r="J53" s="14">
        <f>'PIVOT TABLES'!$B$27-'PIVOT TABLES'!$B$26</f>
        <v>30.142000000000003</v>
      </c>
      <c r="K53" s="14">
        <f>'PIVOT TABLES'!$B$28-'PIVOT TABLES'!$B$27</f>
        <v>30.141999999999996</v>
      </c>
      <c r="L53" s="14">
        <f>200-SUM(Table3[[#This Row],[D - LIGHT]:[D - VIGOROUS]])</f>
        <v>79.432000000000002</v>
      </c>
      <c r="M53" s="14">
        <f>'PIVOT TABLES'!$I$26</f>
        <v>65.603999999999999</v>
      </c>
      <c r="N53" s="14">
        <f>'PIVOT TABLES'!$I$27-'PIVOT TABLES'!$I$26</f>
        <v>32.802000000000007</v>
      </c>
      <c r="O53" s="14">
        <f>'PIVOT TABLES'!$I$28-'PIVOT TABLES'!$I$27</f>
        <v>32.801999999999992</v>
      </c>
      <c r="P53" s="14">
        <f>200-SUM(Table3[[#This Row],[M - LIGHT]:[M - VIGOROUS]])</f>
        <v>68.792000000000002</v>
      </c>
      <c r="Q53" s="14">
        <f>'PIVOT TABLES'!$P$26</f>
        <v>62.64</v>
      </c>
      <c r="R53" s="14">
        <f>'PIVOT TABLES'!$P$27-'PIVOT TABLES'!$P$26</f>
        <v>31.320000000000007</v>
      </c>
      <c r="S53" s="14">
        <f>'PIVOT TABLES'!$P$28-'PIVOT TABLES'!$P$27</f>
        <v>31.319999999999993</v>
      </c>
      <c r="T53" s="14">
        <f>200-SUM(Table3[[#This Row],[W - LIGHT]:[W - VIGOROUS]])</f>
        <v>74.72</v>
      </c>
      <c r="U53" s="14">
        <f>'PIVOT TABLES'!$W$26</f>
        <v>55.895999999999994</v>
      </c>
      <c r="V53" s="14">
        <f>'PIVOT TABLES'!$W$27-'PIVOT TABLES'!$W$26</f>
        <v>27.948</v>
      </c>
      <c r="W53" s="14">
        <f>'PIVOT TABLES'!$W$28-'PIVOT TABLES'!$W$27</f>
        <v>27.947999999999993</v>
      </c>
      <c r="X53" s="14">
        <f>200-SUM(Table3[[#This Row],[S - LIGHT]:[S - VIGOROUS]])</f>
        <v>88.208000000000013</v>
      </c>
    </row>
    <row r="54" spans="1:24" x14ac:dyDescent="0.25">
      <c r="A54" s="17" t="s">
        <v>53</v>
      </c>
      <c r="B54" s="13" t="str">
        <f t="shared" si="0"/>
        <v>Midfielder</v>
      </c>
      <c r="C54" s="7">
        <v>45217.636041666665</v>
      </c>
      <c r="D54" s="14">
        <v>6553</v>
      </c>
      <c r="E54" s="14">
        <v>31</v>
      </c>
      <c r="F54" s="14">
        <v>20</v>
      </c>
      <c r="G54" s="14">
        <v>32</v>
      </c>
      <c r="H54" s="14">
        <v>67.900000000000006</v>
      </c>
      <c r="I54" s="14">
        <f>'PIVOT TABLES'!$B$26</f>
        <v>60.283999999999999</v>
      </c>
      <c r="J54" s="14">
        <f>'PIVOT TABLES'!$B$27-'PIVOT TABLES'!$B$26</f>
        <v>30.142000000000003</v>
      </c>
      <c r="K54" s="14">
        <f>'PIVOT TABLES'!$B$28-'PIVOT TABLES'!$B$27</f>
        <v>30.141999999999996</v>
      </c>
      <c r="L54" s="14">
        <f>200-SUM(Table3[[#This Row],[D - LIGHT]:[D - VIGOROUS]])</f>
        <v>79.432000000000002</v>
      </c>
      <c r="M54" s="14">
        <f>'PIVOT TABLES'!$I$26</f>
        <v>65.603999999999999</v>
      </c>
      <c r="N54" s="14">
        <f>'PIVOT TABLES'!$I$27-'PIVOT TABLES'!$I$26</f>
        <v>32.802000000000007</v>
      </c>
      <c r="O54" s="14">
        <f>'PIVOT TABLES'!$I$28-'PIVOT TABLES'!$I$27</f>
        <v>32.801999999999992</v>
      </c>
      <c r="P54" s="14">
        <f>200-SUM(Table3[[#This Row],[M - LIGHT]:[M - VIGOROUS]])</f>
        <v>68.792000000000002</v>
      </c>
      <c r="Q54" s="14">
        <f>'PIVOT TABLES'!$P$26</f>
        <v>62.64</v>
      </c>
      <c r="R54" s="14">
        <f>'PIVOT TABLES'!$P$27-'PIVOT TABLES'!$P$26</f>
        <v>31.320000000000007</v>
      </c>
      <c r="S54" s="14">
        <f>'PIVOT TABLES'!$P$28-'PIVOT TABLES'!$P$27</f>
        <v>31.319999999999993</v>
      </c>
      <c r="T54" s="14">
        <f>200-SUM(Table3[[#This Row],[W - LIGHT]:[W - VIGOROUS]])</f>
        <v>74.72</v>
      </c>
      <c r="U54" s="14">
        <f>'PIVOT TABLES'!$W$26</f>
        <v>55.895999999999994</v>
      </c>
      <c r="V54" s="14">
        <f>'PIVOT TABLES'!$W$27-'PIVOT TABLES'!$W$26</f>
        <v>27.948</v>
      </c>
      <c r="W54" s="14">
        <f>'PIVOT TABLES'!$W$28-'PIVOT TABLES'!$W$27</f>
        <v>27.947999999999993</v>
      </c>
      <c r="X54" s="14">
        <f>200-SUM(Table3[[#This Row],[S - LIGHT]:[S - VIGOROUS]])</f>
        <v>88.208000000000013</v>
      </c>
    </row>
    <row r="55" spans="1:24" x14ac:dyDescent="0.25">
      <c r="A55" s="17" t="s">
        <v>55</v>
      </c>
      <c r="B55" s="13" t="str">
        <f t="shared" si="0"/>
        <v>Striker</v>
      </c>
      <c r="C55" s="7">
        <v>45217.636041666665</v>
      </c>
      <c r="D55" s="14">
        <v>5170</v>
      </c>
      <c r="E55" s="14">
        <v>67</v>
      </c>
      <c r="F55" s="14">
        <v>23</v>
      </c>
      <c r="G55" s="14">
        <v>33</v>
      </c>
      <c r="H55" s="14">
        <v>55.29</v>
      </c>
      <c r="I55" s="14">
        <f>'PIVOT TABLES'!$B$26</f>
        <v>60.283999999999999</v>
      </c>
      <c r="J55" s="14">
        <f>'PIVOT TABLES'!$B$27-'PIVOT TABLES'!$B$26</f>
        <v>30.142000000000003</v>
      </c>
      <c r="K55" s="14">
        <f>'PIVOT TABLES'!$B$28-'PIVOT TABLES'!$B$27</f>
        <v>30.141999999999996</v>
      </c>
      <c r="L55" s="14">
        <f>200-SUM(Table3[[#This Row],[D - LIGHT]:[D - VIGOROUS]])</f>
        <v>79.432000000000002</v>
      </c>
      <c r="M55" s="14">
        <f>'PIVOT TABLES'!$I$26</f>
        <v>65.603999999999999</v>
      </c>
      <c r="N55" s="14">
        <f>'PIVOT TABLES'!$I$27-'PIVOT TABLES'!$I$26</f>
        <v>32.802000000000007</v>
      </c>
      <c r="O55" s="14">
        <f>'PIVOT TABLES'!$I$28-'PIVOT TABLES'!$I$27</f>
        <v>32.801999999999992</v>
      </c>
      <c r="P55" s="14">
        <f>200-SUM(Table3[[#This Row],[M - LIGHT]:[M - VIGOROUS]])</f>
        <v>68.792000000000002</v>
      </c>
      <c r="Q55" s="14">
        <f>'PIVOT TABLES'!$P$26</f>
        <v>62.64</v>
      </c>
      <c r="R55" s="14">
        <f>'PIVOT TABLES'!$P$27-'PIVOT TABLES'!$P$26</f>
        <v>31.320000000000007</v>
      </c>
      <c r="S55" s="14">
        <f>'PIVOT TABLES'!$P$28-'PIVOT TABLES'!$P$27</f>
        <v>31.319999999999993</v>
      </c>
      <c r="T55" s="14">
        <f>200-SUM(Table3[[#This Row],[W - LIGHT]:[W - VIGOROUS]])</f>
        <v>74.72</v>
      </c>
      <c r="U55" s="14">
        <f>'PIVOT TABLES'!$W$26</f>
        <v>55.895999999999994</v>
      </c>
      <c r="V55" s="14">
        <f>'PIVOT TABLES'!$W$27-'PIVOT TABLES'!$W$26</f>
        <v>27.948</v>
      </c>
      <c r="W55" s="14">
        <f>'PIVOT TABLES'!$W$28-'PIVOT TABLES'!$W$27</f>
        <v>27.947999999999993</v>
      </c>
      <c r="X55" s="14">
        <f>200-SUM(Table3[[#This Row],[S - LIGHT]:[S - VIGOROUS]])</f>
        <v>88.208000000000013</v>
      </c>
    </row>
    <row r="56" spans="1:24" x14ac:dyDescent="0.25">
      <c r="A56" s="17" t="s">
        <v>1</v>
      </c>
      <c r="B56" s="13" t="str">
        <f t="shared" si="0"/>
        <v>Defender</v>
      </c>
      <c r="C56" s="7">
        <v>45217.636041666665</v>
      </c>
      <c r="D56" s="14">
        <v>2504</v>
      </c>
      <c r="E56" s="14">
        <v>0</v>
      </c>
      <c r="F56" s="14">
        <v>2</v>
      </c>
      <c r="G56" s="14">
        <v>3</v>
      </c>
      <c r="H56" s="14">
        <v>25.18</v>
      </c>
      <c r="I56" s="14">
        <f>'PIVOT TABLES'!$B$26</f>
        <v>60.283999999999999</v>
      </c>
      <c r="J56" s="14">
        <f>'PIVOT TABLES'!$B$27-'PIVOT TABLES'!$B$26</f>
        <v>30.142000000000003</v>
      </c>
      <c r="K56" s="14">
        <f>'PIVOT TABLES'!$B$28-'PIVOT TABLES'!$B$27</f>
        <v>30.141999999999996</v>
      </c>
      <c r="L56" s="14">
        <f>200-SUM(Table3[[#This Row],[D - LIGHT]:[D - VIGOROUS]])</f>
        <v>79.432000000000002</v>
      </c>
      <c r="M56" s="14">
        <f>'PIVOT TABLES'!$I$26</f>
        <v>65.603999999999999</v>
      </c>
      <c r="N56" s="14">
        <f>'PIVOT TABLES'!$I$27-'PIVOT TABLES'!$I$26</f>
        <v>32.802000000000007</v>
      </c>
      <c r="O56" s="14">
        <f>'PIVOT TABLES'!$I$28-'PIVOT TABLES'!$I$27</f>
        <v>32.801999999999992</v>
      </c>
      <c r="P56" s="14">
        <f>200-SUM(Table3[[#This Row],[M - LIGHT]:[M - VIGOROUS]])</f>
        <v>68.792000000000002</v>
      </c>
      <c r="Q56" s="14">
        <f>'PIVOT TABLES'!$P$26</f>
        <v>62.64</v>
      </c>
      <c r="R56" s="14">
        <f>'PIVOT TABLES'!$P$27-'PIVOT TABLES'!$P$26</f>
        <v>31.320000000000007</v>
      </c>
      <c r="S56" s="14">
        <f>'PIVOT TABLES'!$P$28-'PIVOT TABLES'!$P$27</f>
        <v>31.319999999999993</v>
      </c>
      <c r="T56" s="14">
        <f>200-SUM(Table3[[#This Row],[W - LIGHT]:[W - VIGOROUS]])</f>
        <v>74.72</v>
      </c>
      <c r="U56" s="14">
        <f>'PIVOT TABLES'!$W$26</f>
        <v>55.895999999999994</v>
      </c>
      <c r="V56" s="14">
        <f>'PIVOT TABLES'!$W$27-'PIVOT TABLES'!$W$26</f>
        <v>27.948</v>
      </c>
      <c r="W56" s="14">
        <f>'PIVOT TABLES'!$W$28-'PIVOT TABLES'!$W$27</f>
        <v>27.947999999999993</v>
      </c>
      <c r="X56" s="14">
        <f>200-SUM(Table3[[#This Row],[S - LIGHT]:[S - VIGOROUS]])</f>
        <v>88.208000000000013</v>
      </c>
    </row>
    <row r="57" spans="1:24" x14ac:dyDescent="0.25">
      <c r="A57" s="17" t="s">
        <v>56</v>
      </c>
      <c r="B57" s="13" t="str">
        <f t="shared" si="0"/>
        <v>Midfielder</v>
      </c>
      <c r="C57" s="7">
        <v>45217.636041666665</v>
      </c>
      <c r="D57" s="14">
        <v>6989</v>
      </c>
      <c r="E57" s="14">
        <v>17</v>
      </c>
      <c r="F57" s="14">
        <v>28</v>
      </c>
      <c r="G57" s="14">
        <v>22</v>
      </c>
      <c r="H57" s="14">
        <v>71.959999999999994</v>
      </c>
      <c r="I57" s="14">
        <f>'PIVOT TABLES'!$B$26</f>
        <v>60.283999999999999</v>
      </c>
      <c r="J57" s="14">
        <f>'PIVOT TABLES'!$B$27-'PIVOT TABLES'!$B$26</f>
        <v>30.142000000000003</v>
      </c>
      <c r="K57" s="14">
        <f>'PIVOT TABLES'!$B$28-'PIVOT TABLES'!$B$27</f>
        <v>30.141999999999996</v>
      </c>
      <c r="L57" s="14">
        <f>200-SUM(Table3[[#This Row],[D - LIGHT]:[D - VIGOROUS]])</f>
        <v>79.432000000000002</v>
      </c>
      <c r="M57" s="14">
        <f>'PIVOT TABLES'!$I$26</f>
        <v>65.603999999999999</v>
      </c>
      <c r="N57" s="14">
        <f>'PIVOT TABLES'!$I$27-'PIVOT TABLES'!$I$26</f>
        <v>32.802000000000007</v>
      </c>
      <c r="O57" s="14">
        <f>'PIVOT TABLES'!$I$28-'PIVOT TABLES'!$I$27</f>
        <v>32.801999999999992</v>
      </c>
      <c r="P57" s="14">
        <f>200-SUM(Table3[[#This Row],[M - LIGHT]:[M - VIGOROUS]])</f>
        <v>68.792000000000002</v>
      </c>
      <c r="Q57" s="14">
        <f>'PIVOT TABLES'!$P$26</f>
        <v>62.64</v>
      </c>
      <c r="R57" s="14">
        <f>'PIVOT TABLES'!$P$27-'PIVOT TABLES'!$P$26</f>
        <v>31.320000000000007</v>
      </c>
      <c r="S57" s="14">
        <f>'PIVOT TABLES'!$P$28-'PIVOT TABLES'!$P$27</f>
        <v>31.319999999999993</v>
      </c>
      <c r="T57" s="14">
        <f>200-SUM(Table3[[#This Row],[W - LIGHT]:[W - VIGOROUS]])</f>
        <v>74.72</v>
      </c>
      <c r="U57" s="14">
        <f>'PIVOT TABLES'!$W$26</f>
        <v>55.895999999999994</v>
      </c>
      <c r="V57" s="14">
        <f>'PIVOT TABLES'!$W$27-'PIVOT TABLES'!$W$26</f>
        <v>27.948</v>
      </c>
      <c r="W57" s="14">
        <f>'PIVOT TABLES'!$W$28-'PIVOT TABLES'!$W$27</f>
        <v>27.947999999999993</v>
      </c>
      <c r="X57" s="14">
        <f>200-SUM(Table3[[#This Row],[S - LIGHT]:[S - VIGOROUS]])</f>
        <v>88.208000000000013</v>
      </c>
    </row>
    <row r="58" spans="1:24" x14ac:dyDescent="0.25">
      <c r="A58" s="17" t="s">
        <v>57</v>
      </c>
      <c r="B58" s="13" t="str">
        <f t="shared" si="0"/>
        <v>Midfielder</v>
      </c>
      <c r="C58" s="7">
        <v>45217.636041666665</v>
      </c>
      <c r="D58" s="14">
        <v>5705</v>
      </c>
      <c r="E58" s="14">
        <v>20</v>
      </c>
      <c r="F58" s="14">
        <v>25</v>
      </c>
      <c r="G58" s="14">
        <v>28</v>
      </c>
      <c r="H58" s="14">
        <v>59.21</v>
      </c>
      <c r="I58" s="14">
        <f>'PIVOT TABLES'!$B$26</f>
        <v>60.283999999999999</v>
      </c>
      <c r="J58" s="14">
        <f>'PIVOT TABLES'!$B$27-'PIVOT TABLES'!$B$26</f>
        <v>30.142000000000003</v>
      </c>
      <c r="K58" s="14">
        <f>'PIVOT TABLES'!$B$28-'PIVOT TABLES'!$B$27</f>
        <v>30.141999999999996</v>
      </c>
      <c r="L58" s="14">
        <f>200-SUM(Table3[[#This Row],[D - LIGHT]:[D - VIGOROUS]])</f>
        <v>79.432000000000002</v>
      </c>
      <c r="M58" s="14">
        <f>'PIVOT TABLES'!$I$26</f>
        <v>65.603999999999999</v>
      </c>
      <c r="N58" s="14">
        <f>'PIVOT TABLES'!$I$27-'PIVOT TABLES'!$I$26</f>
        <v>32.802000000000007</v>
      </c>
      <c r="O58" s="14">
        <f>'PIVOT TABLES'!$I$28-'PIVOT TABLES'!$I$27</f>
        <v>32.801999999999992</v>
      </c>
      <c r="P58" s="14">
        <f>200-SUM(Table3[[#This Row],[M - LIGHT]:[M - VIGOROUS]])</f>
        <v>68.792000000000002</v>
      </c>
      <c r="Q58" s="14">
        <f>'PIVOT TABLES'!$P$26</f>
        <v>62.64</v>
      </c>
      <c r="R58" s="14">
        <f>'PIVOT TABLES'!$P$27-'PIVOT TABLES'!$P$26</f>
        <v>31.320000000000007</v>
      </c>
      <c r="S58" s="14">
        <f>'PIVOT TABLES'!$P$28-'PIVOT TABLES'!$P$27</f>
        <v>31.319999999999993</v>
      </c>
      <c r="T58" s="14">
        <f>200-SUM(Table3[[#This Row],[W - LIGHT]:[W - VIGOROUS]])</f>
        <v>74.72</v>
      </c>
      <c r="U58" s="14">
        <f>'PIVOT TABLES'!$W$26</f>
        <v>55.895999999999994</v>
      </c>
      <c r="V58" s="14">
        <f>'PIVOT TABLES'!$W$27-'PIVOT TABLES'!$W$26</f>
        <v>27.948</v>
      </c>
      <c r="W58" s="14">
        <f>'PIVOT TABLES'!$W$28-'PIVOT TABLES'!$W$27</f>
        <v>27.947999999999993</v>
      </c>
      <c r="X58" s="14">
        <f>200-SUM(Table3[[#This Row],[S - LIGHT]:[S - VIGOROUS]])</f>
        <v>88.208000000000013</v>
      </c>
    </row>
    <row r="59" spans="1:24" x14ac:dyDescent="0.25">
      <c r="A59" s="17" t="s">
        <v>2</v>
      </c>
      <c r="B59" s="13" t="str">
        <f t="shared" si="0"/>
        <v>Defender</v>
      </c>
      <c r="C59" s="7">
        <v>45217.636041666665</v>
      </c>
      <c r="D59" s="14">
        <v>5697</v>
      </c>
      <c r="E59" s="14">
        <v>88</v>
      </c>
      <c r="F59" s="14">
        <v>21</v>
      </c>
      <c r="G59" s="14">
        <v>34</v>
      </c>
      <c r="H59" s="14">
        <v>61.13</v>
      </c>
      <c r="I59" s="14">
        <f>'PIVOT TABLES'!$B$26</f>
        <v>60.283999999999999</v>
      </c>
      <c r="J59" s="14">
        <f>'PIVOT TABLES'!$B$27-'PIVOT TABLES'!$B$26</f>
        <v>30.142000000000003</v>
      </c>
      <c r="K59" s="14">
        <f>'PIVOT TABLES'!$B$28-'PIVOT TABLES'!$B$27</f>
        <v>30.141999999999996</v>
      </c>
      <c r="L59" s="14">
        <f>200-SUM(Table3[[#This Row],[D - LIGHT]:[D - VIGOROUS]])</f>
        <v>79.432000000000002</v>
      </c>
      <c r="M59" s="14">
        <f>'PIVOT TABLES'!$I$26</f>
        <v>65.603999999999999</v>
      </c>
      <c r="N59" s="14">
        <f>'PIVOT TABLES'!$I$27-'PIVOT TABLES'!$I$26</f>
        <v>32.802000000000007</v>
      </c>
      <c r="O59" s="14">
        <f>'PIVOT TABLES'!$I$28-'PIVOT TABLES'!$I$27</f>
        <v>32.801999999999992</v>
      </c>
      <c r="P59" s="14">
        <f>200-SUM(Table3[[#This Row],[M - LIGHT]:[M - VIGOROUS]])</f>
        <v>68.792000000000002</v>
      </c>
      <c r="Q59" s="14">
        <f>'PIVOT TABLES'!$P$26</f>
        <v>62.64</v>
      </c>
      <c r="R59" s="14">
        <f>'PIVOT TABLES'!$P$27-'PIVOT TABLES'!$P$26</f>
        <v>31.320000000000007</v>
      </c>
      <c r="S59" s="14">
        <f>'PIVOT TABLES'!$P$28-'PIVOT TABLES'!$P$27</f>
        <v>31.319999999999993</v>
      </c>
      <c r="T59" s="14">
        <f>200-SUM(Table3[[#This Row],[W - LIGHT]:[W - VIGOROUS]])</f>
        <v>74.72</v>
      </c>
      <c r="U59" s="14">
        <f>'PIVOT TABLES'!$W$26</f>
        <v>55.895999999999994</v>
      </c>
      <c r="V59" s="14">
        <f>'PIVOT TABLES'!$W$27-'PIVOT TABLES'!$W$26</f>
        <v>27.948</v>
      </c>
      <c r="W59" s="14">
        <f>'PIVOT TABLES'!$W$28-'PIVOT TABLES'!$W$27</f>
        <v>27.947999999999993</v>
      </c>
      <c r="X59" s="14">
        <f>200-SUM(Table3[[#This Row],[S - LIGHT]:[S - VIGOROUS]])</f>
        <v>88.208000000000013</v>
      </c>
    </row>
    <row r="60" spans="1:24" x14ac:dyDescent="0.25">
      <c r="A60" s="17" t="s">
        <v>3</v>
      </c>
      <c r="B60" s="13" t="str">
        <f t="shared" si="0"/>
        <v>Defender</v>
      </c>
      <c r="C60" s="7">
        <v>45217.636041666665</v>
      </c>
      <c r="D60" s="14">
        <v>6769</v>
      </c>
      <c r="E60" s="14">
        <v>62</v>
      </c>
      <c r="F60" s="14">
        <v>30</v>
      </c>
      <c r="G60" s="14">
        <v>41</v>
      </c>
      <c r="H60" s="14">
        <v>71.569999999999993</v>
      </c>
      <c r="I60" s="14">
        <f>'PIVOT TABLES'!$B$26</f>
        <v>60.283999999999999</v>
      </c>
      <c r="J60" s="14">
        <f>'PIVOT TABLES'!$B$27-'PIVOT TABLES'!$B$26</f>
        <v>30.142000000000003</v>
      </c>
      <c r="K60" s="14">
        <f>'PIVOT TABLES'!$B$28-'PIVOT TABLES'!$B$27</f>
        <v>30.141999999999996</v>
      </c>
      <c r="L60" s="14">
        <f>200-SUM(Table3[[#This Row],[D - LIGHT]:[D - VIGOROUS]])</f>
        <v>79.432000000000002</v>
      </c>
      <c r="M60" s="14">
        <f>'PIVOT TABLES'!$I$26</f>
        <v>65.603999999999999</v>
      </c>
      <c r="N60" s="14">
        <f>'PIVOT TABLES'!$I$27-'PIVOT TABLES'!$I$26</f>
        <v>32.802000000000007</v>
      </c>
      <c r="O60" s="14">
        <f>'PIVOT TABLES'!$I$28-'PIVOT TABLES'!$I$27</f>
        <v>32.801999999999992</v>
      </c>
      <c r="P60" s="14">
        <f>200-SUM(Table3[[#This Row],[M - LIGHT]:[M - VIGOROUS]])</f>
        <v>68.792000000000002</v>
      </c>
      <c r="Q60" s="14">
        <f>'PIVOT TABLES'!$P$26</f>
        <v>62.64</v>
      </c>
      <c r="R60" s="14">
        <f>'PIVOT TABLES'!$P$27-'PIVOT TABLES'!$P$26</f>
        <v>31.320000000000007</v>
      </c>
      <c r="S60" s="14">
        <f>'PIVOT TABLES'!$P$28-'PIVOT TABLES'!$P$27</f>
        <v>31.319999999999993</v>
      </c>
      <c r="T60" s="14">
        <f>200-SUM(Table3[[#This Row],[W - LIGHT]:[W - VIGOROUS]])</f>
        <v>74.72</v>
      </c>
      <c r="U60" s="14">
        <f>'PIVOT TABLES'!$W$26</f>
        <v>55.895999999999994</v>
      </c>
      <c r="V60" s="14">
        <f>'PIVOT TABLES'!$W$27-'PIVOT TABLES'!$W$26</f>
        <v>27.948</v>
      </c>
      <c r="W60" s="14">
        <f>'PIVOT TABLES'!$W$28-'PIVOT TABLES'!$W$27</f>
        <v>27.947999999999993</v>
      </c>
      <c r="X60" s="14">
        <f>200-SUM(Table3[[#This Row],[S - LIGHT]:[S - VIGOROUS]])</f>
        <v>88.208000000000013</v>
      </c>
    </row>
    <row r="61" spans="1:24" x14ac:dyDescent="0.25">
      <c r="A61" s="17" t="s">
        <v>59</v>
      </c>
      <c r="B61" s="13" t="str">
        <f t="shared" si="0"/>
        <v>Striker</v>
      </c>
      <c r="C61" s="7">
        <v>45217.636041666665</v>
      </c>
      <c r="D61" s="14">
        <v>3936</v>
      </c>
      <c r="E61" s="14">
        <v>4</v>
      </c>
      <c r="F61" s="14">
        <v>14</v>
      </c>
      <c r="G61" s="14">
        <v>12</v>
      </c>
      <c r="H61" s="14">
        <v>40.28</v>
      </c>
      <c r="I61" s="14">
        <f>'PIVOT TABLES'!$B$26</f>
        <v>60.283999999999999</v>
      </c>
      <c r="J61" s="14">
        <f>'PIVOT TABLES'!$B$27-'PIVOT TABLES'!$B$26</f>
        <v>30.142000000000003</v>
      </c>
      <c r="K61" s="14">
        <f>'PIVOT TABLES'!$B$28-'PIVOT TABLES'!$B$27</f>
        <v>30.141999999999996</v>
      </c>
      <c r="L61" s="14">
        <f>200-SUM(Table3[[#This Row],[D - LIGHT]:[D - VIGOROUS]])</f>
        <v>79.432000000000002</v>
      </c>
      <c r="M61" s="14">
        <f>'PIVOT TABLES'!$I$26</f>
        <v>65.603999999999999</v>
      </c>
      <c r="N61" s="14">
        <f>'PIVOT TABLES'!$I$27-'PIVOT TABLES'!$I$26</f>
        <v>32.802000000000007</v>
      </c>
      <c r="O61" s="14">
        <f>'PIVOT TABLES'!$I$28-'PIVOT TABLES'!$I$27</f>
        <v>32.801999999999992</v>
      </c>
      <c r="P61" s="14">
        <f>200-SUM(Table3[[#This Row],[M - LIGHT]:[M - VIGOROUS]])</f>
        <v>68.792000000000002</v>
      </c>
      <c r="Q61" s="14">
        <f>'PIVOT TABLES'!$P$26</f>
        <v>62.64</v>
      </c>
      <c r="R61" s="14">
        <f>'PIVOT TABLES'!$P$27-'PIVOT TABLES'!$P$26</f>
        <v>31.320000000000007</v>
      </c>
      <c r="S61" s="14">
        <f>'PIVOT TABLES'!$P$28-'PIVOT TABLES'!$P$27</f>
        <v>31.319999999999993</v>
      </c>
      <c r="T61" s="14">
        <f>200-SUM(Table3[[#This Row],[W - LIGHT]:[W - VIGOROUS]])</f>
        <v>74.72</v>
      </c>
      <c r="U61" s="14">
        <f>'PIVOT TABLES'!$W$26</f>
        <v>55.895999999999994</v>
      </c>
      <c r="V61" s="14">
        <f>'PIVOT TABLES'!$W$27-'PIVOT TABLES'!$W$26</f>
        <v>27.948</v>
      </c>
      <c r="W61" s="14">
        <f>'PIVOT TABLES'!$W$28-'PIVOT TABLES'!$W$27</f>
        <v>27.947999999999993</v>
      </c>
      <c r="X61" s="14">
        <f>200-SUM(Table3[[#This Row],[S - LIGHT]:[S - VIGOROUS]])</f>
        <v>88.208000000000013</v>
      </c>
    </row>
    <row r="62" spans="1:24" x14ac:dyDescent="0.25">
      <c r="A62" s="17" t="s">
        <v>4</v>
      </c>
      <c r="B62" s="13" t="str">
        <f t="shared" si="0"/>
        <v>Midfielder</v>
      </c>
      <c r="C62" s="7">
        <v>45217.636041666665</v>
      </c>
      <c r="D62" s="14">
        <v>4459</v>
      </c>
      <c r="E62" s="14">
        <v>0</v>
      </c>
      <c r="F62" s="14">
        <v>5</v>
      </c>
      <c r="G62" s="14">
        <v>14</v>
      </c>
      <c r="H62" s="14">
        <v>45.07</v>
      </c>
      <c r="I62" s="14">
        <f>'PIVOT TABLES'!$B$26</f>
        <v>60.283999999999999</v>
      </c>
      <c r="J62" s="14">
        <f>'PIVOT TABLES'!$B$27-'PIVOT TABLES'!$B$26</f>
        <v>30.142000000000003</v>
      </c>
      <c r="K62" s="14">
        <f>'PIVOT TABLES'!$B$28-'PIVOT TABLES'!$B$27</f>
        <v>30.141999999999996</v>
      </c>
      <c r="L62" s="14">
        <f>200-SUM(Table3[[#This Row],[D - LIGHT]:[D - VIGOROUS]])</f>
        <v>79.432000000000002</v>
      </c>
      <c r="M62" s="14">
        <f>'PIVOT TABLES'!$I$26</f>
        <v>65.603999999999999</v>
      </c>
      <c r="N62" s="14">
        <f>'PIVOT TABLES'!$I$27-'PIVOT TABLES'!$I$26</f>
        <v>32.802000000000007</v>
      </c>
      <c r="O62" s="14">
        <f>'PIVOT TABLES'!$I$28-'PIVOT TABLES'!$I$27</f>
        <v>32.801999999999992</v>
      </c>
      <c r="P62" s="14">
        <f>200-SUM(Table3[[#This Row],[M - LIGHT]:[M - VIGOROUS]])</f>
        <v>68.792000000000002</v>
      </c>
      <c r="Q62" s="14">
        <f>'PIVOT TABLES'!$P$26</f>
        <v>62.64</v>
      </c>
      <c r="R62" s="14">
        <f>'PIVOT TABLES'!$P$27-'PIVOT TABLES'!$P$26</f>
        <v>31.320000000000007</v>
      </c>
      <c r="S62" s="14">
        <f>'PIVOT TABLES'!$P$28-'PIVOT TABLES'!$P$27</f>
        <v>31.319999999999993</v>
      </c>
      <c r="T62" s="14">
        <f>200-SUM(Table3[[#This Row],[W - LIGHT]:[W - VIGOROUS]])</f>
        <v>74.72</v>
      </c>
      <c r="U62" s="14">
        <f>'PIVOT TABLES'!$W$26</f>
        <v>55.895999999999994</v>
      </c>
      <c r="V62" s="14">
        <f>'PIVOT TABLES'!$W$27-'PIVOT TABLES'!$W$26</f>
        <v>27.948</v>
      </c>
      <c r="W62" s="14">
        <f>'PIVOT TABLES'!$W$28-'PIVOT TABLES'!$W$27</f>
        <v>27.947999999999993</v>
      </c>
      <c r="X62" s="14">
        <f>200-SUM(Table3[[#This Row],[S - LIGHT]:[S - VIGOROUS]])</f>
        <v>88.208000000000013</v>
      </c>
    </row>
    <row r="63" spans="1:24" x14ac:dyDescent="0.25">
      <c r="A63" s="17" t="s">
        <v>60</v>
      </c>
      <c r="B63" s="13" t="str">
        <f t="shared" si="0"/>
        <v>Winger</v>
      </c>
      <c r="C63" s="7">
        <v>45217.636041666665</v>
      </c>
      <c r="D63" s="14">
        <v>6416</v>
      </c>
      <c r="E63" s="14">
        <v>85</v>
      </c>
      <c r="F63" s="14">
        <v>23</v>
      </c>
      <c r="G63" s="14">
        <v>27</v>
      </c>
      <c r="H63" s="14">
        <v>68.17</v>
      </c>
      <c r="I63" s="14">
        <f>'PIVOT TABLES'!$B$26</f>
        <v>60.283999999999999</v>
      </c>
      <c r="J63" s="14">
        <f>'PIVOT TABLES'!$B$27-'PIVOT TABLES'!$B$26</f>
        <v>30.142000000000003</v>
      </c>
      <c r="K63" s="14">
        <f>'PIVOT TABLES'!$B$28-'PIVOT TABLES'!$B$27</f>
        <v>30.141999999999996</v>
      </c>
      <c r="L63" s="14">
        <f>200-SUM(Table3[[#This Row],[D - LIGHT]:[D - VIGOROUS]])</f>
        <v>79.432000000000002</v>
      </c>
      <c r="M63" s="14">
        <f>'PIVOT TABLES'!$I$26</f>
        <v>65.603999999999999</v>
      </c>
      <c r="N63" s="14">
        <f>'PIVOT TABLES'!$I$27-'PIVOT TABLES'!$I$26</f>
        <v>32.802000000000007</v>
      </c>
      <c r="O63" s="14">
        <f>'PIVOT TABLES'!$I$28-'PIVOT TABLES'!$I$27</f>
        <v>32.801999999999992</v>
      </c>
      <c r="P63" s="14">
        <f>200-SUM(Table3[[#This Row],[M - LIGHT]:[M - VIGOROUS]])</f>
        <v>68.792000000000002</v>
      </c>
      <c r="Q63" s="14">
        <f>'PIVOT TABLES'!$P$26</f>
        <v>62.64</v>
      </c>
      <c r="R63" s="14">
        <f>'PIVOT TABLES'!$P$27-'PIVOT TABLES'!$P$26</f>
        <v>31.320000000000007</v>
      </c>
      <c r="S63" s="14">
        <f>'PIVOT TABLES'!$P$28-'PIVOT TABLES'!$P$27</f>
        <v>31.319999999999993</v>
      </c>
      <c r="T63" s="14">
        <f>200-SUM(Table3[[#This Row],[W - LIGHT]:[W - VIGOROUS]])</f>
        <v>74.72</v>
      </c>
      <c r="U63" s="14">
        <f>'PIVOT TABLES'!$W$26</f>
        <v>55.895999999999994</v>
      </c>
      <c r="V63" s="14">
        <f>'PIVOT TABLES'!$W$27-'PIVOT TABLES'!$W$26</f>
        <v>27.948</v>
      </c>
      <c r="W63" s="14">
        <f>'PIVOT TABLES'!$W$28-'PIVOT TABLES'!$W$27</f>
        <v>27.947999999999993</v>
      </c>
      <c r="X63" s="14">
        <f>200-SUM(Table3[[#This Row],[S - LIGHT]:[S - VIGOROUS]])</f>
        <v>88.208000000000013</v>
      </c>
    </row>
    <row r="64" spans="1:24" x14ac:dyDescent="0.25">
      <c r="A64" s="17" t="s">
        <v>61</v>
      </c>
      <c r="B64" s="13" t="str">
        <f t="shared" si="0"/>
        <v>####</v>
      </c>
      <c r="C64" s="7">
        <v>45217.636041666665</v>
      </c>
      <c r="D64" s="14">
        <v>6329</v>
      </c>
      <c r="E64" s="14">
        <v>24</v>
      </c>
      <c r="F64" s="14">
        <v>42</v>
      </c>
      <c r="G64" s="14">
        <v>28</v>
      </c>
      <c r="H64" s="14">
        <v>66.25</v>
      </c>
      <c r="I64" s="14">
        <f>'PIVOT TABLES'!$B$26</f>
        <v>60.283999999999999</v>
      </c>
      <c r="J64" s="14">
        <f>'PIVOT TABLES'!$B$27-'PIVOT TABLES'!$B$26</f>
        <v>30.142000000000003</v>
      </c>
      <c r="K64" s="14">
        <f>'PIVOT TABLES'!$B$28-'PIVOT TABLES'!$B$27</f>
        <v>30.141999999999996</v>
      </c>
      <c r="L64" s="14">
        <f>200-SUM(Table3[[#This Row],[D - LIGHT]:[D - VIGOROUS]])</f>
        <v>79.432000000000002</v>
      </c>
      <c r="M64" s="14">
        <f>'PIVOT TABLES'!$I$26</f>
        <v>65.603999999999999</v>
      </c>
      <c r="N64" s="14">
        <f>'PIVOT TABLES'!$I$27-'PIVOT TABLES'!$I$26</f>
        <v>32.802000000000007</v>
      </c>
      <c r="O64" s="14">
        <f>'PIVOT TABLES'!$I$28-'PIVOT TABLES'!$I$27</f>
        <v>32.801999999999992</v>
      </c>
      <c r="P64" s="14">
        <f>200-SUM(Table3[[#This Row],[M - LIGHT]:[M - VIGOROUS]])</f>
        <v>68.792000000000002</v>
      </c>
      <c r="Q64" s="14">
        <f>'PIVOT TABLES'!$P$26</f>
        <v>62.64</v>
      </c>
      <c r="R64" s="14">
        <f>'PIVOT TABLES'!$P$27-'PIVOT TABLES'!$P$26</f>
        <v>31.320000000000007</v>
      </c>
      <c r="S64" s="14">
        <f>'PIVOT TABLES'!$P$28-'PIVOT TABLES'!$P$27</f>
        <v>31.319999999999993</v>
      </c>
      <c r="T64" s="14">
        <f>200-SUM(Table3[[#This Row],[W - LIGHT]:[W - VIGOROUS]])</f>
        <v>74.72</v>
      </c>
      <c r="U64" s="14">
        <f>'PIVOT TABLES'!$W$26</f>
        <v>55.895999999999994</v>
      </c>
      <c r="V64" s="14">
        <f>'PIVOT TABLES'!$W$27-'PIVOT TABLES'!$W$26</f>
        <v>27.948</v>
      </c>
      <c r="W64" s="14">
        <f>'PIVOT TABLES'!$W$28-'PIVOT TABLES'!$W$27</f>
        <v>27.947999999999993</v>
      </c>
      <c r="X64" s="14">
        <f>200-SUM(Table3[[#This Row],[S - LIGHT]:[S - VIGOROUS]])</f>
        <v>88.208000000000013</v>
      </c>
    </row>
    <row r="65" spans="1:24" x14ac:dyDescent="0.25">
      <c r="A65" s="17" t="s">
        <v>71</v>
      </c>
      <c r="B65" s="13" t="str">
        <f t="shared" si="0"/>
        <v>Midfielder</v>
      </c>
      <c r="C65" s="7">
        <v>45217.636041666665</v>
      </c>
      <c r="D65" s="14">
        <v>5440</v>
      </c>
      <c r="E65" s="14">
        <v>43</v>
      </c>
      <c r="F65" s="14">
        <v>27</v>
      </c>
      <c r="G65" s="14">
        <v>12</v>
      </c>
      <c r="H65" s="14">
        <v>57.01</v>
      </c>
      <c r="I65" s="14">
        <f>'PIVOT TABLES'!$B$26</f>
        <v>60.283999999999999</v>
      </c>
      <c r="J65" s="14">
        <f>'PIVOT TABLES'!$B$27-'PIVOT TABLES'!$B$26</f>
        <v>30.142000000000003</v>
      </c>
      <c r="K65" s="14">
        <f>'PIVOT TABLES'!$B$28-'PIVOT TABLES'!$B$27</f>
        <v>30.141999999999996</v>
      </c>
      <c r="L65" s="14">
        <f>200-SUM(Table3[[#This Row],[D - LIGHT]:[D - VIGOROUS]])</f>
        <v>79.432000000000002</v>
      </c>
      <c r="M65" s="14">
        <f>'PIVOT TABLES'!$I$26</f>
        <v>65.603999999999999</v>
      </c>
      <c r="N65" s="14">
        <f>'PIVOT TABLES'!$I$27-'PIVOT TABLES'!$I$26</f>
        <v>32.802000000000007</v>
      </c>
      <c r="O65" s="14">
        <f>'PIVOT TABLES'!$I$28-'PIVOT TABLES'!$I$27</f>
        <v>32.801999999999992</v>
      </c>
      <c r="P65" s="14">
        <f>200-SUM(Table3[[#This Row],[M - LIGHT]:[M - VIGOROUS]])</f>
        <v>68.792000000000002</v>
      </c>
      <c r="Q65" s="14">
        <f>'PIVOT TABLES'!$P$26</f>
        <v>62.64</v>
      </c>
      <c r="R65" s="14">
        <f>'PIVOT TABLES'!$P$27-'PIVOT TABLES'!$P$26</f>
        <v>31.320000000000007</v>
      </c>
      <c r="S65" s="14">
        <f>'PIVOT TABLES'!$P$28-'PIVOT TABLES'!$P$27</f>
        <v>31.319999999999993</v>
      </c>
      <c r="T65" s="14">
        <f>200-SUM(Table3[[#This Row],[W - LIGHT]:[W - VIGOROUS]])</f>
        <v>74.72</v>
      </c>
      <c r="U65" s="14">
        <f>'PIVOT TABLES'!$W$26</f>
        <v>55.895999999999994</v>
      </c>
      <c r="V65" s="14">
        <f>'PIVOT TABLES'!$W$27-'PIVOT TABLES'!$W$26</f>
        <v>27.948</v>
      </c>
      <c r="W65" s="14">
        <f>'PIVOT TABLES'!$W$28-'PIVOT TABLES'!$W$27</f>
        <v>27.947999999999993</v>
      </c>
      <c r="X65" s="14">
        <f>200-SUM(Table3[[#This Row],[S - LIGHT]:[S - VIGOROUS]])</f>
        <v>88.208000000000013</v>
      </c>
    </row>
    <row r="66" spans="1:24" x14ac:dyDescent="0.25">
      <c r="A66" s="17" t="s">
        <v>5</v>
      </c>
      <c r="B66" s="13" t="str">
        <f t="shared" si="0"/>
        <v>Midfielder</v>
      </c>
      <c r="C66" s="7">
        <v>45217.636041666665</v>
      </c>
      <c r="D66" s="14">
        <v>5121</v>
      </c>
      <c r="E66" s="14">
        <v>11</v>
      </c>
      <c r="F66" s="14">
        <v>15</v>
      </c>
      <c r="G66" s="14">
        <v>13</v>
      </c>
      <c r="H66" s="14">
        <v>52.4</v>
      </c>
      <c r="I66" s="14">
        <f>'PIVOT TABLES'!$B$26</f>
        <v>60.283999999999999</v>
      </c>
      <c r="J66" s="14">
        <f>'PIVOT TABLES'!$B$27-'PIVOT TABLES'!$B$26</f>
        <v>30.142000000000003</v>
      </c>
      <c r="K66" s="14">
        <f>'PIVOT TABLES'!$B$28-'PIVOT TABLES'!$B$27</f>
        <v>30.141999999999996</v>
      </c>
      <c r="L66" s="14">
        <f>200-SUM(Table3[[#This Row],[D - LIGHT]:[D - VIGOROUS]])</f>
        <v>79.432000000000002</v>
      </c>
      <c r="M66" s="14">
        <f>'PIVOT TABLES'!$I$26</f>
        <v>65.603999999999999</v>
      </c>
      <c r="N66" s="14">
        <f>'PIVOT TABLES'!$I$27-'PIVOT TABLES'!$I$26</f>
        <v>32.802000000000007</v>
      </c>
      <c r="O66" s="14">
        <f>'PIVOT TABLES'!$I$28-'PIVOT TABLES'!$I$27</f>
        <v>32.801999999999992</v>
      </c>
      <c r="P66" s="14">
        <f>200-SUM(Table3[[#This Row],[M - LIGHT]:[M - VIGOROUS]])</f>
        <v>68.792000000000002</v>
      </c>
      <c r="Q66" s="14">
        <f>'PIVOT TABLES'!$P$26</f>
        <v>62.64</v>
      </c>
      <c r="R66" s="14">
        <f>'PIVOT TABLES'!$P$27-'PIVOT TABLES'!$P$26</f>
        <v>31.320000000000007</v>
      </c>
      <c r="S66" s="14">
        <f>'PIVOT TABLES'!$P$28-'PIVOT TABLES'!$P$27</f>
        <v>31.319999999999993</v>
      </c>
      <c r="T66" s="14">
        <f>200-SUM(Table3[[#This Row],[W - LIGHT]:[W - VIGOROUS]])</f>
        <v>74.72</v>
      </c>
      <c r="U66" s="14">
        <f>'PIVOT TABLES'!$W$26</f>
        <v>55.895999999999994</v>
      </c>
      <c r="V66" s="14">
        <f>'PIVOT TABLES'!$W$27-'PIVOT TABLES'!$W$26</f>
        <v>27.948</v>
      </c>
      <c r="W66" s="14">
        <f>'PIVOT TABLES'!$W$28-'PIVOT TABLES'!$W$27</f>
        <v>27.947999999999993</v>
      </c>
      <c r="X66" s="14">
        <f>200-SUM(Table3[[#This Row],[S - LIGHT]:[S - VIGOROUS]])</f>
        <v>88.208000000000013</v>
      </c>
    </row>
    <row r="67" spans="1:24" x14ac:dyDescent="0.25">
      <c r="A67" s="17" t="s">
        <v>6</v>
      </c>
      <c r="B67" s="13" t="str">
        <f t="shared" ref="B67:B130" si="1">IF(A67="Sihle Gum","Defender",IF(A67="Kenny Langa","Defender",IF(A67="Tshepang Makara","Defender",IF(A67="Tshepiso Mahlangu","Defender",IF(A67="Neo Ramashala","Defender",IF(A67="Keabetswe Nkogatse","Defender",IF(A67="Kaketso Harold Majadibodu","Defender",IF(A67="Samuel Julies","Midfielder",IF(A67="Frank Mpedi","Midfielder",IF(A67="Sapholwethu Kelepu","Midfielder",IF(A67="Manelisi Sithole","Midfielder",IF(A67="Thabiso Mokoena","Midfielder",IF(A67="Khomotso Marebane","Midfielder",IF(A67="Tebogo Mohlamonyane","Midfielder",IF(A67="Thulani Zandamela","Midfielder",IF(A67="Mdevulana Camagu","Midfielder",IF(A67="Promise Mkhuma","Midfielder",IF(A67="Essien Makwarimba","Midfielder",IF(A67="Ayanda Mvambi","Winger",IF(A67="Delano Abrahams","Winger",IF(A67="Thokozani Sekotlong","Winger",IF(A67="Maselaelo Seanego","Winger",IF(A67="Lesedi Motha","Winger",IF(A67="Malekgene Mampuru","Winger",IF(A67="Matome Rangata","Winger",IF(A67="Thabang Sibanyoni","Striker",IF(A67="Tebogo Makungo","Striker",IF(A67="Neo Dikgale","Striker",IF(A67="Kamohelo Pheeane","Striker",IF(A67="Athenkosi Tonisi","Striker",IF(A67="Jesse Francis","Striker","####")))))))))))))))))))))))))))))))</f>
        <v>Midfielder</v>
      </c>
      <c r="C67" s="7">
        <v>45217.636041666665</v>
      </c>
      <c r="D67" s="14">
        <v>4666</v>
      </c>
      <c r="E67" s="14">
        <v>4</v>
      </c>
      <c r="F67" s="14">
        <v>14</v>
      </c>
      <c r="G67" s="14">
        <v>15</v>
      </c>
      <c r="H67" s="14">
        <v>47.64</v>
      </c>
      <c r="I67" s="14">
        <f>'PIVOT TABLES'!$B$26</f>
        <v>60.283999999999999</v>
      </c>
      <c r="J67" s="14">
        <f>'PIVOT TABLES'!$B$27-'PIVOT TABLES'!$B$26</f>
        <v>30.142000000000003</v>
      </c>
      <c r="K67" s="14">
        <f>'PIVOT TABLES'!$B$28-'PIVOT TABLES'!$B$27</f>
        <v>30.141999999999996</v>
      </c>
      <c r="L67" s="14">
        <f>200-SUM(Table3[[#This Row],[D - LIGHT]:[D - VIGOROUS]])</f>
        <v>79.432000000000002</v>
      </c>
      <c r="M67" s="14">
        <f>'PIVOT TABLES'!$I$26</f>
        <v>65.603999999999999</v>
      </c>
      <c r="N67" s="14">
        <f>'PIVOT TABLES'!$I$27-'PIVOT TABLES'!$I$26</f>
        <v>32.802000000000007</v>
      </c>
      <c r="O67" s="14">
        <f>'PIVOT TABLES'!$I$28-'PIVOT TABLES'!$I$27</f>
        <v>32.801999999999992</v>
      </c>
      <c r="P67" s="14">
        <f>200-SUM(Table3[[#This Row],[M - LIGHT]:[M - VIGOROUS]])</f>
        <v>68.792000000000002</v>
      </c>
      <c r="Q67" s="14">
        <f>'PIVOT TABLES'!$P$26</f>
        <v>62.64</v>
      </c>
      <c r="R67" s="14">
        <f>'PIVOT TABLES'!$P$27-'PIVOT TABLES'!$P$26</f>
        <v>31.320000000000007</v>
      </c>
      <c r="S67" s="14">
        <f>'PIVOT TABLES'!$P$28-'PIVOT TABLES'!$P$27</f>
        <v>31.319999999999993</v>
      </c>
      <c r="T67" s="14">
        <f>200-SUM(Table3[[#This Row],[W - LIGHT]:[W - VIGOROUS]])</f>
        <v>74.72</v>
      </c>
      <c r="U67" s="14">
        <f>'PIVOT TABLES'!$W$26</f>
        <v>55.895999999999994</v>
      </c>
      <c r="V67" s="14">
        <f>'PIVOT TABLES'!$W$27-'PIVOT TABLES'!$W$26</f>
        <v>27.948</v>
      </c>
      <c r="W67" s="14">
        <f>'PIVOT TABLES'!$W$28-'PIVOT TABLES'!$W$27</f>
        <v>27.947999999999993</v>
      </c>
      <c r="X67" s="14">
        <f>200-SUM(Table3[[#This Row],[S - LIGHT]:[S - VIGOROUS]])</f>
        <v>88.208000000000013</v>
      </c>
    </row>
    <row r="68" spans="1:24" x14ac:dyDescent="0.25">
      <c r="A68" s="17" t="s">
        <v>62</v>
      </c>
      <c r="B68" s="13" t="str">
        <f t="shared" si="1"/>
        <v>Midfielder</v>
      </c>
      <c r="C68" s="7">
        <v>45217.636041666665</v>
      </c>
      <c r="D68" s="14">
        <v>5853</v>
      </c>
      <c r="E68" s="14">
        <v>0</v>
      </c>
      <c r="F68" s="14">
        <v>19</v>
      </c>
      <c r="G68" s="14">
        <v>18</v>
      </c>
      <c r="H68" s="14">
        <v>59.65</v>
      </c>
      <c r="I68" s="14">
        <f>'PIVOT TABLES'!$B$26</f>
        <v>60.283999999999999</v>
      </c>
      <c r="J68" s="14">
        <f>'PIVOT TABLES'!$B$27-'PIVOT TABLES'!$B$26</f>
        <v>30.142000000000003</v>
      </c>
      <c r="K68" s="14">
        <f>'PIVOT TABLES'!$B$28-'PIVOT TABLES'!$B$27</f>
        <v>30.141999999999996</v>
      </c>
      <c r="L68" s="14">
        <f>200-SUM(Table3[[#This Row],[D - LIGHT]:[D - VIGOROUS]])</f>
        <v>79.432000000000002</v>
      </c>
      <c r="M68" s="14">
        <f>'PIVOT TABLES'!$I$26</f>
        <v>65.603999999999999</v>
      </c>
      <c r="N68" s="14">
        <f>'PIVOT TABLES'!$I$27-'PIVOT TABLES'!$I$26</f>
        <v>32.802000000000007</v>
      </c>
      <c r="O68" s="14">
        <f>'PIVOT TABLES'!$I$28-'PIVOT TABLES'!$I$27</f>
        <v>32.801999999999992</v>
      </c>
      <c r="P68" s="14">
        <f>200-SUM(Table3[[#This Row],[M - LIGHT]:[M - VIGOROUS]])</f>
        <v>68.792000000000002</v>
      </c>
      <c r="Q68" s="14">
        <f>'PIVOT TABLES'!$P$26</f>
        <v>62.64</v>
      </c>
      <c r="R68" s="14">
        <f>'PIVOT TABLES'!$P$27-'PIVOT TABLES'!$P$26</f>
        <v>31.320000000000007</v>
      </c>
      <c r="S68" s="14">
        <f>'PIVOT TABLES'!$P$28-'PIVOT TABLES'!$P$27</f>
        <v>31.319999999999993</v>
      </c>
      <c r="T68" s="14">
        <f>200-SUM(Table3[[#This Row],[W - LIGHT]:[W - VIGOROUS]])</f>
        <v>74.72</v>
      </c>
      <c r="U68" s="14">
        <f>'PIVOT TABLES'!$W$26</f>
        <v>55.895999999999994</v>
      </c>
      <c r="V68" s="14">
        <f>'PIVOT TABLES'!$W$27-'PIVOT TABLES'!$W$26</f>
        <v>27.948</v>
      </c>
      <c r="W68" s="14">
        <f>'PIVOT TABLES'!$W$28-'PIVOT TABLES'!$W$27</f>
        <v>27.947999999999993</v>
      </c>
      <c r="X68" s="14">
        <f>200-SUM(Table3[[#This Row],[S - LIGHT]:[S - VIGOROUS]])</f>
        <v>88.208000000000013</v>
      </c>
    </row>
    <row r="69" spans="1:24" x14ac:dyDescent="0.25">
      <c r="A69" s="17" t="s">
        <v>64</v>
      </c>
      <c r="B69" s="13" t="str">
        <f t="shared" si="1"/>
        <v>Midfielder</v>
      </c>
      <c r="C69" s="7">
        <v>45217.636041666665</v>
      </c>
      <c r="D69" s="14">
        <v>6606</v>
      </c>
      <c r="E69" s="14">
        <v>51</v>
      </c>
      <c r="F69" s="14">
        <v>29</v>
      </c>
      <c r="G69" s="14">
        <v>29</v>
      </c>
      <c r="H69" s="14">
        <v>69.33</v>
      </c>
      <c r="I69" s="14">
        <f>'PIVOT TABLES'!$B$26</f>
        <v>60.283999999999999</v>
      </c>
      <c r="J69" s="14">
        <f>'PIVOT TABLES'!$B$27-'PIVOT TABLES'!$B$26</f>
        <v>30.142000000000003</v>
      </c>
      <c r="K69" s="14">
        <f>'PIVOT TABLES'!$B$28-'PIVOT TABLES'!$B$27</f>
        <v>30.141999999999996</v>
      </c>
      <c r="L69" s="14">
        <f>200-SUM(Table3[[#This Row],[D - LIGHT]:[D - VIGOROUS]])</f>
        <v>79.432000000000002</v>
      </c>
      <c r="M69" s="14">
        <f>'PIVOT TABLES'!$I$26</f>
        <v>65.603999999999999</v>
      </c>
      <c r="N69" s="14">
        <f>'PIVOT TABLES'!$I$27-'PIVOT TABLES'!$I$26</f>
        <v>32.802000000000007</v>
      </c>
      <c r="O69" s="14">
        <f>'PIVOT TABLES'!$I$28-'PIVOT TABLES'!$I$27</f>
        <v>32.801999999999992</v>
      </c>
      <c r="P69" s="14">
        <f>200-SUM(Table3[[#This Row],[M - LIGHT]:[M - VIGOROUS]])</f>
        <v>68.792000000000002</v>
      </c>
      <c r="Q69" s="14">
        <f>'PIVOT TABLES'!$P$26</f>
        <v>62.64</v>
      </c>
      <c r="R69" s="14">
        <f>'PIVOT TABLES'!$P$27-'PIVOT TABLES'!$P$26</f>
        <v>31.320000000000007</v>
      </c>
      <c r="S69" s="14">
        <f>'PIVOT TABLES'!$P$28-'PIVOT TABLES'!$P$27</f>
        <v>31.319999999999993</v>
      </c>
      <c r="T69" s="14">
        <f>200-SUM(Table3[[#This Row],[W - LIGHT]:[W - VIGOROUS]])</f>
        <v>74.72</v>
      </c>
      <c r="U69" s="14">
        <f>'PIVOT TABLES'!$W$26</f>
        <v>55.895999999999994</v>
      </c>
      <c r="V69" s="14">
        <f>'PIVOT TABLES'!$W$27-'PIVOT TABLES'!$W$26</f>
        <v>27.948</v>
      </c>
      <c r="W69" s="14">
        <f>'PIVOT TABLES'!$W$28-'PIVOT TABLES'!$W$27</f>
        <v>27.947999999999993</v>
      </c>
      <c r="X69" s="14">
        <f>200-SUM(Table3[[#This Row],[S - LIGHT]:[S - VIGOROUS]])</f>
        <v>88.208000000000013</v>
      </c>
    </row>
    <row r="70" spans="1:24" x14ac:dyDescent="0.25">
      <c r="A70" s="17" t="s">
        <v>65</v>
      </c>
      <c r="B70" s="13" t="str">
        <f t="shared" si="1"/>
        <v>Winger</v>
      </c>
      <c r="C70" s="7">
        <v>45217.636041666665</v>
      </c>
      <c r="D70" s="14">
        <v>6166</v>
      </c>
      <c r="E70" s="14">
        <v>28</v>
      </c>
      <c r="F70" s="14">
        <v>43</v>
      </c>
      <c r="G70" s="14">
        <v>28</v>
      </c>
      <c r="H70" s="14">
        <v>64.78</v>
      </c>
      <c r="I70" s="14">
        <f>'PIVOT TABLES'!$B$26</f>
        <v>60.283999999999999</v>
      </c>
      <c r="J70" s="14">
        <f>'PIVOT TABLES'!$B$27-'PIVOT TABLES'!$B$26</f>
        <v>30.142000000000003</v>
      </c>
      <c r="K70" s="14">
        <f>'PIVOT TABLES'!$B$28-'PIVOT TABLES'!$B$27</f>
        <v>30.141999999999996</v>
      </c>
      <c r="L70" s="14">
        <f>200-SUM(Table3[[#This Row],[D - LIGHT]:[D - VIGOROUS]])</f>
        <v>79.432000000000002</v>
      </c>
      <c r="M70" s="14">
        <f>'PIVOT TABLES'!$I$26</f>
        <v>65.603999999999999</v>
      </c>
      <c r="N70" s="14">
        <f>'PIVOT TABLES'!$I$27-'PIVOT TABLES'!$I$26</f>
        <v>32.802000000000007</v>
      </c>
      <c r="O70" s="14">
        <f>'PIVOT TABLES'!$I$28-'PIVOT TABLES'!$I$27</f>
        <v>32.801999999999992</v>
      </c>
      <c r="P70" s="14">
        <f>200-SUM(Table3[[#This Row],[M - LIGHT]:[M - VIGOROUS]])</f>
        <v>68.792000000000002</v>
      </c>
      <c r="Q70" s="14">
        <f>'PIVOT TABLES'!$P$26</f>
        <v>62.64</v>
      </c>
      <c r="R70" s="14">
        <f>'PIVOT TABLES'!$P$27-'PIVOT TABLES'!$P$26</f>
        <v>31.320000000000007</v>
      </c>
      <c r="S70" s="14">
        <f>'PIVOT TABLES'!$P$28-'PIVOT TABLES'!$P$27</f>
        <v>31.319999999999993</v>
      </c>
      <c r="T70" s="14">
        <f>200-SUM(Table3[[#This Row],[W - LIGHT]:[W - VIGOROUS]])</f>
        <v>74.72</v>
      </c>
      <c r="U70" s="14">
        <f>'PIVOT TABLES'!$W$26</f>
        <v>55.895999999999994</v>
      </c>
      <c r="V70" s="14">
        <f>'PIVOT TABLES'!$W$27-'PIVOT TABLES'!$W$26</f>
        <v>27.948</v>
      </c>
      <c r="W70" s="14">
        <f>'PIVOT TABLES'!$W$28-'PIVOT TABLES'!$W$27</f>
        <v>27.947999999999993</v>
      </c>
      <c r="X70" s="14">
        <f>200-SUM(Table3[[#This Row],[S - LIGHT]:[S - VIGOROUS]])</f>
        <v>88.208000000000013</v>
      </c>
    </row>
    <row r="71" spans="1:24" x14ac:dyDescent="0.25">
      <c r="A71" s="17" t="s">
        <v>77</v>
      </c>
      <c r="B71" s="13" t="str">
        <f t="shared" si="1"/>
        <v>Defender</v>
      </c>
      <c r="C71" s="7">
        <v>45217.636041666665</v>
      </c>
      <c r="D71" s="14">
        <v>4046</v>
      </c>
      <c r="E71" s="14">
        <v>92</v>
      </c>
      <c r="F71" s="14">
        <v>27</v>
      </c>
      <c r="G71" s="14">
        <v>15</v>
      </c>
      <c r="H71" s="14">
        <v>44.6</v>
      </c>
      <c r="I71" s="14">
        <f>'PIVOT TABLES'!$B$26</f>
        <v>60.283999999999999</v>
      </c>
      <c r="J71" s="14">
        <f>'PIVOT TABLES'!$B$27-'PIVOT TABLES'!$B$26</f>
        <v>30.142000000000003</v>
      </c>
      <c r="K71" s="14">
        <f>'PIVOT TABLES'!$B$28-'PIVOT TABLES'!$B$27</f>
        <v>30.141999999999996</v>
      </c>
      <c r="L71" s="14">
        <f>200-SUM(Table3[[#This Row],[D - LIGHT]:[D - VIGOROUS]])</f>
        <v>79.432000000000002</v>
      </c>
      <c r="M71" s="14">
        <f>'PIVOT TABLES'!$I$26</f>
        <v>65.603999999999999</v>
      </c>
      <c r="N71" s="14">
        <f>'PIVOT TABLES'!$I$27-'PIVOT TABLES'!$I$26</f>
        <v>32.802000000000007</v>
      </c>
      <c r="O71" s="14">
        <f>'PIVOT TABLES'!$I$28-'PIVOT TABLES'!$I$27</f>
        <v>32.801999999999992</v>
      </c>
      <c r="P71" s="14">
        <f>200-SUM(Table3[[#This Row],[M - LIGHT]:[M - VIGOROUS]])</f>
        <v>68.792000000000002</v>
      </c>
      <c r="Q71" s="14">
        <f>'PIVOT TABLES'!$P$26</f>
        <v>62.64</v>
      </c>
      <c r="R71" s="14">
        <f>'PIVOT TABLES'!$P$27-'PIVOT TABLES'!$P$26</f>
        <v>31.320000000000007</v>
      </c>
      <c r="S71" s="14">
        <f>'PIVOT TABLES'!$P$28-'PIVOT TABLES'!$P$27</f>
        <v>31.319999999999993</v>
      </c>
      <c r="T71" s="14">
        <f>200-SUM(Table3[[#This Row],[W - LIGHT]:[W - VIGOROUS]])</f>
        <v>74.72</v>
      </c>
      <c r="U71" s="14">
        <f>'PIVOT TABLES'!$W$26</f>
        <v>55.895999999999994</v>
      </c>
      <c r="V71" s="14">
        <f>'PIVOT TABLES'!$W$27-'PIVOT TABLES'!$W$26</f>
        <v>27.948</v>
      </c>
      <c r="W71" s="14">
        <f>'PIVOT TABLES'!$W$28-'PIVOT TABLES'!$W$27</f>
        <v>27.947999999999993</v>
      </c>
      <c r="X71" s="14">
        <f>200-SUM(Table3[[#This Row],[S - LIGHT]:[S - VIGOROUS]])</f>
        <v>88.208000000000013</v>
      </c>
    </row>
    <row r="72" spans="1:24" x14ac:dyDescent="0.25">
      <c r="A72" s="17" t="s">
        <v>66</v>
      </c>
      <c r="B72" s="13" t="str">
        <f t="shared" si="1"/>
        <v>Striker</v>
      </c>
      <c r="C72" s="7">
        <v>45217.636041666665</v>
      </c>
      <c r="D72" s="14">
        <v>6286</v>
      </c>
      <c r="E72" s="14">
        <v>48</v>
      </c>
      <c r="F72" s="14">
        <v>28</v>
      </c>
      <c r="G72" s="14">
        <v>25</v>
      </c>
      <c r="H72" s="14">
        <v>65.92</v>
      </c>
      <c r="I72" s="14">
        <f>'PIVOT TABLES'!$B$26</f>
        <v>60.283999999999999</v>
      </c>
      <c r="J72" s="14">
        <f>'PIVOT TABLES'!$B$27-'PIVOT TABLES'!$B$26</f>
        <v>30.142000000000003</v>
      </c>
      <c r="K72" s="14">
        <f>'PIVOT TABLES'!$B$28-'PIVOT TABLES'!$B$27</f>
        <v>30.141999999999996</v>
      </c>
      <c r="L72" s="14">
        <f>200-SUM(Table3[[#This Row],[D - LIGHT]:[D - VIGOROUS]])</f>
        <v>79.432000000000002</v>
      </c>
      <c r="M72" s="14">
        <f>'PIVOT TABLES'!$I$26</f>
        <v>65.603999999999999</v>
      </c>
      <c r="N72" s="14">
        <f>'PIVOT TABLES'!$I$27-'PIVOT TABLES'!$I$26</f>
        <v>32.802000000000007</v>
      </c>
      <c r="O72" s="14">
        <f>'PIVOT TABLES'!$I$28-'PIVOT TABLES'!$I$27</f>
        <v>32.801999999999992</v>
      </c>
      <c r="P72" s="14">
        <f>200-SUM(Table3[[#This Row],[M - LIGHT]:[M - VIGOROUS]])</f>
        <v>68.792000000000002</v>
      </c>
      <c r="Q72" s="14">
        <f>'PIVOT TABLES'!$P$26</f>
        <v>62.64</v>
      </c>
      <c r="R72" s="14">
        <f>'PIVOT TABLES'!$P$27-'PIVOT TABLES'!$P$26</f>
        <v>31.320000000000007</v>
      </c>
      <c r="S72" s="14">
        <f>'PIVOT TABLES'!$P$28-'PIVOT TABLES'!$P$27</f>
        <v>31.319999999999993</v>
      </c>
      <c r="T72" s="14">
        <f>200-SUM(Table3[[#This Row],[W - LIGHT]:[W - VIGOROUS]])</f>
        <v>74.72</v>
      </c>
      <c r="U72" s="14">
        <f>'PIVOT TABLES'!$W$26</f>
        <v>55.895999999999994</v>
      </c>
      <c r="V72" s="14">
        <f>'PIVOT TABLES'!$W$27-'PIVOT TABLES'!$W$26</f>
        <v>27.948</v>
      </c>
      <c r="W72" s="14">
        <f>'PIVOT TABLES'!$W$28-'PIVOT TABLES'!$W$27</f>
        <v>27.947999999999993</v>
      </c>
      <c r="X72" s="14">
        <f>200-SUM(Table3[[#This Row],[S - LIGHT]:[S - VIGOROUS]])</f>
        <v>88.208000000000013</v>
      </c>
    </row>
    <row r="73" spans="1:24" x14ac:dyDescent="0.25">
      <c r="A73" s="17" t="s">
        <v>78</v>
      </c>
      <c r="B73" s="13" t="str">
        <f t="shared" si="1"/>
        <v>Defender</v>
      </c>
      <c r="C73" s="7">
        <v>45217.636041666665</v>
      </c>
      <c r="D73" s="14">
        <v>4514</v>
      </c>
      <c r="E73" s="14">
        <v>4</v>
      </c>
      <c r="F73" s="14">
        <v>19</v>
      </c>
      <c r="G73" s="14">
        <v>11</v>
      </c>
      <c r="H73" s="14">
        <v>46.24</v>
      </c>
      <c r="I73" s="14">
        <f>'PIVOT TABLES'!$B$26</f>
        <v>60.283999999999999</v>
      </c>
      <c r="J73" s="14">
        <f>'PIVOT TABLES'!$B$27-'PIVOT TABLES'!$B$26</f>
        <v>30.142000000000003</v>
      </c>
      <c r="K73" s="14">
        <f>'PIVOT TABLES'!$B$28-'PIVOT TABLES'!$B$27</f>
        <v>30.141999999999996</v>
      </c>
      <c r="L73" s="14">
        <f>200-SUM(Table3[[#This Row],[D - LIGHT]:[D - VIGOROUS]])</f>
        <v>79.432000000000002</v>
      </c>
      <c r="M73" s="14">
        <f>'PIVOT TABLES'!$I$26</f>
        <v>65.603999999999999</v>
      </c>
      <c r="N73" s="14">
        <f>'PIVOT TABLES'!$I$27-'PIVOT TABLES'!$I$26</f>
        <v>32.802000000000007</v>
      </c>
      <c r="O73" s="14">
        <f>'PIVOT TABLES'!$I$28-'PIVOT TABLES'!$I$27</f>
        <v>32.801999999999992</v>
      </c>
      <c r="P73" s="14">
        <f>200-SUM(Table3[[#This Row],[M - LIGHT]:[M - VIGOROUS]])</f>
        <v>68.792000000000002</v>
      </c>
      <c r="Q73" s="14">
        <f>'PIVOT TABLES'!$P$26</f>
        <v>62.64</v>
      </c>
      <c r="R73" s="14">
        <f>'PIVOT TABLES'!$P$27-'PIVOT TABLES'!$P$26</f>
        <v>31.320000000000007</v>
      </c>
      <c r="S73" s="14">
        <f>'PIVOT TABLES'!$P$28-'PIVOT TABLES'!$P$27</f>
        <v>31.319999999999993</v>
      </c>
      <c r="T73" s="14">
        <f>200-SUM(Table3[[#This Row],[W - LIGHT]:[W - VIGOROUS]])</f>
        <v>74.72</v>
      </c>
      <c r="U73" s="14">
        <f>'PIVOT TABLES'!$W$26</f>
        <v>55.895999999999994</v>
      </c>
      <c r="V73" s="14">
        <f>'PIVOT TABLES'!$W$27-'PIVOT TABLES'!$W$26</f>
        <v>27.948</v>
      </c>
      <c r="W73" s="14">
        <f>'PIVOT TABLES'!$W$28-'PIVOT TABLES'!$W$27</f>
        <v>27.947999999999993</v>
      </c>
      <c r="X73" s="14">
        <f>200-SUM(Table3[[#This Row],[S - LIGHT]:[S - VIGOROUS]])</f>
        <v>88.208000000000013</v>
      </c>
    </row>
    <row r="74" spans="1:24" x14ac:dyDescent="0.25">
      <c r="A74" s="17" t="s">
        <v>8</v>
      </c>
      <c r="B74" s="13" t="str">
        <f t="shared" si="1"/>
        <v>Striker</v>
      </c>
      <c r="C74" s="7">
        <v>45217.636041666665</v>
      </c>
      <c r="D74" s="14">
        <v>6391</v>
      </c>
      <c r="E74" s="14">
        <v>68</v>
      </c>
      <c r="F74" s="14">
        <v>58</v>
      </c>
      <c r="G74" s="14">
        <v>54</v>
      </c>
      <c r="H74" s="14">
        <v>69.349999999999994</v>
      </c>
      <c r="I74" s="14">
        <f>'PIVOT TABLES'!$B$26</f>
        <v>60.283999999999999</v>
      </c>
      <c r="J74" s="14">
        <f>'PIVOT TABLES'!$B$27-'PIVOT TABLES'!$B$26</f>
        <v>30.142000000000003</v>
      </c>
      <c r="K74" s="14">
        <f>'PIVOT TABLES'!$B$28-'PIVOT TABLES'!$B$27</f>
        <v>30.141999999999996</v>
      </c>
      <c r="L74" s="14">
        <f>200-SUM(Table3[[#This Row],[D - LIGHT]:[D - VIGOROUS]])</f>
        <v>79.432000000000002</v>
      </c>
      <c r="M74" s="14">
        <f>'PIVOT TABLES'!$I$26</f>
        <v>65.603999999999999</v>
      </c>
      <c r="N74" s="14">
        <f>'PIVOT TABLES'!$I$27-'PIVOT TABLES'!$I$26</f>
        <v>32.802000000000007</v>
      </c>
      <c r="O74" s="14">
        <f>'PIVOT TABLES'!$I$28-'PIVOT TABLES'!$I$27</f>
        <v>32.801999999999992</v>
      </c>
      <c r="P74" s="14">
        <f>200-SUM(Table3[[#This Row],[M - LIGHT]:[M - VIGOROUS]])</f>
        <v>68.792000000000002</v>
      </c>
      <c r="Q74" s="14">
        <f>'PIVOT TABLES'!$P$26</f>
        <v>62.64</v>
      </c>
      <c r="R74" s="14">
        <f>'PIVOT TABLES'!$P$27-'PIVOT TABLES'!$P$26</f>
        <v>31.320000000000007</v>
      </c>
      <c r="S74" s="14">
        <f>'PIVOT TABLES'!$P$28-'PIVOT TABLES'!$P$27</f>
        <v>31.319999999999993</v>
      </c>
      <c r="T74" s="14">
        <f>200-SUM(Table3[[#This Row],[W - LIGHT]:[W - VIGOROUS]])</f>
        <v>74.72</v>
      </c>
      <c r="U74" s="14">
        <f>'PIVOT TABLES'!$W$26</f>
        <v>55.895999999999994</v>
      </c>
      <c r="V74" s="14">
        <f>'PIVOT TABLES'!$W$27-'PIVOT TABLES'!$W$26</f>
        <v>27.948</v>
      </c>
      <c r="W74" s="14">
        <f>'PIVOT TABLES'!$W$28-'PIVOT TABLES'!$W$27</f>
        <v>27.947999999999993</v>
      </c>
      <c r="X74" s="14">
        <f>200-SUM(Table3[[#This Row],[S - LIGHT]:[S - VIGOROUS]])</f>
        <v>88.208000000000013</v>
      </c>
    </row>
    <row r="75" spans="1:24" x14ac:dyDescent="0.25">
      <c r="A75" s="17" t="s">
        <v>67</v>
      </c>
      <c r="B75" s="13" t="str">
        <f t="shared" si="1"/>
        <v>Midfielder</v>
      </c>
      <c r="C75" s="7">
        <v>45217.636041666665</v>
      </c>
      <c r="D75" s="14">
        <v>4993</v>
      </c>
      <c r="E75" s="14">
        <v>74</v>
      </c>
      <c r="F75" s="14">
        <v>21</v>
      </c>
      <c r="G75" s="14">
        <v>14</v>
      </c>
      <c r="H75" s="14">
        <v>53.27</v>
      </c>
      <c r="I75" s="14">
        <f>'PIVOT TABLES'!$B$26</f>
        <v>60.283999999999999</v>
      </c>
      <c r="J75" s="14">
        <f>'PIVOT TABLES'!$B$27-'PIVOT TABLES'!$B$26</f>
        <v>30.142000000000003</v>
      </c>
      <c r="K75" s="14">
        <f>'PIVOT TABLES'!$B$28-'PIVOT TABLES'!$B$27</f>
        <v>30.141999999999996</v>
      </c>
      <c r="L75" s="14">
        <f>200-SUM(Table3[[#This Row],[D - LIGHT]:[D - VIGOROUS]])</f>
        <v>79.432000000000002</v>
      </c>
      <c r="M75" s="14">
        <f>'PIVOT TABLES'!$I$26</f>
        <v>65.603999999999999</v>
      </c>
      <c r="N75" s="14">
        <f>'PIVOT TABLES'!$I$27-'PIVOT TABLES'!$I$26</f>
        <v>32.802000000000007</v>
      </c>
      <c r="O75" s="14">
        <f>'PIVOT TABLES'!$I$28-'PIVOT TABLES'!$I$27</f>
        <v>32.801999999999992</v>
      </c>
      <c r="P75" s="14">
        <f>200-SUM(Table3[[#This Row],[M - LIGHT]:[M - VIGOROUS]])</f>
        <v>68.792000000000002</v>
      </c>
      <c r="Q75" s="14">
        <f>'PIVOT TABLES'!$P$26</f>
        <v>62.64</v>
      </c>
      <c r="R75" s="14">
        <f>'PIVOT TABLES'!$P$27-'PIVOT TABLES'!$P$26</f>
        <v>31.320000000000007</v>
      </c>
      <c r="S75" s="14">
        <f>'PIVOT TABLES'!$P$28-'PIVOT TABLES'!$P$27</f>
        <v>31.319999999999993</v>
      </c>
      <c r="T75" s="14">
        <f>200-SUM(Table3[[#This Row],[W - LIGHT]:[W - VIGOROUS]])</f>
        <v>74.72</v>
      </c>
      <c r="U75" s="14">
        <f>'PIVOT TABLES'!$W$26</f>
        <v>55.895999999999994</v>
      </c>
      <c r="V75" s="14">
        <f>'PIVOT TABLES'!$W$27-'PIVOT TABLES'!$W$26</f>
        <v>27.948</v>
      </c>
      <c r="W75" s="14">
        <f>'PIVOT TABLES'!$W$28-'PIVOT TABLES'!$W$27</f>
        <v>27.947999999999993</v>
      </c>
      <c r="X75" s="14">
        <f>200-SUM(Table3[[#This Row],[S - LIGHT]:[S - VIGOROUS]])</f>
        <v>88.208000000000013</v>
      </c>
    </row>
    <row r="76" spans="1:24" x14ac:dyDescent="0.25">
      <c r="A76" s="17" t="s">
        <v>9</v>
      </c>
      <c r="B76" s="13" t="str">
        <f t="shared" si="1"/>
        <v>Striker</v>
      </c>
      <c r="C76" s="7">
        <v>45217.636041666665</v>
      </c>
      <c r="D76" s="14">
        <v>4124</v>
      </c>
      <c r="E76" s="14">
        <v>7</v>
      </c>
      <c r="F76" s="14">
        <v>21</v>
      </c>
      <c r="G76" s="14">
        <v>12</v>
      </c>
      <c r="H76" s="14">
        <v>42.53</v>
      </c>
      <c r="I76" s="14">
        <f>'PIVOT TABLES'!$B$26</f>
        <v>60.283999999999999</v>
      </c>
      <c r="J76" s="14">
        <f>'PIVOT TABLES'!$B$27-'PIVOT TABLES'!$B$26</f>
        <v>30.142000000000003</v>
      </c>
      <c r="K76" s="14">
        <f>'PIVOT TABLES'!$B$28-'PIVOT TABLES'!$B$27</f>
        <v>30.141999999999996</v>
      </c>
      <c r="L76" s="14">
        <f>200-SUM(Table3[[#This Row],[D - LIGHT]:[D - VIGOROUS]])</f>
        <v>79.432000000000002</v>
      </c>
      <c r="M76" s="14">
        <f>'PIVOT TABLES'!$I$26</f>
        <v>65.603999999999999</v>
      </c>
      <c r="N76" s="14">
        <f>'PIVOT TABLES'!$I$27-'PIVOT TABLES'!$I$26</f>
        <v>32.802000000000007</v>
      </c>
      <c r="O76" s="14">
        <f>'PIVOT TABLES'!$I$28-'PIVOT TABLES'!$I$27</f>
        <v>32.801999999999992</v>
      </c>
      <c r="P76" s="14">
        <f>200-SUM(Table3[[#This Row],[M - LIGHT]:[M - VIGOROUS]])</f>
        <v>68.792000000000002</v>
      </c>
      <c r="Q76" s="14">
        <f>'PIVOT TABLES'!$P$26</f>
        <v>62.64</v>
      </c>
      <c r="R76" s="14">
        <f>'PIVOT TABLES'!$P$27-'PIVOT TABLES'!$P$26</f>
        <v>31.320000000000007</v>
      </c>
      <c r="S76" s="14">
        <f>'PIVOT TABLES'!$P$28-'PIVOT TABLES'!$P$27</f>
        <v>31.319999999999993</v>
      </c>
      <c r="T76" s="14">
        <f>200-SUM(Table3[[#This Row],[W - LIGHT]:[W - VIGOROUS]])</f>
        <v>74.72</v>
      </c>
      <c r="U76" s="14">
        <f>'PIVOT TABLES'!$W$26</f>
        <v>55.895999999999994</v>
      </c>
      <c r="V76" s="14">
        <f>'PIVOT TABLES'!$W$27-'PIVOT TABLES'!$W$26</f>
        <v>27.948</v>
      </c>
      <c r="W76" s="14">
        <f>'PIVOT TABLES'!$W$28-'PIVOT TABLES'!$W$27</f>
        <v>27.947999999999993</v>
      </c>
      <c r="X76" s="14">
        <f>200-SUM(Table3[[#This Row],[S - LIGHT]:[S - VIGOROUS]])</f>
        <v>88.208000000000013</v>
      </c>
    </row>
    <row r="77" spans="1:24" x14ac:dyDescent="0.25">
      <c r="A77" s="17" t="s">
        <v>69</v>
      </c>
      <c r="B77" s="13" t="str">
        <f t="shared" si="1"/>
        <v>Midfielder</v>
      </c>
      <c r="C77" s="7">
        <v>45217.636041666665</v>
      </c>
      <c r="D77" s="14">
        <v>6553</v>
      </c>
      <c r="E77" s="14">
        <v>169</v>
      </c>
      <c r="F77" s="14">
        <v>37</v>
      </c>
      <c r="G77" s="14">
        <v>33</v>
      </c>
      <c r="H77" s="14">
        <v>72.739999999999995</v>
      </c>
      <c r="I77" s="14">
        <f>'PIVOT TABLES'!$B$26</f>
        <v>60.283999999999999</v>
      </c>
      <c r="J77" s="14">
        <f>'PIVOT TABLES'!$B$27-'PIVOT TABLES'!$B$26</f>
        <v>30.142000000000003</v>
      </c>
      <c r="K77" s="14">
        <f>'PIVOT TABLES'!$B$28-'PIVOT TABLES'!$B$27</f>
        <v>30.141999999999996</v>
      </c>
      <c r="L77" s="14">
        <f>200-SUM(Table3[[#This Row],[D - LIGHT]:[D - VIGOROUS]])</f>
        <v>79.432000000000002</v>
      </c>
      <c r="M77" s="14">
        <f>'PIVOT TABLES'!$I$26</f>
        <v>65.603999999999999</v>
      </c>
      <c r="N77" s="14">
        <f>'PIVOT TABLES'!$I$27-'PIVOT TABLES'!$I$26</f>
        <v>32.802000000000007</v>
      </c>
      <c r="O77" s="14">
        <f>'PIVOT TABLES'!$I$28-'PIVOT TABLES'!$I$27</f>
        <v>32.801999999999992</v>
      </c>
      <c r="P77" s="14">
        <f>200-SUM(Table3[[#This Row],[M - LIGHT]:[M - VIGOROUS]])</f>
        <v>68.792000000000002</v>
      </c>
      <c r="Q77" s="14">
        <f>'PIVOT TABLES'!$P$26</f>
        <v>62.64</v>
      </c>
      <c r="R77" s="14">
        <f>'PIVOT TABLES'!$P$27-'PIVOT TABLES'!$P$26</f>
        <v>31.320000000000007</v>
      </c>
      <c r="S77" s="14">
        <f>'PIVOT TABLES'!$P$28-'PIVOT TABLES'!$P$27</f>
        <v>31.319999999999993</v>
      </c>
      <c r="T77" s="14">
        <f>200-SUM(Table3[[#This Row],[W - LIGHT]:[W - VIGOROUS]])</f>
        <v>74.72</v>
      </c>
      <c r="U77" s="14">
        <f>'PIVOT TABLES'!$W$26</f>
        <v>55.895999999999994</v>
      </c>
      <c r="V77" s="14">
        <f>'PIVOT TABLES'!$W$27-'PIVOT TABLES'!$W$26</f>
        <v>27.948</v>
      </c>
      <c r="W77" s="14">
        <f>'PIVOT TABLES'!$W$28-'PIVOT TABLES'!$W$27</f>
        <v>27.947999999999993</v>
      </c>
      <c r="X77" s="14">
        <f>200-SUM(Table3[[#This Row],[S - LIGHT]:[S - VIGOROUS]])</f>
        <v>88.208000000000013</v>
      </c>
    </row>
    <row r="78" spans="1:24" x14ac:dyDescent="0.25">
      <c r="A78" s="17" t="s">
        <v>53</v>
      </c>
      <c r="B78" s="13" t="str">
        <f t="shared" si="1"/>
        <v>Midfielder</v>
      </c>
      <c r="C78" s="7">
        <v>45219.618564814817</v>
      </c>
      <c r="D78" s="14">
        <v>6279</v>
      </c>
      <c r="E78" s="14">
        <v>65</v>
      </c>
      <c r="F78" s="14">
        <v>30</v>
      </c>
      <c r="G78" s="14">
        <v>24</v>
      </c>
      <c r="H78" s="14">
        <v>66.42</v>
      </c>
      <c r="I78" s="14">
        <f>'PIVOT TABLES'!$B$26</f>
        <v>60.283999999999999</v>
      </c>
      <c r="J78" s="14">
        <f>'PIVOT TABLES'!$B$27-'PIVOT TABLES'!$B$26</f>
        <v>30.142000000000003</v>
      </c>
      <c r="K78" s="14">
        <f>'PIVOT TABLES'!$B$28-'PIVOT TABLES'!$B$27</f>
        <v>30.141999999999996</v>
      </c>
      <c r="L78" s="14">
        <f>200-SUM(Table3[[#This Row],[D - LIGHT]:[D - VIGOROUS]])</f>
        <v>79.432000000000002</v>
      </c>
      <c r="M78" s="14">
        <f>'PIVOT TABLES'!$I$26</f>
        <v>65.603999999999999</v>
      </c>
      <c r="N78" s="14">
        <f>'PIVOT TABLES'!$I$27-'PIVOT TABLES'!$I$26</f>
        <v>32.802000000000007</v>
      </c>
      <c r="O78" s="14">
        <f>'PIVOT TABLES'!$I$28-'PIVOT TABLES'!$I$27</f>
        <v>32.801999999999992</v>
      </c>
      <c r="P78" s="14">
        <f>200-SUM(Table3[[#This Row],[M - LIGHT]:[M - VIGOROUS]])</f>
        <v>68.792000000000002</v>
      </c>
      <c r="Q78" s="14">
        <f>'PIVOT TABLES'!$P$26</f>
        <v>62.64</v>
      </c>
      <c r="R78" s="14">
        <f>'PIVOT TABLES'!$P$27-'PIVOT TABLES'!$P$26</f>
        <v>31.320000000000007</v>
      </c>
      <c r="S78" s="14">
        <f>'PIVOT TABLES'!$P$28-'PIVOT TABLES'!$P$27</f>
        <v>31.319999999999993</v>
      </c>
      <c r="T78" s="14">
        <f>200-SUM(Table3[[#This Row],[W - LIGHT]:[W - VIGOROUS]])</f>
        <v>74.72</v>
      </c>
      <c r="U78" s="14">
        <f>'PIVOT TABLES'!$W$26</f>
        <v>55.895999999999994</v>
      </c>
      <c r="V78" s="14">
        <f>'PIVOT TABLES'!$W$27-'PIVOT TABLES'!$W$26</f>
        <v>27.948</v>
      </c>
      <c r="W78" s="14">
        <f>'PIVOT TABLES'!$W$28-'PIVOT TABLES'!$W$27</f>
        <v>27.947999999999993</v>
      </c>
      <c r="X78" s="14">
        <f>200-SUM(Table3[[#This Row],[S - LIGHT]:[S - VIGOROUS]])</f>
        <v>88.208000000000013</v>
      </c>
    </row>
    <row r="79" spans="1:24" x14ac:dyDescent="0.25">
      <c r="A79" s="17" t="s">
        <v>55</v>
      </c>
      <c r="B79" s="13" t="str">
        <f t="shared" si="1"/>
        <v>Striker</v>
      </c>
      <c r="C79" s="7">
        <v>45219.618564814817</v>
      </c>
      <c r="D79" s="14">
        <v>4216</v>
      </c>
      <c r="E79" s="14">
        <v>0</v>
      </c>
      <c r="F79" s="14">
        <v>8</v>
      </c>
      <c r="G79" s="14">
        <v>19</v>
      </c>
      <c r="H79" s="14">
        <v>42.86</v>
      </c>
      <c r="I79" s="14">
        <f>'PIVOT TABLES'!$B$26</f>
        <v>60.283999999999999</v>
      </c>
      <c r="J79" s="14">
        <f>'PIVOT TABLES'!$B$27-'PIVOT TABLES'!$B$26</f>
        <v>30.142000000000003</v>
      </c>
      <c r="K79" s="14">
        <f>'PIVOT TABLES'!$B$28-'PIVOT TABLES'!$B$27</f>
        <v>30.141999999999996</v>
      </c>
      <c r="L79" s="14">
        <f>200-SUM(Table3[[#This Row],[D - LIGHT]:[D - VIGOROUS]])</f>
        <v>79.432000000000002</v>
      </c>
      <c r="M79" s="14">
        <f>'PIVOT TABLES'!$I$26</f>
        <v>65.603999999999999</v>
      </c>
      <c r="N79" s="14">
        <f>'PIVOT TABLES'!$I$27-'PIVOT TABLES'!$I$26</f>
        <v>32.802000000000007</v>
      </c>
      <c r="O79" s="14">
        <f>'PIVOT TABLES'!$I$28-'PIVOT TABLES'!$I$27</f>
        <v>32.801999999999992</v>
      </c>
      <c r="P79" s="14">
        <f>200-SUM(Table3[[#This Row],[M - LIGHT]:[M - VIGOROUS]])</f>
        <v>68.792000000000002</v>
      </c>
      <c r="Q79" s="14">
        <f>'PIVOT TABLES'!$P$26</f>
        <v>62.64</v>
      </c>
      <c r="R79" s="14">
        <f>'PIVOT TABLES'!$P$27-'PIVOT TABLES'!$P$26</f>
        <v>31.320000000000007</v>
      </c>
      <c r="S79" s="14">
        <f>'PIVOT TABLES'!$P$28-'PIVOT TABLES'!$P$27</f>
        <v>31.319999999999993</v>
      </c>
      <c r="T79" s="14">
        <f>200-SUM(Table3[[#This Row],[W - LIGHT]:[W - VIGOROUS]])</f>
        <v>74.72</v>
      </c>
      <c r="U79" s="14">
        <f>'PIVOT TABLES'!$W$26</f>
        <v>55.895999999999994</v>
      </c>
      <c r="V79" s="14">
        <f>'PIVOT TABLES'!$W$27-'PIVOT TABLES'!$W$26</f>
        <v>27.948</v>
      </c>
      <c r="W79" s="14">
        <f>'PIVOT TABLES'!$W$28-'PIVOT TABLES'!$W$27</f>
        <v>27.947999999999993</v>
      </c>
      <c r="X79" s="14">
        <f>200-SUM(Table3[[#This Row],[S - LIGHT]:[S - VIGOROUS]])</f>
        <v>88.208000000000013</v>
      </c>
    </row>
    <row r="80" spans="1:24" x14ac:dyDescent="0.25">
      <c r="A80" s="17" t="s">
        <v>56</v>
      </c>
      <c r="B80" s="13" t="str">
        <f t="shared" si="1"/>
        <v>Midfielder</v>
      </c>
      <c r="C80" s="7">
        <v>45219.618564814817</v>
      </c>
      <c r="D80" s="14">
        <v>14275</v>
      </c>
      <c r="E80" s="14">
        <v>167</v>
      </c>
      <c r="F80" s="14">
        <v>45</v>
      </c>
      <c r="G80" s="14">
        <v>26</v>
      </c>
      <c r="H80" s="14">
        <v>150.08000000000001</v>
      </c>
      <c r="I80" s="14">
        <f>'PIVOT TABLES'!$B$26</f>
        <v>60.283999999999999</v>
      </c>
      <c r="J80" s="14">
        <f>'PIVOT TABLES'!$B$27-'PIVOT TABLES'!$B$26</f>
        <v>30.142000000000003</v>
      </c>
      <c r="K80" s="14">
        <f>'PIVOT TABLES'!$B$28-'PIVOT TABLES'!$B$27</f>
        <v>30.141999999999996</v>
      </c>
      <c r="L80" s="14">
        <f>200-SUM(Table3[[#This Row],[D - LIGHT]:[D - VIGOROUS]])</f>
        <v>79.432000000000002</v>
      </c>
      <c r="M80" s="14">
        <f>'PIVOT TABLES'!$I$26</f>
        <v>65.603999999999999</v>
      </c>
      <c r="N80" s="14">
        <f>'PIVOT TABLES'!$I$27-'PIVOT TABLES'!$I$26</f>
        <v>32.802000000000007</v>
      </c>
      <c r="O80" s="14">
        <f>'PIVOT TABLES'!$I$28-'PIVOT TABLES'!$I$27</f>
        <v>32.801999999999992</v>
      </c>
      <c r="P80" s="14">
        <f>200-SUM(Table3[[#This Row],[M - LIGHT]:[M - VIGOROUS]])</f>
        <v>68.792000000000002</v>
      </c>
      <c r="Q80" s="14">
        <f>'PIVOT TABLES'!$P$26</f>
        <v>62.64</v>
      </c>
      <c r="R80" s="14">
        <f>'PIVOT TABLES'!$P$27-'PIVOT TABLES'!$P$26</f>
        <v>31.320000000000007</v>
      </c>
      <c r="S80" s="14">
        <f>'PIVOT TABLES'!$P$28-'PIVOT TABLES'!$P$27</f>
        <v>31.319999999999993</v>
      </c>
      <c r="T80" s="14">
        <f>200-SUM(Table3[[#This Row],[W - LIGHT]:[W - VIGOROUS]])</f>
        <v>74.72</v>
      </c>
      <c r="U80" s="14">
        <f>'PIVOT TABLES'!$W$26</f>
        <v>55.895999999999994</v>
      </c>
      <c r="V80" s="14">
        <f>'PIVOT TABLES'!$W$27-'PIVOT TABLES'!$W$26</f>
        <v>27.948</v>
      </c>
      <c r="W80" s="14">
        <f>'PIVOT TABLES'!$W$28-'PIVOT TABLES'!$W$27</f>
        <v>27.947999999999993</v>
      </c>
      <c r="X80" s="14">
        <f>200-SUM(Table3[[#This Row],[S - LIGHT]:[S - VIGOROUS]])</f>
        <v>88.208000000000013</v>
      </c>
    </row>
    <row r="81" spans="1:24" x14ac:dyDescent="0.25">
      <c r="A81" s="17" t="s">
        <v>57</v>
      </c>
      <c r="B81" s="13" t="str">
        <f t="shared" si="1"/>
        <v>Midfielder</v>
      </c>
      <c r="C81" s="7">
        <v>45219.618564814817</v>
      </c>
      <c r="D81" s="14">
        <v>3265</v>
      </c>
      <c r="E81" s="14">
        <v>0</v>
      </c>
      <c r="F81" s="14">
        <v>7</v>
      </c>
      <c r="G81" s="14">
        <v>13</v>
      </c>
      <c r="H81" s="14">
        <v>33.19</v>
      </c>
      <c r="I81" s="14">
        <f>'PIVOT TABLES'!$B$26</f>
        <v>60.283999999999999</v>
      </c>
      <c r="J81" s="14">
        <f>'PIVOT TABLES'!$B$27-'PIVOT TABLES'!$B$26</f>
        <v>30.142000000000003</v>
      </c>
      <c r="K81" s="14">
        <f>'PIVOT TABLES'!$B$28-'PIVOT TABLES'!$B$27</f>
        <v>30.141999999999996</v>
      </c>
      <c r="L81" s="14">
        <f>200-SUM(Table3[[#This Row],[D - LIGHT]:[D - VIGOROUS]])</f>
        <v>79.432000000000002</v>
      </c>
      <c r="M81" s="14">
        <f>'PIVOT TABLES'!$I$26</f>
        <v>65.603999999999999</v>
      </c>
      <c r="N81" s="14">
        <f>'PIVOT TABLES'!$I$27-'PIVOT TABLES'!$I$26</f>
        <v>32.802000000000007</v>
      </c>
      <c r="O81" s="14">
        <f>'PIVOT TABLES'!$I$28-'PIVOT TABLES'!$I$27</f>
        <v>32.801999999999992</v>
      </c>
      <c r="P81" s="14">
        <f>200-SUM(Table3[[#This Row],[M - LIGHT]:[M - VIGOROUS]])</f>
        <v>68.792000000000002</v>
      </c>
      <c r="Q81" s="14">
        <f>'PIVOT TABLES'!$P$26</f>
        <v>62.64</v>
      </c>
      <c r="R81" s="14">
        <f>'PIVOT TABLES'!$P$27-'PIVOT TABLES'!$P$26</f>
        <v>31.320000000000007</v>
      </c>
      <c r="S81" s="14">
        <f>'PIVOT TABLES'!$P$28-'PIVOT TABLES'!$P$27</f>
        <v>31.319999999999993</v>
      </c>
      <c r="T81" s="14">
        <f>200-SUM(Table3[[#This Row],[W - LIGHT]:[W - VIGOROUS]])</f>
        <v>74.72</v>
      </c>
      <c r="U81" s="14">
        <f>'PIVOT TABLES'!$W$26</f>
        <v>55.895999999999994</v>
      </c>
      <c r="V81" s="14">
        <f>'PIVOT TABLES'!$W$27-'PIVOT TABLES'!$W$26</f>
        <v>27.948</v>
      </c>
      <c r="W81" s="14">
        <f>'PIVOT TABLES'!$W$28-'PIVOT TABLES'!$W$27</f>
        <v>27.947999999999993</v>
      </c>
      <c r="X81" s="14">
        <f>200-SUM(Table3[[#This Row],[S - LIGHT]:[S - VIGOROUS]])</f>
        <v>88.208000000000013</v>
      </c>
    </row>
    <row r="82" spans="1:24" x14ac:dyDescent="0.25">
      <c r="A82" s="17" t="s">
        <v>2</v>
      </c>
      <c r="B82" s="13" t="str">
        <f t="shared" si="1"/>
        <v>Defender</v>
      </c>
      <c r="C82" s="7">
        <v>45219.618564814817</v>
      </c>
      <c r="D82" s="14">
        <v>11310</v>
      </c>
      <c r="E82" s="14">
        <v>309</v>
      </c>
      <c r="F82" s="14">
        <v>64</v>
      </c>
      <c r="G82" s="14">
        <v>39</v>
      </c>
      <c r="H82" s="14">
        <v>125.71</v>
      </c>
      <c r="I82" s="14">
        <f>'PIVOT TABLES'!$B$26</f>
        <v>60.283999999999999</v>
      </c>
      <c r="J82" s="14">
        <f>'PIVOT TABLES'!$B$27-'PIVOT TABLES'!$B$26</f>
        <v>30.142000000000003</v>
      </c>
      <c r="K82" s="14">
        <f>'PIVOT TABLES'!$B$28-'PIVOT TABLES'!$B$27</f>
        <v>30.141999999999996</v>
      </c>
      <c r="L82" s="14">
        <f>200-SUM(Table3[[#This Row],[D - LIGHT]:[D - VIGOROUS]])</f>
        <v>79.432000000000002</v>
      </c>
      <c r="M82" s="14">
        <f>'PIVOT TABLES'!$I$26</f>
        <v>65.603999999999999</v>
      </c>
      <c r="N82" s="14">
        <f>'PIVOT TABLES'!$I$27-'PIVOT TABLES'!$I$26</f>
        <v>32.802000000000007</v>
      </c>
      <c r="O82" s="14">
        <f>'PIVOT TABLES'!$I$28-'PIVOT TABLES'!$I$27</f>
        <v>32.801999999999992</v>
      </c>
      <c r="P82" s="14">
        <f>200-SUM(Table3[[#This Row],[M - LIGHT]:[M - VIGOROUS]])</f>
        <v>68.792000000000002</v>
      </c>
      <c r="Q82" s="14">
        <f>'PIVOT TABLES'!$P$26</f>
        <v>62.64</v>
      </c>
      <c r="R82" s="14">
        <f>'PIVOT TABLES'!$P$27-'PIVOT TABLES'!$P$26</f>
        <v>31.320000000000007</v>
      </c>
      <c r="S82" s="14">
        <f>'PIVOT TABLES'!$P$28-'PIVOT TABLES'!$P$27</f>
        <v>31.319999999999993</v>
      </c>
      <c r="T82" s="14">
        <f>200-SUM(Table3[[#This Row],[W - LIGHT]:[W - VIGOROUS]])</f>
        <v>74.72</v>
      </c>
      <c r="U82" s="14">
        <f>'PIVOT TABLES'!$W$26</f>
        <v>55.895999999999994</v>
      </c>
      <c r="V82" s="14">
        <f>'PIVOT TABLES'!$W$27-'PIVOT TABLES'!$W$26</f>
        <v>27.948</v>
      </c>
      <c r="W82" s="14">
        <f>'PIVOT TABLES'!$W$28-'PIVOT TABLES'!$W$27</f>
        <v>27.947999999999993</v>
      </c>
      <c r="X82" s="14">
        <f>200-SUM(Table3[[#This Row],[S - LIGHT]:[S - VIGOROUS]])</f>
        <v>88.208000000000013</v>
      </c>
    </row>
    <row r="83" spans="1:24" x14ac:dyDescent="0.25">
      <c r="A83" s="17" t="s">
        <v>3</v>
      </c>
      <c r="B83" s="13" t="str">
        <f t="shared" si="1"/>
        <v>Defender</v>
      </c>
      <c r="C83" s="7">
        <v>45219.618564814817</v>
      </c>
      <c r="D83" s="14">
        <v>11244</v>
      </c>
      <c r="E83" s="14">
        <v>254</v>
      </c>
      <c r="F83" s="14">
        <v>44</v>
      </c>
      <c r="G83" s="14">
        <v>47</v>
      </c>
      <c r="H83" s="14">
        <v>122.76</v>
      </c>
      <c r="I83" s="14">
        <f>'PIVOT TABLES'!$B$26</f>
        <v>60.283999999999999</v>
      </c>
      <c r="J83" s="14">
        <f>'PIVOT TABLES'!$B$27-'PIVOT TABLES'!$B$26</f>
        <v>30.142000000000003</v>
      </c>
      <c r="K83" s="14">
        <f>'PIVOT TABLES'!$B$28-'PIVOT TABLES'!$B$27</f>
        <v>30.141999999999996</v>
      </c>
      <c r="L83" s="14">
        <f>200-SUM(Table3[[#This Row],[D - LIGHT]:[D - VIGOROUS]])</f>
        <v>79.432000000000002</v>
      </c>
      <c r="M83" s="14">
        <f>'PIVOT TABLES'!$I$26</f>
        <v>65.603999999999999</v>
      </c>
      <c r="N83" s="14">
        <f>'PIVOT TABLES'!$I$27-'PIVOT TABLES'!$I$26</f>
        <v>32.802000000000007</v>
      </c>
      <c r="O83" s="14">
        <f>'PIVOT TABLES'!$I$28-'PIVOT TABLES'!$I$27</f>
        <v>32.801999999999992</v>
      </c>
      <c r="P83" s="14">
        <f>200-SUM(Table3[[#This Row],[M - LIGHT]:[M - VIGOROUS]])</f>
        <v>68.792000000000002</v>
      </c>
      <c r="Q83" s="14">
        <f>'PIVOT TABLES'!$P$26</f>
        <v>62.64</v>
      </c>
      <c r="R83" s="14">
        <f>'PIVOT TABLES'!$P$27-'PIVOT TABLES'!$P$26</f>
        <v>31.320000000000007</v>
      </c>
      <c r="S83" s="14">
        <f>'PIVOT TABLES'!$P$28-'PIVOT TABLES'!$P$27</f>
        <v>31.319999999999993</v>
      </c>
      <c r="T83" s="14">
        <f>200-SUM(Table3[[#This Row],[W - LIGHT]:[W - VIGOROUS]])</f>
        <v>74.72</v>
      </c>
      <c r="U83" s="14">
        <f>'PIVOT TABLES'!$W$26</f>
        <v>55.895999999999994</v>
      </c>
      <c r="V83" s="14">
        <f>'PIVOT TABLES'!$W$27-'PIVOT TABLES'!$W$26</f>
        <v>27.948</v>
      </c>
      <c r="W83" s="14">
        <f>'PIVOT TABLES'!$W$28-'PIVOT TABLES'!$W$27</f>
        <v>27.947999999999993</v>
      </c>
      <c r="X83" s="14">
        <f>200-SUM(Table3[[#This Row],[S - LIGHT]:[S - VIGOROUS]])</f>
        <v>88.208000000000013</v>
      </c>
    </row>
    <row r="84" spans="1:24" x14ac:dyDescent="0.25">
      <c r="A84" s="17" t="s">
        <v>4</v>
      </c>
      <c r="B84" s="13" t="str">
        <f t="shared" si="1"/>
        <v>Midfielder</v>
      </c>
      <c r="C84" s="7">
        <v>45219.618564814817</v>
      </c>
      <c r="D84" s="14">
        <v>2803</v>
      </c>
      <c r="E84" s="14">
        <v>11</v>
      </c>
      <c r="F84" s="14">
        <v>3</v>
      </c>
      <c r="G84" s="14">
        <v>5</v>
      </c>
      <c r="H84" s="14">
        <v>28.58</v>
      </c>
      <c r="I84" s="14">
        <f>'PIVOT TABLES'!$B$26</f>
        <v>60.283999999999999</v>
      </c>
      <c r="J84" s="14">
        <f>'PIVOT TABLES'!$B$27-'PIVOT TABLES'!$B$26</f>
        <v>30.142000000000003</v>
      </c>
      <c r="K84" s="14">
        <f>'PIVOT TABLES'!$B$28-'PIVOT TABLES'!$B$27</f>
        <v>30.141999999999996</v>
      </c>
      <c r="L84" s="14">
        <f>200-SUM(Table3[[#This Row],[D - LIGHT]:[D - VIGOROUS]])</f>
        <v>79.432000000000002</v>
      </c>
      <c r="M84" s="14">
        <f>'PIVOT TABLES'!$I$26</f>
        <v>65.603999999999999</v>
      </c>
      <c r="N84" s="14">
        <f>'PIVOT TABLES'!$I$27-'PIVOT TABLES'!$I$26</f>
        <v>32.802000000000007</v>
      </c>
      <c r="O84" s="14">
        <f>'PIVOT TABLES'!$I$28-'PIVOT TABLES'!$I$27</f>
        <v>32.801999999999992</v>
      </c>
      <c r="P84" s="14">
        <f>200-SUM(Table3[[#This Row],[M - LIGHT]:[M - VIGOROUS]])</f>
        <v>68.792000000000002</v>
      </c>
      <c r="Q84" s="14">
        <f>'PIVOT TABLES'!$P$26</f>
        <v>62.64</v>
      </c>
      <c r="R84" s="14">
        <f>'PIVOT TABLES'!$P$27-'PIVOT TABLES'!$P$26</f>
        <v>31.320000000000007</v>
      </c>
      <c r="S84" s="14">
        <f>'PIVOT TABLES'!$P$28-'PIVOT TABLES'!$P$27</f>
        <v>31.319999999999993</v>
      </c>
      <c r="T84" s="14">
        <f>200-SUM(Table3[[#This Row],[W - LIGHT]:[W - VIGOROUS]])</f>
        <v>74.72</v>
      </c>
      <c r="U84" s="14">
        <f>'PIVOT TABLES'!$W$26</f>
        <v>55.895999999999994</v>
      </c>
      <c r="V84" s="14">
        <f>'PIVOT TABLES'!$W$27-'PIVOT TABLES'!$W$26</f>
        <v>27.948</v>
      </c>
      <c r="W84" s="14">
        <f>'PIVOT TABLES'!$W$28-'PIVOT TABLES'!$W$27</f>
        <v>27.947999999999993</v>
      </c>
      <c r="X84" s="14">
        <f>200-SUM(Table3[[#This Row],[S - LIGHT]:[S - VIGOROUS]])</f>
        <v>88.208000000000013</v>
      </c>
    </row>
    <row r="85" spans="1:24" x14ac:dyDescent="0.25">
      <c r="A85" s="17" t="s">
        <v>60</v>
      </c>
      <c r="B85" s="13" t="str">
        <f t="shared" si="1"/>
        <v>Winger</v>
      </c>
      <c r="C85" s="7">
        <v>45219.618564814817</v>
      </c>
      <c r="D85" s="14">
        <v>9506</v>
      </c>
      <c r="E85" s="14">
        <v>322</v>
      </c>
      <c r="F85" s="14">
        <v>42</v>
      </c>
      <c r="G85" s="14">
        <v>34</v>
      </c>
      <c r="H85" s="14">
        <v>107.08</v>
      </c>
      <c r="I85" s="14">
        <f>'PIVOT TABLES'!$B$26</f>
        <v>60.283999999999999</v>
      </c>
      <c r="J85" s="14">
        <f>'PIVOT TABLES'!$B$27-'PIVOT TABLES'!$B$26</f>
        <v>30.142000000000003</v>
      </c>
      <c r="K85" s="14">
        <f>'PIVOT TABLES'!$B$28-'PIVOT TABLES'!$B$27</f>
        <v>30.141999999999996</v>
      </c>
      <c r="L85" s="14">
        <f>200-SUM(Table3[[#This Row],[D - LIGHT]:[D - VIGOROUS]])</f>
        <v>79.432000000000002</v>
      </c>
      <c r="M85" s="14">
        <f>'PIVOT TABLES'!$I$26</f>
        <v>65.603999999999999</v>
      </c>
      <c r="N85" s="14">
        <f>'PIVOT TABLES'!$I$27-'PIVOT TABLES'!$I$26</f>
        <v>32.802000000000007</v>
      </c>
      <c r="O85" s="14">
        <f>'PIVOT TABLES'!$I$28-'PIVOT TABLES'!$I$27</f>
        <v>32.801999999999992</v>
      </c>
      <c r="P85" s="14">
        <f>200-SUM(Table3[[#This Row],[M - LIGHT]:[M - VIGOROUS]])</f>
        <v>68.792000000000002</v>
      </c>
      <c r="Q85" s="14">
        <f>'PIVOT TABLES'!$P$26</f>
        <v>62.64</v>
      </c>
      <c r="R85" s="14">
        <f>'PIVOT TABLES'!$P$27-'PIVOT TABLES'!$P$26</f>
        <v>31.320000000000007</v>
      </c>
      <c r="S85" s="14">
        <f>'PIVOT TABLES'!$P$28-'PIVOT TABLES'!$P$27</f>
        <v>31.319999999999993</v>
      </c>
      <c r="T85" s="14">
        <f>200-SUM(Table3[[#This Row],[W - LIGHT]:[W - VIGOROUS]])</f>
        <v>74.72</v>
      </c>
      <c r="U85" s="14">
        <f>'PIVOT TABLES'!$W$26</f>
        <v>55.895999999999994</v>
      </c>
      <c r="V85" s="14">
        <f>'PIVOT TABLES'!$W$27-'PIVOT TABLES'!$W$26</f>
        <v>27.948</v>
      </c>
      <c r="W85" s="14">
        <f>'PIVOT TABLES'!$W$28-'PIVOT TABLES'!$W$27</f>
        <v>27.947999999999993</v>
      </c>
      <c r="X85" s="14">
        <f>200-SUM(Table3[[#This Row],[S - LIGHT]:[S - VIGOROUS]])</f>
        <v>88.208000000000013</v>
      </c>
    </row>
    <row r="86" spans="1:24" x14ac:dyDescent="0.25">
      <c r="A86" s="17" t="s">
        <v>61</v>
      </c>
      <c r="B86" s="13" t="str">
        <f t="shared" si="1"/>
        <v>####</v>
      </c>
      <c r="C86" s="7">
        <v>45219.618564814817</v>
      </c>
      <c r="D86" s="14">
        <v>10588</v>
      </c>
      <c r="E86" s="14">
        <v>163</v>
      </c>
      <c r="F86" s="14">
        <v>45</v>
      </c>
      <c r="G86" s="14">
        <v>33</v>
      </c>
      <c r="H86" s="14">
        <v>113.23</v>
      </c>
      <c r="I86" s="14">
        <f>'PIVOT TABLES'!$B$26</f>
        <v>60.283999999999999</v>
      </c>
      <c r="J86" s="14">
        <f>'PIVOT TABLES'!$B$27-'PIVOT TABLES'!$B$26</f>
        <v>30.142000000000003</v>
      </c>
      <c r="K86" s="14">
        <f>'PIVOT TABLES'!$B$28-'PIVOT TABLES'!$B$27</f>
        <v>30.141999999999996</v>
      </c>
      <c r="L86" s="14">
        <f>200-SUM(Table3[[#This Row],[D - LIGHT]:[D - VIGOROUS]])</f>
        <v>79.432000000000002</v>
      </c>
      <c r="M86" s="14">
        <f>'PIVOT TABLES'!$I$26</f>
        <v>65.603999999999999</v>
      </c>
      <c r="N86" s="14">
        <f>'PIVOT TABLES'!$I$27-'PIVOT TABLES'!$I$26</f>
        <v>32.802000000000007</v>
      </c>
      <c r="O86" s="14">
        <f>'PIVOT TABLES'!$I$28-'PIVOT TABLES'!$I$27</f>
        <v>32.801999999999992</v>
      </c>
      <c r="P86" s="14">
        <f>200-SUM(Table3[[#This Row],[M - LIGHT]:[M - VIGOROUS]])</f>
        <v>68.792000000000002</v>
      </c>
      <c r="Q86" s="14">
        <f>'PIVOT TABLES'!$P$26</f>
        <v>62.64</v>
      </c>
      <c r="R86" s="14">
        <f>'PIVOT TABLES'!$P$27-'PIVOT TABLES'!$P$26</f>
        <v>31.320000000000007</v>
      </c>
      <c r="S86" s="14">
        <f>'PIVOT TABLES'!$P$28-'PIVOT TABLES'!$P$27</f>
        <v>31.319999999999993</v>
      </c>
      <c r="T86" s="14">
        <f>200-SUM(Table3[[#This Row],[W - LIGHT]:[W - VIGOROUS]])</f>
        <v>74.72</v>
      </c>
      <c r="U86" s="14">
        <f>'PIVOT TABLES'!$W$26</f>
        <v>55.895999999999994</v>
      </c>
      <c r="V86" s="14">
        <f>'PIVOT TABLES'!$W$27-'PIVOT TABLES'!$W$26</f>
        <v>27.948</v>
      </c>
      <c r="W86" s="14">
        <f>'PIVOT TABLES'!$W$28-'PIVOT TABLES'!$W$27</f>
        <v>27.947999999999993</v>
      </c>
      <c r="X86" s="14">
        <f>200-SUM(Table3[[#This Row],[S - LIGHT]:[S - VIGOROUS]])</f>
        <v>88.208000000000013</v>
      </c>
    </row>
    <row r="87" spans="1:24" x14ac:dyDescent="0.25">
      <c r="A87" s="17" t="s">
        <v>71</v>
      </c>
      <c r="B87" s="13" t="str">
        <f t="shared" si="1"/>
        <v>Midfielder</v>
      </c>
      <c r="C87" s="7">
        <v>45219.618564814817</v>
      </c>
      <c r="D87" s="14">
        <v>13701</v>
      </c>
      <c r="E87" s="14">
        <v>191</v>
      </c>
      <c r="F87" s="14">
        <v>74</v>
      </c>
      <c r="G87" s="14">
        <v>39</v>
      </c>
      <c r="H87" s="14">
        <v>146.47999999999999</v>
      </c>
      <c r="I87" s="14">
        <f>'PIVOT TABLES'!$B$26</f>
        <v>60.283999999999999</v>
      </c>
      <c r="J87" s="14">
        <f>'PIVOT TABLES'!$B$27-'PIVOT TABLES'!$B$26</f>
        <v>30.142000000000003</v>
      </c>
      <c r="K87" s="14">
        <f>'PIVOT TABLES'!$B$28-'PIVOT TABLES'!$B$27</f>
        <v>30.141999999999996</v>
      </c>
      <c r="L87" s="14">
        <f>200-SUM(Table3[[#This Row],[D - LIGHT]:[D - VIGOROUS]])</f>
        <v>79.432000000000002</v>
      </c>
      <c r="M87" s="14">
        <f>'PIVOT TABLES'!$I$26</f>
        <v>65.603999999999999</v>
      </c>
      <c r="N87" s="14">
        <f>'PIVOT TABLES'!$I$27-'PIVOT TABLES'!$I$26</f>
        <v>32.802000000000007</v>
      </c>
      <c r="O87" s="14">
        <f>'PIVOT TABLES'!$I$28-'PIVOT TABLES'!$I$27</f>
        <v>32.801999999999992</v>
      </c>
      <c r="P87" s="14">
        <f>200-SUM(Table3[[#This Row],[M - LIGHT]:[M - VIGOROUS]])</f>
        <v>68.792000000000002</v>
      </c>
      <c r="Q87" s="14">
        <f>'PIVOT TABLES'!$P$26</f>
        <v>62.64</v>
      </c>
      <c r="R87" s="14">
        <f>'PIVOT TABLES'!$P$27-'PIVOT TABLES'!$P$26</f>
        <v>31.320000000000007</v>
      </c>
      <c r="S87" s="14">
        <f>'PIVOT TABLES'!$P$28-'PIVOT TABLES'!$P$27</f>
        <v>31.319999999999993</v>
      </c>
      <c r="T87" s="14">
        <f>200-SUM(Table3[[#This Row],[W - LIGHT]:[W - VIGOROUS]])</f>
        <v>74.72</v>
      </c>
      <c r="U87" s="14">
        <f>'PIVOT TABLES'!$W$26</f>
        <v>55.895999999999994</v>
      </c>
      <c r="V87" s="14">
        <f>'PIVOT TABLES'!$W$27-'PIVOT TABLES'!$W$26</f>
        <v>27.948</v>
      </c>
      <c r="W87" s="14">
        <f>'PIVOT TABLES'!$W$28-'PIVOT TABLES'!$W$27</f>
        <v>27.947999999999993</v>
      </c>
      <c r="X87" s="14">
        <f>200-SUM(Table3[[#This Row],[S - LIGHT]:[S - VIGOROUS]])</f>
        <v>88.208000000000013</v>
      </c>
    </row>
    <row r="88" spans="1:24" x14ac:dyDescent="0.25">
      <c r="A88" s="17" t="s">
        <v>62</v>
      </c>
      <c r="B88" s="13" t="str">
        <f t="shared" si="1"/>
        <v>Midfielder</v>
      </c>
      <c r="C88" s="7">
        <v>45219.618564814817</v>
      </c>
      <c r="D88" s="14">
        <v>2549</v>
      </c>
      <c r="E88" s="14">
        <v>0</v>
      </c>
      <c r="F88" s="14">
        <v>0</v>
      </c>
      <c r="G88" s="14">
        <v>1</v>
      </c>
      <c r="H88" s="14">
        <v>25.51</v>
      </c>
      <c r="I88" s="14">
        <f>'PIVOT TABLES'!$B$26</f>
        <v>60.283999999999999</v>
      </c>
      <c r="J88" s="14">
        <f>'PIVOT TABLES'!$B$27-'PIVOT TABLES'!$B$26</f>
        <v>30.142000000000003</v>
      </c>
      <c r="K88" s="14">
        <f>'PIVOT TABLES'!$B$28-'PIVOT TABLES'!$B$27</f>
        <v>30.141999999999996</v>
      </c>
      <c r="L88" s="14">
        <f>200-SUM(Table3[[#This Row],[D - LIGHT]:[D - VIGOROUS]])</f>
        <v>79.432000000000002</v>
      </c>
      <c r="M88" s="14">
        <f>'PIVOT TABLES'!$I$26</f>
        <v>65.603999999999999</v>
      </c>
      <c r="N88" s="14">
        <f>'PIVOT TABLES'!$I$27-'PIVOT TABLES'!$I$26</f>
        <v>32.802000000000007</v>
      </c>
      <c r="O88" s="14">
        <f>'PIVOT TABLES'!$I$28-'PIVOT TABLES'!$I$27</f>
        <v>32.801999999999992</v>
      </c>
      <c r="P88" s="14">
        <f>200-SUM(Table3[[#This Row],[M - LIGHT]:[M - VIGOROUS]])</f>
        <v>68.792000000000002</v>
      </c>
      <c r="Q88" s="14">
        <f>'PIVOT TABLES'!$P$26</f>
        <v>62.64</v>
      </c>
      <c r="R88" s="14">
        <f>'PIVOT TABLES'!$P$27-'PIVOT TABLES'!$P$26</f>
        <v>31.320000000000007</v>
      </c>
      <c r="S88" s="14">
        <f>'PIVOT TABLES'!$P$28-'PIVOT TABLES'!$P$27</f>
        <v>31.319999999999993</v>
      </c>
      <c r="T88" s="14">
        <f>200-SUM(Table3[[#This Row],[W - LIGHT]:[W - VIGOROUS]])</f>
        <v>74.72</v>
      </c>
      <c r="U88" s="14">
        <f>'PIVOT TABLES'!$W$26</f>
        <v>55.895999999999994</v>
      </c>
      <c r="V88" s="14">
        <f>'PIVOT TABLES'!$W$27-'PIVOT TABLES'!$W$26</f>
        <v>27.948</v>
      </c>
      <c r="W88" s="14">
        <f>'PIVOT TABLES'!$W$28-'PIVOT TABLES'!$W$27</f>
        <v>27.947999999999993</v>
      </c>
      <c r="X88" s="14">
        <f>200-SUM(Table3[[#This Row],[S - LIGHT]:[S - VIGOROUS]])</f>
        <v>88.208000000000013</v>
      </c>
    </row>
    <row r="89" spans="1:24" x14ac:dyDescent="0.25">
      <c r="A89" s="17" t="s">
        <v>63</v>
      </c>
      <c r="B89" s="13" t="str">
        <f t="shared" si="1"/>
        <v>Winger</v>
      </c>
      <c r="C89" s="7">
        <v>45219.618564814817</v>
      </c>
      <c r="D89" s="14">
        <v>7359</v>
      </c>
      <c r="E89" s="14">
        <v>82</v>
      </c>
      <c r="F89" s="14">
        <v>36</v>
      </c>
      <c r="G89" s="14">
        <v>18</v>
      </c>
      <c r="H89" s="14">
        <v>77.849999999999994</v>
      </c>
      <c r="I89" s="14">
        <f>'PIVOT TABLES'!$B$26</f>
        <v>60.283999999999999</v>
      </c>
      <c r="J89" s="14">
        <f>'PIVOT TABLES'!$B$27-'PIVOT TABLES'!$B$26</f>
        <v>30.142000000000003</v>
      </c>
      <c r="K89" s="14">
        <f>'PIVOT TABLES'!$B$28-'PIVOT TABLES'!$B$27</f>
        <v>30.141999999999996</v>
      </c>
      <c r="L89" s="14">
        <f>200-SUM(Table3[[#This Row],[D - LIGHT]:[D - VIGOROUS]])</f>
        <v>79.432000000000002</v>
      </c>
      <c r="M89" s="14">
        <f>'PIVOT TABLES'!$I$26</f>
        <v>65.603999999999999</v>
      </c>
      <c r="N89" s="14">
        <f>'PIVOT TABLES'!$I$27-'PIVOT TABLES'!$I$26</f>
        <v>32.802000000000007</v>
      </c>
      <c r="O89" s="14">
        <f>'PIVOT TABLES'!$I$28-'PIVOT TABLES'!$I$27</f>
        <v>32.801999999999992</v>
      </c>
      <c r="P89" s="14">
        <f>200-SUM(Table3[[#This Row],[M - LIGHT]:[M - VIGOROUS]])</f>
        <v>68.792000000000002</v>
      </c>
      <c r="Q89" s="14">
        <f>'PIVOT TABLES'!$P$26</f>
        <v>62.64</v>
      </c>
      <c r="R89" s="14">
        <f>'PIVOT TABLES'!$P$27-'PIVOT TABLES'!$P$26</f>
        <v>31.320000000000007</v>
      </c>
      <c r="S89" s="14">
        <f>'PIVOT TABLES'!$P$28-'PIVOT TABLES'!$P$27</f>
        <v>31.319999999999993</v>
      </c>
      <c r="T89" s="14">
        <f>200-SUM(Table3[[#This Row],[W - LIGHT]:[W - VIGOROUS]])</f>
        <v>74.72</v>
      </c>
      <c r="U89" s="14">
        <f>'PIVOT TABLES'!$W$26</f>
        <v>55.895999999999994</v>
      </c>
      <c r="V89" s="14">
        <f>'PIVOT TABLES'!$W$27-'PIVOT TABLES'!$W$26</f>
        <v>27.948</v>
      </c>
      <c r="W89" s="14">
        <f>'PIVOT TABLES'!$W$28-'PIVOT TABLES'!$W$27</f>
        <v>27.947999999999993</v>
      </c>
      <c r="X89" s="14">
        <f>200-SUM(Table3[[#This Row],[S - LIGHT]:[S - VIGOROUS]])</f>
        <v>88.208000000000013</v>
      </c>
    </row>
    <row r="90" spans="1:24" x14ac:dyDescent="0.25">
      <c r="A90" s="17" t="s">
        <v>64</v>
      </c>
      <c r="B90" s="13" t="str">
        <f t="shared" si="1"/>
        <v>Midfielder</v>
      </c>
      <c r="C90" s="7">
        <v>45219.618564814817</v>
      </c>
      <c r="D90" s="14">
        <v>13457</v>
      </c>
      <c r="E90" s="14">
        <v>303</v>
      </c>
      <c r="F90" s="14">
        <v>59</v>
      </c>
      <c r="G90" s="14">
        <v>51</v>
      </c>
      <c r="H90" s="14">
        <v>147.04</v>
      </c>
      <c r="I90" s="14">
        <f>'PIVOT TABLES'!$B$26</f>
        <v>60.283999999999999</v>
      </c>
      <c r="J90" s="14">
        <f>'PIVOT TABLES'!$B$27-'PIVOT TABLES'!$B$26</f>
        <v>30.142000000000003</v>
      </c>
      <c r="K90" s="14">
        <f>'PIVOT TABLES'!$B$28-'PIVOT TABLES'!$B$27</f>
        <v>30.141999999999996</v>
      </c>
      <c r="L90" s="14">
        <f>200-SUM(Table3[[#This Row],[D - LIGHT]:[D - VIGOROUS]])</f>
        <v>79.432000000000002</v>
      </c>
      <c r="M90" s="14">
        <f>'PIVOT TABLES'!$I$26</f>
        <v>65.603999999999999</v>
      </c>
      <c r="N90" s="14">
        <f>'PIVOT TABLES'!$I$27-'PIVOT TABLES'!$I$26</f>
        <v>32.802000000000007</v>
      </c>
      <c r="O90" s="14">
        <f>'PIVOT TABLES'!$I$28-'PIVOT TABLES'!$I$27</f>
        <v>32.801999999999992</v>
      </c>
      <c r="P90" s="14">
        <f>200-SUM(Table3[[#This Row],[M - LIGHT]:[M - VIGOROUS]])</f>
        <v>68.792000000000002</v>
      </c>
      <c r="Q90" s="14">
        <f>'PIVOT TABLES'!$P$26</f>
        <v>62.64</v>
      </c>
      <c r="R90" s="14">
        <f>'PIVOT TABLES'!$P$27-'PIVOT TABLES'!$P$26</f>
        <v>31.320000000000007</v>
      </c>
      <c r="S90" s="14">
        <f>'PIVOT TABLES'!$P$28-'PIVOT TABLES'!$P$27</f>
        <v>31.319999999999993</v>
      </c>
      <c r="T90" s="14">
        <f>200-SUM(Table3[[#This Row],[W - LIGHT]:[W - VIGOROUS]])</f>
        <v>74.72</v>
      </c>
      <c r="U90" s="14">
        <f>'PIVOT TABLES'!$W$26</f>
        <v>55.895999999999994</v>
      </c>
      <c r="V90" s="14">
        <f>'PIVOT TABLES'!$W$27-'PIVOT TABLES'!$W$26</f>
        <v>27.948</v>
      </c>
      <c r="W90" s="14">
        <f>'PIVOT TABLES'!$W$28-'PIVOT TABLES'!$W$27</f>
        <v>27.947999999999993</v>
      </c>
      <c r="X90" s="14">
        <f>200-SUM(Table3[[#This Row],[S - LIGHT]:[S - VIGOROUS]])</f>
        <v>88.208000000000013</v>
      </c>
    </row>
    <row r="91" spans="1:24" x14ac:dyDescent="0.25">
      <c r="A91" s="17" t="s">
        <v>65</v>
      </c>
      <c r="B91" s="13" t="str">
        <f t="shared" si="1"/>
        <v>Winger</v>
      </c>
      <c r="C91" s="7">
        <v>45219.618564814817</v>
      </c>
      <c r="D91" s="14">
        <v>12792</v>
      </c>
      <c r="E91" s="14">
        <v>555</v>
      </c>
      <c r="F91" s="14">
        <v>73</v>
      </c>
      <c r="G91" s="14">
        <v>60</v>
      </c>
      <c r="H91" s="14">
        <v>148.69</v>
      </c>
      <c r="I91" s="14">
        <f>'PIVOT TABLES'!$B$26</f>
        <v>60.283999999999999</v>
      </c>
      <c r="J91" s="14">
        <f>'PIVOT TABLES'!$B$27-'PIVOT TABLES'!$B$26</f>
        <v>30.142000000000003</v>
      </c>
      <c r="K91" s="14">
        <f>'PIVOT TABLES'!$B$28-'PIVOT TABLES'!$B$27</f>
        <v>30.141999999999996</v>
      </c>
      <c r="L91" s="14">
        <f>200-SUM(Table3[[#This Row],[D - LIGHT]:[D - VIGOROUS]])</f>
        <v>79.432000000000002</v>
      </c>
      <c r="M91" s="14">
        <f>'PIVOT TABLES'!$I$26</f>
        <v>65.603999999999999</v>
      </c>
      <c r="N91" s="14">
        <f>'PIVOT TABLES'!$I$27-'PIVOT TABLES'!$I$26</f>
        <v>32.802000000000007</v>
      </c>
      <c r="O91" s="14">
        <f>'PIVOT TABLES'!$I$28-'PIVOT TABLES'!$I$27</f>
        <v>32.801999999999992</v>
      </c>
      <c r="P91" s="14">
        <f>200-SUM(Table3[[#This Row],[M - LIGHT]:[M - VIGOROUS]])</f>
        <v>68.792000000000002</v>
      </c>
      <c r="Q91" s="14">
        <f>'PIVOT TABLES'!$P$26</f>
        <v>62.64</v>
      </c>
      <c r="R91" s="14">
        <f>'PIVOT TABLES'!$P$27-'PIVOT TABLES'!$P$26</f>
        <v>31.320000000000007</v>
      </c>
      <c r="S91" s="14">
        <f>'PIVOT TABLES'!$P$28-'PIVOT TABLES'!$P$27</f>
        <v>31.319999999999993</v>
      </c>
      <c r="T91" s="14">
        <f>200-SUM(Table3[[#This Row],[W - LIGHT]:[W - VIGOROUS]])</f>
        <v>74.72</v>
      </c>
      <c r="U91" s="14">
        <f>'PIVOT TABLES'!$W$26</f>
        <v>55.895999999999994</v>
      </c>
      <c r="V91" s="14">
        <f>'PIVOT TABLES'!$W$27-'PIVOT TABLES'!$W$26</f>
        <v>27.948</v>
      </c>
      <c r="W91" s="14">
        <f>'PIVOT TABLES'!$W$28-'PIVOT TABLES'!$W$27</f>
        <v>27.947999999999993</v>
      </c>
      <c r="X91" s="14">
        <f>200-SUM(Table3[[#This Row],[S - LIGHT]:[S - VIGOROUS]])</f>
        <v>88.208000000000013</v>
      </c>
    </row>
    <row r="92" spans="1:24" x14ac:dyDescent="0.25">
      <c r="A92" s="17" t="s">
        <v>77</v>
      </c>
      <c r="B92" s="13" t="str">
        <f t="shared" si="1"/>
        <v>Defender</v>
      </c>
      <c r="C92" s="7">
        <v>45219.618564814817</v>
      </c>
      <c r="D92" s="14">
        <v>3198</v>
      </c>
      <c r="E92" s="14">
        <v>5</v>
      </c>
      <c r="F92" s="14">
        <v>3</v>
      </c>
      <c r="G92" s="14">
        <v>5</v>
      </c>
      <c r="H92" s="14">
        <v>32.35</v>
      </c>
      <c r="I92" s="14">
        <f>'PIVOT TABLES'!$B$26</f>
        <v>60.283999999999999</v>
      </c>
      <c r="J92" s="14">
        <f>'PIVOT TABLES'!$B$27-'PIVOT TABLES'!$B$26</f>
        <v>30.142000000000003</v>
      </c>
      <c r="K92" s="14">
        <f>'PIVOT TABLES'!$B$28-'PIVOT TABLES'!$B$27</f>
        <v>30.141999999999996</v>
      </c>
      <c r="L92" s="14">
        <f>200-SUM(Table3[[#This Row],[D - LIGHT]:[D - VIGOROUS]])</f>
        <v>79.432000000000002</v>
      </c>
      <c r="M92" s="14">
        <f>'PIVOT TABLES'!$I$26</f>
        <v>65.603999999999999</v>
      </c>
      <c r="N92" s="14">
        <f>'PIVOT TABLES'!$I$27-'PIVOT TABLES'!$I$26</f>
        <v>32.802000000000007</v>
      </c>
      <c r="O92" s="14">
        <f>'PIVOT TABLES'!$I$28-'PIVOT TABLES'!$I$27</f>
        <v>32.801999999999992</v>
      </c>
      <c r="P92" s="14">
        <f>200-SUM(Table3[[#This Row],[M - LIGHT]:[M - VIGOROUS]])</f>
        <v>68.792000000000002</v>
      </c>
      <c r="Q92" s="14">
        <f>'PIVOT TABLES'!$P$26</f>
        <v>62.64</v>
      </c>
      <c r="R92" s="14">
        <f>'PIVOT TABLES'!$P$27-'PIVOT TABLES'!$P$26</f>
        <v>31.320000000000007</v>
      </c>
      <c r="S92" s="14">
        <f>'PIVOT TABLES'!$P$28-'PIVOT TABLES'!$P$27</f>
        <v>31.319999999999993</v>
      </c>
      <c r="T92" s="14">
        <f>200-SUM(Table3[[#This Row],[W - LIGHT]:[W - VIGOROUS]])</f>
        <v>74.72</v>
      </c>
      <c r="U92" s="14">
        <f>'PIVOT TABLES'!$W$26</f>
        <v>55.895999999999994</v>
      </c>
      <c r="V92" s="14">
        <f>'PIVOT TABLES'!$W$27-'PIVOT TABLES'!$W$26</f>
        <v>27.948</v>
      </c>
      <c r="W92" s="14">
        <f>'PIVOT TABLES'!$W$28-'PIVOT TABLES'!$W$27</f>
        <v>27.947999999999993</v>
      </c>
      <c r="X92" s="14">
        <f>200-SUM(Table3[[#This Row],[S - LIGHT]:[S - VIGOROUS]])</f>
        <v>88.208000000000013</v>
      </c>
    </row>
    <row r="93" spans="1:24" x14ac:dyDescent="0.25">
      <c r="A93" s="17" t="s">
        <v>66</v>
      </c>
      <c r="B93" s="13" t="str">
        <f t="shared" si="1"/>
        <v>Striker</v>
      </c>
      <c r="C93" s="7">
        <v>45219.618564814817</v>
      </c>
      <c r="D93" s="14">
        <v>6727</v>
      </c>
      <c r="E93" s="14">
        <v>56</v>
      </c>
      <c r="F93" s="14">
        <v>23</v>
      </c>
      <c r="G93" s="14">
        <v>25</v>
      </c>
      <c r="H93" s="14">
        <v>70.37</v>
      </c>
      <c r="I93" s="14">
        <f>'PIVOT TABLES'!$B$26</f>
        <v>60.283999999999999</v>
      </c>
      <c r="J93" s="14">
        <f>'PIVOT TABLES'!$B$27-'PIVOT TABLES'!$B$26</f>
        <v>30.142000000000003</v>
      </c>
      <c r="K93" s="14">
        <f>'PIVOT TABLES'!$B$28-'PIVOT TABLES'!$B$27</f>
        <v>30.141999999999996</v>
      </c>
      <c r="L93" s="14">
        <f>200-SUM(Table3[[#This Row],[D - LIGHT]:[D - VIGOROUS]])</f>
        <v>79.432000000000002</v>
      </c>
      <c r="M93" s="14">
        <f>'PIVOT TABLES'!$I$26</f>
        <v>65.603999999999999</v>
      </c>
      <c r="N93" s="14">
        <f>'PIVOT TABLES'!$I$27-'PIVOT TABLES'!$I$26</f>
        <v>32.802000000000007</v>
      </c>
      <c r="O93" s="14">
        <f>'PIVOT TABLES'!$I$28-'PIVOT TABLES'!$I$27</f>
        <v>32.801999999999992</v>
      </c>
      <c r="P93" s="14">
        <f>200-SUM(Table3[[#This Row],[M - LIGHT]:[M - VIGOROUS]])</f>
        <v>68.792000000000002</v>
      </c>
      <c r="Q93" s="14">
        <f>'PIVOT TABLES'!$P$26</f>
        <v>62.64</v>
      </c>
      <c r="R93" s="14">
        <f>'PIVOT TABLES'!$P$27-'PIVOT TABLES'!$P$26</f>
        <v>31.320000000000007</v>
      </c>
      <c r="S93" s="14">
        <f>'PIVOT TABLES'!$P$28-'PIVOT TABLES'!$P$27</f>
        <v>31.319999999999993</v>
      </c>
      <c r="T93" s="14">
        <f>200-SUM(Table3[[#This Row],[W - LIGHT]:[W - VIGOROUS]])</f>
        <v>74.72</v>
      </c>
      <c r="U93" s="14">
        <f>'PIVOT TABLES'!$W$26</f>
        <v>55.895999999999994</v>
      </c>
      <c r="V93" s="14">
        <f>'PIVOT TABLES'!$W$27-'PIVOT TABLES'!$W$26</f>
        <v>27.948</v>
      </c>
      <c r="W93" s="14">
        <f>'PIVOT TABLES'!$W$28-'PIVOT TABLES'!$W$27</f>
        <v>27.947999999999993</v>
      </c>
      <c r="X93" s="14">
        <f>200-SUM(Table3[[#This Row],[S - LIGHT]:[S - VIGOROUS]])</f>
        <v>88.208000000000013</v>
      </c>
    </row>
    <row r="94" spans="1:24" x14ac:dyDescent="0.25">
      <c r="A94" s="17" t="s">
        <v>8</v>
      </c>
      <c r="B94" s="13" t="str">
        <f t="shared" si="1"/>
        <v>Striker</v>
      </c>
      <c r="C94" s="7">
        <v>45219.618564814817</v>
      </c>
      <c r="D94" s="14">
        <v>11800</v>
      </c>
      <c r="E94" s="14">
        <v>392</v>
      </c>
      <c r="F94" s="14">
        <v>60</v>
      </c>
      <c r="G94" s="14">
        <v>53</v>
      </c>
      <c r="H94" s="14">
        <v>133.22</v>
      </c>
      <c r="I94" s="14">
        <f>'PIVOT TABLES'!$B$26</f>
        <v>60.283999999999999</v>
      </c>
      <c r="J94" s="14">
        <f>'PIVOT TABLES'!$B$27-'PIVOT TABLES'!$B$26</f>
        <v>30.142000000000003</v>
      </c>
      <c r="K94" s="14">
        <f>'PIVOT TABLES'!$B$28-'PIVOT TABLES'!$B$27</f>
        <v>30.141999999999996</v>
      </c>
      <c r="L94" s="14">
        <f>200-SUM(Table3[[#This Row],[D - LIGHT]:[D - VIGOROUS]])</f>
        <v>79.432000000000002</v>
      </c>
      <c r="M94" s="14">
        <f>'PIVOT TABLES'!$I$26</f>
        <v>65.603999999999999</v>
      </c>
      <c r="N94" s="14">
        <f>'PIVOT TABLES'!$I$27-'PIVOT TABLES'!$I$26</f>
        <v>32.802000000000007</v>
      </c>
      <c r="O94" s="14">
        <f>'PIVOT TABLES'!$I$28-'PIVOT TABLES'!$I$27</f>
        <v>32.801999999999992</v>
      </c>
      <c r="P94" s="14">
        <f>200-SUM(Table3[[#This Row],[M - LIGHT]:[M - VIGOROUS]])</f>
        <v>68.792000000000002</v>
      </c>
      <c r="Q94" s="14">
        <f>'PIVOT TABLES'!$P$26</f>
        <v>62.64</v>
      </c>
      <c r="R94" s="14">
        <f>'PIVOT TABLES'!$P$27-'PIVOT TABLES'!$P$26</f>
        <v>31.320000000000007</v>
      </c>
      <c r="S94" s="14">
        <f>'PIVOT TABLES'!$P$28-'PIVOT TABLES'!$P$27</f>
        <v>31.319999999999993</v>
      </c>
      <c r="T94" s="14">
        <f>200-SUM(Table3[[#This Row],[W - LIGHT]:[W - VIGOROUS]])</f>
        <v>74.72</v>
      </c>
      <c r="U94" s="14">
        <f>'PIVOT TABLES'!$W$26</f>
        <v>55.895999999999994</v>
      </c>
      <c r="V94" s="14">
        <f>'PIVOT TABLES'!$W$27-'PIVOT TABLES'!$W$26</f>
        <v>27.948</v>
      </c>
      <c r="W94" s="14">
        <f>'PIVOT TABLES'!$W$28-'PIVOT TABLES'!$W$27</f>
        <v>27.947999999999993</v>
      </c>
      <c r="X94" s="14">
        <f>200-SUM(Table3[[#This Row],[S - LIGHT]:[S - VIGOROUS]])</f>
        <v>88.208000000000013</v>
      </c>
    </row>
    <row r="95" spans="1:24" x14ac:dyDescent="0.25">
      <c r="A95" s="17" t="s">
        <v>69</v>
      </c>
      <c r="B95" s="13" t="str">
        <f t="shared" si="1"/>
        <v>Midfielder</v>
      </c>
      <c r="C95" s="7">
        <v>45219.618564814817</v>
      </c>
      <c r="D95" s="14">
        <v>8603</v>
      </c>
      <c r="E95" s="14">
        <v>148</v>
      </c>
      <c r="F95" s="14">
        <v>36</v>
      </c>
      <c r="G95" s="14">
        <v>29</v>
      </c>
      <c r="H95" s="14">
        <v>92.49</v>
      </c>
      <c r="I95" s="14">
        <f>'PIVOT TABLES'!$B$26</f>
        <v>60.283999999999999</v>
      </c>
      <c r="J95" s="14">
        <f>'PIVOT TABLES'!$B$27-'PIVOT TABLES'!$B$26</f>
        <v>30.142000000000003</v>
      </c>
      <c r="K95" s="14">
        <f>'PIVOT TABLES'!$B$28-'PIVOT TABLES'!$B$27</f>
        <v>30.141999999999996</v>
      </c>
      <c r="L95" s="14">
        <f>200-SUM(Table3[[#This Row],[D - LIGHT]:[D - VIGOROUS]])</f>
        <v>79.432000000000002</v>
      </c>
      <c r="M95" s="14">
        <f>'PIVOT TABLES'!$I$26</f>
        <v>65.603999999999999</v>
      </c>
      <c r="N95" s="14">
        <f>'PIVOT TABLES'!$I$27-'PIVOT TABLES'!$I$26</f>
        <v>32.802000000000007</v>
      </c>
      <c r="O95" s="14">
        <f>'PIVOT TABLES'!$I$28-'PIVOT TABLES'!$I$27</f>
        <v>32.801999999999992</v>
      </c>
      <c r="P95" s="14">
        <f>200-SUM(Table3[[#This Row],[M - LIGHT]:[M - VIGOROUS]])</f>
        <v>68.792000000000002</v>
      </c>
      <c r="Q95" s="14">
        <f>'PIVOT TABLES'!$P$26</f>
        <v>62.64</v>
      </c>
      <c r="R95" s="14">
        <f>'PIVOT TABLES'!$P$27-'PIVOT TABLES'!$P$26</f>
        <v>31.320000000000007</v>
      </c>
      <c r="S95" s="14">
        <f>'PIVOT TABLES'!$P$28-'PIVOT TABLES'!$P$27</f>
        <v>31.319999999999993</v>
      </c>
      <c r="T95" s="14">
        <f>200-SUM(Table3[[#This Row],[W - LIGHT]:[W - VIGOROUS]])</f>
        <v>74.72</v>
      </c>
      <c r="U95" s="14">
        <f>'PIVOT TABLES'!$W$26</f>
        <v>55.895999999999994</v>
      </c>
      <c r="V95" s="14">
        <f>'PIVOT TABLES'!$W$27-'PIVOT TABLES'!$W$26</f>
        <v>27.948</v>
      </c>
      <c r="W95" s="14">
        <f>'PIVOT TABLES'!$W$28-'PIVOT TABLES'!$W$27</f>
        <v>27.947999999999993</v>
      </c>
      <c r="X95" s="14">
        <f>200-SUM(Table3[[#This Row],[S - LIGHT]:[S - VIGOROUS]])</f>
        <v>88.208000000000013</v>
      </c>
    </row>
    <row r="96" spans="1:24" x14ac:dyDescent="0.25">
      <c r="A96" s="17" t="s">
        <v>53</v>
      </c>
      <c r="B96" s="13" t="str">
        <f t="shared" si="1"/>
        <v>Midfielder</v>
      </c>
      <c r="C96" s="7">
        <v>45223.406284722223</v>
      </c>
      <c r="D96" s="14">
        <v>11071</v>
      </c>
      <c r="E96" s="14">
        <v>64</v>
      </c>
      <c r="F96" s="14">
        <v>41</v>
      </c>
      <c r="G96" s="14">
        <v>42</v>
      </c>
      <c r="H96" s="14">
        <v>115.11</v>
      </c>
      <c r="I96" s="14">
        <f>'PIVOT TABLES'!$B$26</f>
        <v>60.283999999999999</v>
      </c>
      <c r="J96" s="14">
        <f>'PIVOT TABLES'!$B$27-'PIVOT TABLES'!$B$26</f>
        <v>30.142000000000003</v>
      </c>
      <c r="K96" s="14">
        <f>'PIVOT TABLES'!$B$28-'PIVOT TABLES'!$B$27</f>
        <v>30.141999999999996</v>
      </c>
      <c r="L96" s="14">
        <f>200-SUM(Table3[[#This Row],[D - LIGHT]:[D - VIGOROUS]])</f>
        <v>79.432000000000002</v>
      </c>
      <c r="M96" s="14">
        <f>'PIVOT TABLES'!$I$26</f>
        <v>65.603999999999999</v>
      </c>
      <c r="N96" s="14">
        <f>'PIVOT TABLES'!$I$27-'PIVOT TABLES'!$I$26</f>
        <v>32.802000000000007</v>
      </c>
      <c r="O96" s="14">
        <f>'PIVOT TABLES'!$I$28-'PIVOT TABLES'!$I$27</f>
        <v>32.801999999999992</v>
      </c>
      <c r="P96" s="14">
        <f>200-SUM(Table3[[#This Row],[M - LIGHT]:[M - VIGOROUS]])</f>
        <v>68.792000000000002</v>
      </c>
      <c r="Q96" s="14">
        <f>'PIVOT TABLES'!$P$26</f>
        <v>62.64</v>
      </c>
      <c r="R96" s="14">
        <f>'PIVOT TABLES'!$P$27-'PIVOT TABLES'!$P$26</f>
        <v>31.320000000000007</v>
      </c>
      <c r="S96" s="14">
        <f>'PIVOT TABLES'!$P$28-'PIVOT TABLES'!$P$27</f>
        <v>31.319999999999993</v>
      </c>
      <c r="T96" s="14">
        <f>200-SUM(Table3[[#This Row],[W - LIGHT]:[W - VIGOROUS]])</f>
        <v>74.72</v>
      </c>
      <c r="U96" s="14">
        <f>'PIVOT TABLES'!$W$26</f>
        <v>55.895999999999994</v>
      </c>
      <c r="V96" s="14">
        <f>'PIVOT TABLES'!$W$27-'PIVOT TABLES'!$W$26</f>
        <v>27.948</v>
      </c>
      <c r="W96" s="14">
        <f>'PIVOT TABLES'!$W$28-'PIVOT TABLES'!$W$27</f>
        <v>27.947999999999993</v>
      </c>
      <c r="X96" s="14">
        <f>200-SUM(Table3[[#This Row],[S - LIGHT]:[S - VIGOROUS]])</f>
        <v>88.208000000000013</v>
      </c>
    </row>
    <row r="97" spans="1:24" x14ac:dyDescent="0.25">
      <c r="A97" s="17" t="s">
        <v>54</v>
      </c>
      <c r="B97" s="13" t="str">
        <f t="shared" si="1"/>
        <v>Striker</v>
      </c>
      <c r="C97" s="7">
        <v>45223.406284722223</v>
      </c>
      <c r="D97" s="14">
        <v>585</v>
      </c>
      <c r="E97" s="14">
        <v>0</v>
      </c>
      <c r="F97" s="14">
        <v>0</v>
      </c>
      <c r="G97" s="14">
        <v>0</v>
      </c>
      <c r="H97" s="14">
        <v>5.85</v>
      </c>
      <c r="I97" s="14">
        <f>'PIVOT TABLES'!$B$26</f>
        <v>60.283999999999999</v>
      </c>
      <c r="J97" s="14">
        <f>'PIVOT TABLES'!$B$27-'PIVOT TABLES'!$B$26</f>
        <v>30.142000000000003</v>
      </c>
      <c r="K97" s="14">
        <f>'PIVOT TABLES'!$B$28-'PIVOT TABLES'!$B$27</f>
        <v>30.141999999999996</v>
      </c>
      <c r="L97" s="14">
        <f>200-SUM(Table3[[#This Row],[D - LIGHT]:[D - VIGOROUS]])</f>
        <v>79.432000000000002</v>
      </c>
      <c r="M97" s="14">
        <f>'PIVOT TABLES'!$I$26</f>
        <v>65.603999999999999</v>
      </c>
      <c r="N97" s="14">
        <f>'PIVOT TABLES'!$I$27-'PIVOT TABLES'!$I$26</f>
        <v>32.802000000000007</v>
      </c>
      <c r="O97" s="14">
        <f>'PIVOT TABLES'!$I$28-'PIVOT TABLES'!$I$27</f>
        <v>32.801999999999992</v>
      </c>
      <c r="P97" s="14">
        <f>200-SUM(Table3[[#This Row],[M - LIGHT]:[M - VIGOROUS]])</f>
        <v>68.792000000000002</v>
      </c>
      <c r="Q97" s="14">
        <f>'PIVOT TABLES'!$P$26</f>
        <v>62.64</v>
      </c>
      <c r="R97" s="14">
        <f>'PIVOT TABLES'!$P$27-'PIVOT TABLES'!$P$26</f>
        <v>31.320000000000007</v>
      </c>
      <c r="S97" s="14">
        <f>'PIVOT TABLES'!$P$28-'PIVOT TABLES'!$P$27</f>
        <v>31.319999999999993</v>
      </c>
      <c r="T97" s="14">
        <f>200-SUM(Table3[[#This Row],[W - LIGHT]:[W - VIGOROUS]])</f>
        <v>74.72</v>
      </c>
      <c r="U97" s="14">
        <f>'PIVOT TABLES'!$W$26</f>
        <v>55.895999999999994</v>
      </c>
      <c r="V97" s="14">
        <f>'PIVOT TABLES'!$W$27-'PIVOT TABLES'!$W$26</f>
        <v>27.948</v>
      </c>
      <c r="W97" s="14">
        <f>'PIVOT TABLES'!$W$28-'PIVOT TABLES'!$W$27</f>
        <v>27.947999999999993</v>
      </c>
      <c r="X97" s="14">
        <f>200-SUM(Table3[[#This Row],[S - LIGHT]:[S - VIGOROUS]])</f>
        <v>88.208000000000013</v>
      </c>
    </row>
    <row r="98" spans="1:24" x14ac:dyDescent="0.25">
      <c r="A98" s="17" t="s">
        <v>55</v>
      </c>
      <c r="B98" s="13" t="str">
        <f t="shared" si="1"/>
        <v>Striker</v>
      </c>
      <c r="C98" s="7">
        <v>45223.406284722223</v>
      </c>
      <c r="D98" s="14">
        <v>11094</v>
      </c>
      <c r="E98" s="14">
        <v>239</v>
      </c>
      <c r="F98" s="14">
        <v>44</v>
      </c>
      <c r="G98" s="14">
        <v>33</v>
      </c>
      <c r="H98" s="14">
        <v>120.53</v>
      </c>
      <c r="I98" s="14">
        <f>'PIVOT TABLES'!$B$26</f>
        <v>60.283999999999999</v>
      </c>
      <c r="J98" s="14">
        <f>'PIVOT TABLES'!$B$27-'PIVOT TABLES'!$B$26</f>
        <v>30.142000000000003</v>
      </c>
      <c r="K98" s="14">
        <f>'PIVOT TABLES'!$B$28-'PIVOT TABLES'!$B$27</f>
        <v>30.141999999999996</v>
      </c>
      <c r="L98" s="14">
        <f>200-SUM(Table3[[#This Row],[D - LIGHT]:[D - VIGOROUS]])</f>
        <v>79.432000000000002</v>
      </c>
      <c r="M98" s="14">
        <f>'PIVOT TABLES'!$I$26</f>
        <v>65.603999999999999</v>
      </c>
      <c r="N98" s="14">
        <f>'PIVOT TABLES'!$I$27-'PIVOT TABLES'!$I$26</f>
        <v>32.802000000000007</v>
      </c>
      <c r="O98" s="14">
        <f>'PIVOT TABLES'!$I$28-'PIVOT TABLES'!$I$27</f>
        <v>32.801999999999992</v>
      </c>
      <c r="P98" s="14">
        <f>200-SUM(Table3[[#This Row],[M - LIGHT]:[M - VIGOROUS]])</f>
        <v>68.792000000000002</v>
      </c>
      <c r="Q98" s="14">
        <f>'PIVOT TABLES'!$P$26</f>
        <v>62.64</v>
      </c>
      <c r="R98" s="14">
        <f>'PIVOT TABLES'!$P$27-'PIVOT TABLES'!$P$26</f>
        <v>31.320000000000007</v>
      </c>
      <c r="S98" s="14">
        <f>'PIVOT TABLES'!$P$28-'PIVOT TABLES'!$P$27</f>
        <v>31.319999999999993</v>
      </c>
      <c r="T98" s="14">
        <f>200-SUM(Table3[[#This Row],[W - LIGHT]:[W - VIGOROUS]])</f>
        <v>74.72</v>
      </c>
      <c r="U98" s="14">
        <f>'PIVOT TABLES'!$W$26</f>
        <v>55.895999999999994</v>
      </c>
      <c r="V98" s="14">
        <f>'PIVOT TABLES'!$W$27-'PIVOT TABLES'!$W$26</f>
        <v>27.948</v>
      </c>
      <c r="W98" s="14">
        <f>'PIVOT TABLES'!$W$28-'PIVOT TABLES'!$W$27</f>
        <v>27.947999999999993</v>
      </c>
      <c r="X98" s="14">
        <f>200-SUM(Table3[[#This Row],[S - LIGHT]:[S - VIGOROUS]])</f>
        <v>88.208000000000013</v>
      </c>
    </row>
    <row r="99" spans="1:24" x14ac:dyDescent="0.25">
      <c r="A99" s="17" t="s">
        <v>1</v>
      </c>
      <c r="B99" s="13" t="str">
        <f t="shared" si="1"/>
        <v>Defender</v>
      </c>
      <c r="C99" s="7">
        <v>45223.406284722223</v>
      </c>
      <c r="D99" s="14">
        <v>7981</v>
      </c>
      <c r="E99" s="14">
        <v>0</v>
      </c>
      <c r="F99" s="14">
        <v>26</v>
      </c>
      <c r="G99" s="14">
        <v>24</v>
      </c>
      <c r="H99" s="14">
        <v>81.33</v>
      </c>
      <c r="I99" s="14">
        <f>'PIVOT TABLES'!$B$26</f>
        <v>60.283999999999999</v>
      </c>
      <c r="J99" s="14">
        <f>'PIVOT TABLES'!$B$27-'PIVOT TABLES'!$B$26</f>
        <v>30.142000000000003</v>
      </c>
      <c r="K99" s="14">
        <f>'PIVOT TABLES'!$B$28-'PIVOT TABLES'!$B$27</f>
        <v>30.141999999999996</v>
      </c>
      <c r="L99" s="14">
        <f>200-SUM(Table3[[#This Row],[D - LIGHT]:[D - VIGOROUS]])</f>
        <v>79.432000000000002</v>
      </c>
      <c r="M99" s="14">
        <f>'PIVOT TABLES'!$I$26</f>
        <v>65.603999999999999</v>
      </c>
      <c r="N99" s="14">
        <f>'PIVOT TABLES'!$I$27-'PIVOT TABLES'!$I$26</f>
        <v>32.802000000000007</v>
      </c>
      <c r="O99" s="14">
        <f>'PIVOT TABLES'!$I$28-'PIVOT TABLES'!$I$27</f>
        <v>32.801999999999992</v>
      </c>
      <c r="P99" s="14">
        <f>200-SUM(Table3[[#This Row],[M - LIGHT]:[M - VIGOROUS]])</f>
        <v>68.792000000000002</v>
      </c>
      <c r="Q99" s="14">
        <f>'PIVOT TABLES'!$P$26</f>
        <v>62.64</v>
      </c>
      <c r="R99" s="14">
        <f>'PIVOT TABLES'!$P$27-'PIVOT TABLES'!$P$26</f>
        <v>31.320000000000007</v>
      </c>
      <c r="S99" s="14">
        <f>'PIVOT TABLES'!$P$28-'PIVOT TABLES'!$P$27</f>
        <v>31.319999999999993</v>
      </c>
      <c r="T99" s="14">
        <f>200-SUM(Table3[[#This Row],[W - LIGHT]:[W - VIGOROUS]])</f>
        <v>74.72</v>
      </c>
      <c r="U99" s="14">
        <f>'PIVOT TABLES'!$W$26</f>
        <v>55.895999999999994</v>
      </c>
      <c r="V99" s="14">
        <f>'PIVOT TABLES'!$W$27-'PIVOT TABLES'!$W$26</f>
        <v>27.948</v>
      </c>
      <c r="W99" s="14">
        <f>'PIVOT TABLES'!$W$28-'PIVOT TABLES'!$W$27</f>
        <v>27.947999999999993</v>
      </c>
      <c r="X99" s="14">
        <f>200-SUM(Table3[[#This Row],[S - LIGHT]:[S - VIGOROUS]])</f>
        <v>88.208000000000013</v>
      </c>
    </row>
    <row r="100" spans="1:24" x14ac:dyDescent="0.25">
      <c r="A100" s="17" t="s">
        <v>56</v>
      </c>
      <c r="B100" s="13" t="str">
        <f t="shared" si="1"/>
        <v>Midfielder</v>
      </c>
      <c r="C100" s="7">
        <v>45223.406284722223</v>
      </c>
      <c r="D100" s="14">
        <v>3351</v>
      </c>
      <c r="E100" s="14">
        <v>0</v>
      </c>
      <c r="F100" s="14">
        <v>14</v>
      </c>
      <c r="G100" s="14">
        <v>2</v>
      </c>
      <c r="H100" s="14">
        <v>34.11</v>
      </c>
      <c r="I100" s="14">
        <f>'PIVOT TABLES'!$B$26</f>
        <v>60.283999999999999</v>
      </c>
      <c r="J100" s="14">
        <f>'PIVOT TABLES'!$B$27-'PIVOT TABLES'!$B$26</f>
        <v>30.142000000000003</v>
      </c>
      <c r="K100" s="14">
        <f>'PIVOT TABLES'!$B$28-'PIVOT TABLES'!$B$27</f>
        <v>30.141999999999996</v>
      </c>
      <c r="L100" s="14">
        <f>200-SUM(Table3[[#This Row],[D - LIGHT]:[D - VIGOROUS]])</f>
        <v>79.432000000000002</v>
      </c>
      <c r="M100" s="14">
        <f>'PIVOT TABLES'!$I$26</f>
        <v>65.603999999999999</v>
      </c>
      <c r="N100" s="14">
        <f>'PIVOT TABLES'!$I$27-'PIVOT TABLES'!$I$26</f>
        <v>32.802000000000007</v>
      </c>
      <c r="O100" s="14">
        <f>'PIVOT TABLES'!$I$28-'PIVOT TABLES'!$I$27</f>
        <v>32.801999999999992</v>
      </c>
      <c r="P100" s="14">
        <f>200-SUM(Table3[[#This Row],[M - LIGHT]:[M - VIGOROUS]])</f>
        <v>68.792000000000002</v>
      </c>
      <c r="Q100" s="14">
        <f>'PIVOT TABLES'!$P$26</f>
        <v>62.64</v>
      </c>
      <c r="R100" s="14">
        <f>'PIVOT TABLES'!$P$27-'PIVOT TABLES'!$P$26</f>
        <v>31.320000000000007</v>
      </c>
      <c r="S100" s="14">
        <f>'PIVOT TABLES'!$P$28-'PIVOT TABLES'!$P$27</f>
        <v>31.319999999999993</v>
      </c>
      <c r="T100" s="14">
        <f>200-SUM(Table3[[#This Row],[W - LIGHT]:[W - VIGOROUS]])</f>
        <v>74.72</v>
      </c>
      <c r="U100" s="14">
        <f>'PIVOT TABLES'!$W$26</f>
        <v>55.895999999999994</v>
      </c>
      <c r="V100" s="14">
        <f>'PIVOT TABLES'!$W$27-'PIVOT TABLES'!$W$26</f>
        <v>27.948</v>
      </c>
      <c r="W100" s="14">
        <f>'PIVOT TABLES'!$W$28-'PIVOT TABLES'!$W$27</f>
        <v>27.947999999999993</v>
      </c>
      <c r="X100" s="14">
        <f>200-SUM(Table3[[#This Row],[S - LIGHT]:[S - VIGOROUS]])</f>
        <v>88.208000000000013</v>
      </c>
    </row>
    <row r="101" spans="1:24" x14ac:dyDescent="0.25">
      <c r="A101" s="17" t="s">
        <v>57</v>
      </c>
      <c r="B101" s="13" t="str">
        <f t="shared" si="1"/>
        <v>Midfielder</v>
      </c>
      <c r="C101" s="7">
        <v>45223.406284722223</v>
      </c>
      <c r="D101" s="14">
        <v>6155</v>
      </c>
      <c r="E101" s="14">
        <v>1</v>
      </c>
      <c r="F101" s="14">
        <v>31</v>
      </c>
      <c r="G101" s="14">
        <v>21</v>
      </c>
      <c r="H101" s="14">
        <v>63.24</v>
      </c>
      <c r="I101" s="14">
        <f>'PIVOT TABLES'!$B$26</f>
        <v>60.283999999999999</v>
      </c>
      <c r="J101" s="14">
        <f>'PIVOT TABLES'!$B$27-'PIVOT TABLES'!$B$26</f>
        <v>30.142000000000003</v>
      </c>
      <c r="K101" s="14">
        <f>'PIVOT TABLES'!$B$28-'PIVOT TABLES'!$B$27</f>
        <v>30.141999999999996</v>
      </c>
      <c r="L101" s="14">
        <f>200-SUM(Table3[[#This Row],[D - LIGHT]:[D - VIGOROUS]])</f>
        <v>79.432000000000002</v>
      </c>
      <c r="M101" s="14">
        <f>'PIVOT TABLES'!$I$26</f>
        <v>65.603999999999999</v>
      </c>
      <c r="N101" s="14">
        <f>'PIVOT TABLES'!$I$27-'PIVOT TABLES'!$I$26</f>
        <v>32.802000000000007</v>
      </c>
      <c r="O101" s="14">
        <f>'PIVOT TABLES'!$I$28-'PIVOT TABLES'!$I$27</f>
        <v>32.801999999999992</v>
      </c>
      <c r="P101" s="14">
        <f>200-SUM(Table3[[#This Row],[M - LIGHT]:[M - VIGOROUS]])</f>
        <v>68.792000000000002</v>
      </c>
      <c r="Q101" s="14">
        <f>'PIVOT TABLES'!$P$26</f>
        <v>62.64</v>
      </c>
      <c r="R101" s="14">
        <f>'PIVOT TABLES'!$P$27-'PIVOT TABLES'!$P$26</f>
        <v>31.320000000000007</v>
      </c>
      <c r="S101" s="14">
        <f>'PIVOT TABLES'!$P$28-'PIVOT TABLES'!$P$27</f>
        <v>31.319999999999993</v>
      </c>
      <c r="T101" s="14">
        <f>200-SUM(Table3[[#This Row],[W - LIGHT]:[W - VIGOROUS]])</f>
        <v>74.72</v>
      </c>
      <c r="U101" s="14">
        <f>'PIVOT TABLES'!$W$26</f>
        <v>55.895999999999994</v>
      </c>
      <c r="V101" s="14">
        <f>'PIVOT TABLES'!$W$27-'PIVOT TABLES'!$W$26</f>
        <v>27.948</v>
      </c>
      <c r="W101" s="14">
        <f>'PIVOT TABLES'!$W$28-'PIVOT TABLES'!$W$27</f>
        <v>27.947999999999993</v>
      </c>
      <c r="X101" s="14">
        <f>200-SUM(Table3[[#This Row],[S - LIGHT]:[S - VIGOROUS]])</f>
        <v>88.208000000000013</v>
      </c>
    </row>
    <row r="102" spans="1:24" x14ac:dyDescent="0.25">
      <c r="A102" s="17" t="s">
        <v>2</v>
      </c>
      <c r="B102" s="13" t="str">
        <f t="shared" si="1"/>
        <v>Defender</v>
      </c>
      <c r="C102" s="7">
        <v>45223.406284722223</v>
      </c>
      <c r="D102" s="14">
        <v>3515</v>
      </c>
      <c r="E102" s="14">
        <v>0</v>
      </c>
      <c r="F102" s="14">
        <v>6</v>
      </c>
      <c r="G102" s="14">
        <v>7</v>
      </c>
      <c r="H102" s="14">
        <v>35.53</v>
      </c>
      <c r="I102" s="14">
        <f>'PIVOT TABLES'!$B$26</f>
        <v>60.283999999999999</v>
      </c>
      <c r="J102" s="14">
        <f>'PIVOT TABLES'!$B$27-'PIVOT TABLES'!$B$26</f>
        <v>30.142000000000003</v>
      </c>
      <c r="K102" s="14">
        <f>'PIVOT TABLES'!$B$28-'PIVOT TABLES'!$B$27</f>
        <v>30.141999999999996</v>
      </c>
      <c r="L102" s="14">
        <f>200-SUM(Table3[[#This Row],[D - LIGHT]:[D - VIGOROUS]])</f>
        <v>79.432000000000002</v>
      </c>
      <c r="M102" s="14">
        <f>'PIVOT TABLES'!$I$26</f>
        <v>65.603999999999999</v>
      </c>
      <c r="N102" s="14">
        <f>'PIVOT TABLES'!$I$27-'PIVOT TABLES'!$I$26</f>
        <v>32.802000000000007</v>
      </c>
      <c r="O102" s="14">
        <f>'PIVOT TABLES'!$I$28-'PIVOT TABLES'!$I$27</f>
        <v>32.801999999999992</v>
      </c>
      <c r="P102" s="14">
        <f>200-SUM(Table3[[#This Row],[M - LIGHT]:[M - VIGOROUS]])</f>
        <v>68.792000000000002</v>
      </c>
      <c r="Q102" s="14">
        <f>'PIVOT TABLES'!$P$26</f>
        <v>62.64</v>
      </c>
      <c r="R102" s="14">
        <f>'PIVOT TABLES'!$P$27-'PIVOT TABLES'!$P$26</f>
        <v>31.320000000000007</v>
      </c>
      <c r="S102" s="14">
        <f>'PIVOT TABLES'!$P$28-'PIVOT TABLES'!$P$27</f>
        <v>31.319999999999993</v>
      </c>
      <c r="T102" s="14">
        <f>200-SUM(Table3[[#This Row],[W - LIGHT]:[W - VIGOROUS]])</f>
        <v>74.72</v>
      </c>
      <c r="U102" s="14">
        <f>'PIVOT TABLES'!$W$26</f>
        <v>55.895999999999994</v>
      </c>
      <c r="V102" s="14">
        <f>'PIVOT TABLES'!$W$27-'PIVOT TABLES'!$W$26</f>
        <v>27.948</v>
      </c>
      <c r="W102" s="14">
        <f>'PIVOT TABLES'!$W$28-'PIVOT TABLES'!$W$27</f>
        <v>27.947999999999993</v>
      </c>
      <c r="X102" s="14">
        <f>200-SUM(Table3[[#This Row],[S - LIGHT]:[S - VIGOROUS]])</f>
        <v>88.208000000000013</v>
      </c>
    </row>
    <row r="103" spans="1:24" x14ac:dyDescent="0.25">
      <c r="A103" s="17" t="s">
        <v>3</v>
      </c>
      <c r="B103" s="13" t="str">
        <f t="shared" si="1"/>
        <v>Defender</v>
      </c>
      <c r="C103" s="7">
        <v>45223.406284722223</v>
      </c>
      <c r="D103" s="14">
        <v>3200</v>
      </c>
      <c r="E103" s="14">
        <v>0</v>
      </c>
      <c r="F103" s="14">
        <v>1</v>
      </c>
      <c r="G103" s="14">
        <v>1</v>
      </c>
      <c r="H103" s="14">
        <v>32.06</v>
      </c>
      <c r="I103" s="14">
        <f>'PIVOT TABLES'!$B$26</f>
        <v>60.283999999999999</v>
      </c>
      <c r="J103" s="14">
        <f>'PIVOT TABLES'!$B$27-'PIVOT TABLES'!$B$26</f>
        <v>30.142000000000003</v>
      </c>
      <c r="K103" s="14">
        <f>'PIVOT TABLES'!$B$28-'PIVOT TABLES'!$B$27</f>
        <v>30.141999999999996</v>
      </c>
      <c r="L103" s="14">
        <f>200-SUM(Table3[[#This Row],[D - LIGHT]:[D - VIGOROUS]])</f>
        <v>79.432000000000002</v>
      </c>
      <c r="M103" s="14">
        <f>'PIVOT TABLES'!$I$26</f>
        <v>65.603999999999999</v>
      </c>
      <c r="N103" s="14">
        <f>'PIVOT TABLES'!$I$27-'PIVOT TABLES'!$I$26</f>
        <v>32.802000000000007</v>
      </c>
      <c r="O103" s="14">
        <f>'PIVOT TABLES'!$I$28-'PIVOT TABLES'!$I$27</f>
        <v>32.801999999999992</v>
      </c>
      <c r="P103" s="14">
        <f>200-SUM(Table3[[#This Row],[M - LIGHT]:[M - VIGOROUS]])</f>
        <v>68.792000000000002</v>
      </c>
      <c r="Q103" s="14">
        <f>'PIVOT TABLES'!$P$26</f>
        <v>62.64</v>
      </c>
      <c r="R103" s="14">
        <f>'PIVOT TABLES'!$P$27-'PIVOT TABLES'!$P$26</f>
        <v>31.320000000000007</v>
      </c>
      <c r="S103" s="14">
        <f>'PIVOT TABLES'!$P$28-'PIVOT TABLES'!$P$27</f>
        <v>31.319999999999993</v>
      </c>
      <c r="T103" s="14">
        <f>200-SUM(Table3[[#This Row],[W - LIGHT]:[W - VIGOROUS]])</f>
        <v>74.72</v>
      </c>
      <c r="U103" s="14">
        <f>'PIVOT TABLES'!$W$26</f>
        <v>55.895999999999994</v>
      </c>
      <c r="V103" s="14">
        <f>'PIVOT TABLES'!$W$27-'PIVOT TABLES'!$W$26</f>
        <v>27.948</v>
      </c>
      <c r="W103" s="14">
        <f>'PIVOT TABLES'!$W$28-'PIVOT TABLES'!$W$27</f>
        <v>27.947999999999993</v>
      </c>
      <c r="X103" s="14">
        <f>200-SUM(Table3[[#This Row],[S - LIGHT]:[S - VIGOROUS]])</f>
        <v>88.208000000000013</v>
      </c>
    </row>
    <row r="104" spans="1:24" x14ac:dyDescent="0.25">
      <c r="A104" s="17" t="s">
        <v>4</v>
      </c>
      <c r="B104" s="13" t="str">
        <f t="shared" si="1"/>
        <v>Midfielder</v>
      </c>
      <c r="C104" s="7">
        <v>45223.406284722223</v>
      </c>
      <c r="D104" s="14">
        <v>3071</v>
      </c>
      <c r="E104" s="14">
        <v>0</v>
      </c>
      <c r="F104" s="14">
        <v>2</v>
      </c>
      <c r="G104" s="14">
        <v>1</v>
      </c>
      <c r="H104" s="14">
        <v>30.81</v>
      </c>
      <c r="I104" s="14">
        <f>'PIVOT TABLES'!$B$26</f>
        <v>60.283999999999999</v>
      </c>
      <c r="J104" s="14">
        <f>'PIVOT TABLES'!$B$27-'PIVOT TABLES'!$B$26</f>
        <v>30.142000000000003</v>
      </c>
      <c r="K104" s="14">
        <f>'PIVOT TABLES'!$B$28-'PIVOT TABLES'!$B$27</f>
        <v>30.141999999999996</v>
      </c>
      <c r="L104" s="14">
        <f>200-SUM(Table3[[#This Row],[D - LIGHT]:[D - VIGOROUS]])</f>
        <v>79.432000000000002</v>
      </c>
      <c r="M104" s="14">
        <f>'PIVOT TABLES'!$I$26</f>
        <v>65.603999999999999</v>
      </c>
      <c r="N104" s="14">
        <f>'PIVOT TABLES'!$I$27-'PIVOT TABLES'!$I$26</f>
        <v>32.802000000000007</v>
      </c>
      <c r="O104" s="14">
        <f>'PIVOT TABLES'!$I$28-'PIVOT TABLES'!$I$27</f>
        <v>32.801999999999992</v>
      </c>
      <c r="P104" s="14">
        <f>200-SUM(Table3[[#This Row],[M - LIGHT]:[M - VIGOROUS]])</f>
        <v>68.792000000000002</v>
      </c>
      <c r="Q104" s="14">
        <f>'PIVOT TABLES'!$P$26</f>
        <v>62.64</v>
      </c>
      <c r="R104" s="14">
        <f>'PIVOT TABLES'!$P$27-'PIVOT TABLES'!$P$26</f>
        <v>31.320000000000007</v>
      </c>
      <c r="S104" s="14">
        <f>'PIVOT TABLES'!$P$28-'PIVOT TABLES'!$P$27</f>
        <v>31.319999999999993</v>
      </c>
      <c r="T104" s="14">
        <f>200-SUM(Table3[[#This Row],[W - LIGHT]:[W - VIGOROUS]])</f>
        <v>74.72</v>
      </c>
      <c r="U104" s="14">
        <f>'PIVOT TABLES'!$W$26</f>
        <v>55.895999999999994</v>
      </c>
      <c r="V104" s="14">
        <f>'PIVOT TABLES'!$W$27-'PIVOT TABLES'!$W$26</f>
        <v>27.948</v>
      </c>
      <c r="W104" s="14">
        <f>'PIVOT TABLES'!$W$28-'PIVOT TABLES'!$W$27</f>
        <v>27.947999999999993</v>
      </c>
      <c r="X104" s="14">
        <f>200-SUM(Table3[[#This Row],[S - LIGHT]:[S - VIGOROUS]])</f>
        <v>88.208000000000013</v>
      </c>
    </row>
    <row r="105" spans="1:24" x14ac:dyDescent="0.25">
      <c r="A105" s="17" t="s">
        <v>60</v>
      </c>
      <c r="B105" s="13" t="str">
        <f t="shared" si="1"/>
        <v>Winger</v>
      </c>
      <c r="C105" s="7">
        <v>45223.406284722223</v>
      </c>
      <c r="D105" s="14">
        <v>3440</v>
      </c>
      <c r="E105" s="14">
        <v>0</v>
      </c>
      <c r="F105" s="14">
        <v>3</v>
      </c>
      <c r="G105" s="14">
        <v>6</v>
      </c>
      <c r="H105" s="14">
        <v>34.64</v>
      </c>
      <c r="I105" s="14">
        <f>'PIVOT TABLES'!$B$26</f>
        <v>60.283999999999999</v>
      </c>
      <c r="J105" s="14">
        <f>'PIVOT TABLES'!$B$27-'PIVOT TABLES'!$B$26</f>
        <v>30.142000000000003</v>
      </c>
      <c r="K105" s="14">
        <f>'PIVOT TABLES'!$B$28-'PIVOT TABLES'!$B$27</f>
        <v>30.141999999999996</v>
      </c>
      <c r="L105" s="14">
        <f>200-SUM(Table3[[#This Row],[D - LIGHT]:[D - VIGOROUS]])</f>
        <v>79.432000000000002</v>
      </c>
      <c r="M105" s="14">
        <f>'PIVOT TABLES'!$I$26</f>
        <v>65.603999999999999</v>
      </c>
      <c r="N105" s="14">
        <f>'PIVOT TABLES'!$I$27-'PIVOT TABLES'!$I$26</f>
        <v>32.802000000000007</v>
      </c>
      <c r="O105" s="14">
        <f>'PIVOT TABLES'!$I$28-'PIVOT TABLES'!$I$27</f>
        <v>32.801999999999992</v>
      </c>
      <c r="P105" s="14">
        <f>200-SUM(Table3[[#This Row],[M - LIGHT]:[M - VIGOROUS]])</f>
        <v>68.792000000000002</v>
      </c>
      <c r="Q105" s="14">
        <f>'PIVOT TABLES'!$P$26</f>
        <v>62.64</v>
      </c>
      <c r="R105" s="14">
        <f>'PIVOT TABLES'!$P$27-'PIVOT TABLES'!$P$26</f>
        <v>31.320000000000007</v>
      </c>
      <c r="S105" s="14">
        <f>'PIVOT TABLES'!$P$28-'PIVOT TABLES'!$P$27</f>
        <v>31.319999999999993</v>
      </c>
      <c r="T105" s="14">
        <f>200-SUM(Table3[[#This Row],[W - LIGHT]:[W - VIGOROUS]])</f>
        <v>74.72</v>
      </c>
      <c r="U105" s="14">
        <f>'PIVOT TABLES'!$W$26</f>
        <v>55.895999999999994</v>
      </c>
      <c r="V105" s="14">
        <f>'PIVOT TABLES'!$W$27-'PIVOT TABLES'!$W$26</f>
        <v>27.948</v>
      </c>
      <c r="W105" s="14">
        <f>'PIVOT TABLES'!$W$28-'PIVOT TABLES'!$W$27</f>
        <v>27.947999999999993</v>
      </c>
      <c r="X105" s="14">
        <f>200-SUM(Table3[[#This Row],[S - LIGHT]:[S - VIGOROUS]])</f>
        <v>88.208000000000013</v>
      </c>
    </row>
    <row r="106" spans="1:24" x14ac:dyDescent="0.25">
      <c r="A106" s="17" t="s">
        <v>61</v>
      </c>
      <c r="B106" s="13" t="str">
        <f t="shared" si="1"/>
        <v>####</v>
      </c>
      <c r="C106" s="7">
        <v>45223.406284722223</v>
      </c>
      <c r="D106" s="14">
        <v>3052</v>
      </c>
      <c r="E106" s="14">
        <v>18</v>
      </c>
      <c r="F106" s="14">
        <v>3</v>
      </c>
      <c r="G106" s="14">
        <v>1</v>
      </c>
      <c r="H106" s="14">
        <v>31.2</v>
      </c>
      <c r="I106" s="14">
        <f>'PIVOT TABLES'!$B$26</f>
        <v>60.283999999999999</v>
      </c>
      <c r="J106" s="14">
        <f>'PIVOT TABLES'!$B$27-'PIVOT TABLES'!$B$26</f>
        <v>30.142000000000003</v>
      </c>
      <c r="K106" s="14">
        <f>'PIVOT TABLES'!$B$28-'PIVOT TABLES'!$B$27</f>
        <v>30.141999999999996</v>
      </c>
      <c r="L106" s="14">
        <f>200-SUM(Table3[[#This Row],[D - LIGHT]:[D - VIGOROUS]])</f>
        <v>79.432000000000002</v>
      </c>
      <c r="M106" s="14">
        <f>'PIVOT TABLES'!$I$26</f>
        <v>65.603999999999999</v>
      </c>
      <c r="N106" s="14">
        <f>'PIVOT TABLES'!$I$27-'PIVOT TABLES'!$I$26</f>
        <v>32.802000000000007</v>
      </c>
      <c r="O106" s="14">
        <f>'PIVOT TABLES'!$I$28-'PIVOT TABLES'!$I$27</f>
        <v>32.801999999999992</v>
      </c>
      <c r="P106" s="14">
        <f>200-SUM(Table3[[#This Row],[M - LIGHT]:[M - VIGOROUS]])</f>
        <v>68.792000000000002</v>
      </c>
      <c r="Q106" s="14">
        <f>'PIVOT TABLES'!$P$26</f>
        <v>62.64</v>
      </c>
      <c r="R106" s="14">
        <f>'PIVOT TABLES'!$P$27-'PIVOT TABLES'!$P$26</f>
        <v>31.320000000000007</v>
      </c>
      <c r="S106" s="14">
        <f>'PIVOT TABLES'!$P$28-'PIVOT TABLES'!$P$27</f>
        <v>31.319999999999993</v>
      </c>
      <c r="T106" s="14">
        <f>200-SUM(Table3[[#This Row],[W - LIGHT]:[W - VIGOROUS]])</f>
        <v>74.72</v>
      </c>
      <c r="U106" s="14">
        <f>'PIVOT TABLES'!$W$26</f>
        <v>55.895999999999994</v>
      </c>
      <c r="V106" s="14">
        <f>'PIVOT TABLES'!$W$27-'PIVOT TABLES'!$W$26</f>
        <v>27.948</v>
      </c>
      <c r="W106" s="14">
        <f>'PIVOT TABLES'!$W$28-'PIVOT TABLES'!$W$27</f>
        <v>27.947999999999993</v>
      </c>
      <c r="X106" s="14">
        <f>200-SUM(Table3[[#This Row],[S - LIGHT]:[S - VIGOROUS]])</f>
        <v>88.208000000000013</v>
      </c>
    </row>
    <row r="107" spans="1:24" x14ac:dyDescent="0.25">
      <c r="A107" s="17" t="s">
        <v>71</v>
      </c>
      <c r="B107" s="13" t="str">
        <f t="shared" si="1"/>
        <v>Midfielder</v>
      </c>
      <c r="C107" s="7">
        <v>45223.406284722223</v>
      </c>
      <c r="D107" s="14">
        <v>3238</v>
      </c>
      <c r="E107" s="14">
        <v>0</v>
      </c>
      <c r="F107" s="14">
        <v>12</v>
      </c>
      <c r="G107" s="14">
        <v>2</v>
      </c>
      <c r="H107" s="14">
        <v>32.9</v>
      </c>
      <c r="I107" s="14">
        <f>'PIVOT TABLES'!$B$26</f>
        <v>60.283999999999999</v>
      </c>
      <c r="J107" s="14">
        <f>'PIVOT TABLES'!$B$27-'PIVOT TABLES'!$B$26</f>
        <v>30.142000000000003</v>
      </c>
      <c r="K107" s="14">
        <f>'PIVOT TABLES'!$B$28-'PIVOT TABLES'!$B$27</f>
        <v>30.141999999999996</v>
      </c>
      <c r="L107" s="14">
        <f>200-SUM(Table3[[#This Row],[D - LIGHT]:[D - VIGOROUS]])</f>
        <v>79.432000000000002</v>
      </c>
      <c r="M107" s="14">
        <f>'PIVOT TABLES'!$I$26</f>
        <v>65.603999999999999</v>
      </c>
      <c r="N107" s="14">
        <f>'PIVOT TABLES'!$I$27-'PIVOT TABLES'!$I$26</f>
        <v>32.802000000000007</v>
      </c>
      <c r="O107" s="14">
        <f>'PIVOT TABLES'!$I$28-'PIVOT TABLES'!$I$27</f>
        <v>32.801999999999992</v>
      </c>
      <c r="P107" s="14">
        <f>200-SUM(Table3[[#This Row],[M - LIGHT]:[M - VIGOROUS]])</f>
        <v>68.792000000000002</v>
      </c>
      <c r="Q107" s="14">
        <f>'PIVOT TABLES'!$P$26</f>
        <v>62.64</v>
      </c>
      <c r="R107" s="14">
        <f>'PIVOT TABLES'!$P$27-'PIVOT TABLES'!$P$26</f>
        <v>31.320000000000007</v>
      </c>
      <c r="S107" s="14">
        <f>'PIVOT TABLES'!$P$28-'PIVOT TABLES'!$P$27</f>
        <v>31.319999999999993</v>
      </c>
      <c r="T107" s="14">
        <f>200-SUM(Table3[[#This Row],[W - LIGHT]:[W - VIGOROUS]])</f>
        <v>74.72</v>
      </c>
      <c r="U107" s="14">
        <f>'PIVOT TABLES'!$W$26</f>
        <v>55.895999999999994</v>
      </c>
      <c r="V107" s="14">
        <f>'PIVOT TABLES'!$W$27-'PIVOT TABLES'!$W$26</f>
        <v>27.948</v>
      </c>
      <c r="W107" s="14">
        <f>'PIVOT TABLES'!$W$28-'PIVOT TABLES'!$W$27</f>
        <v>27.947999999999993</v>
      </c>
      <c r="X107" s="14">
        <f>200-SUM(Table3[[#This Row],[S - LIGHT]:[S - VIGOROUS]])</f>
        <v>88.208000000000013</v>
      </c>
    </row>
    <row r="108" spans="1:24" x14ac:dyDescent="0.25">
      <c r="A108" s="17" t="s">
        <v>5</v>
      </c>
      <c r="B108" s="13" t="str">
        <f t="shared" si="1"/>
        <v>Midfielder</v>
      </c>
      <c r="C108" s="7">
        <v>45223.406284722223</v>
      </c>
      <c r="D108" s="14">
        <v>2963</v>
      </c>
      <c r="E108" s="14">
        <v>0</v>
      </c>
      <c r="F108" s="14">
        <v>2</v>
      </c>
      <c r="G108" s="14">
        <v>2</v>
      </c>
      <c r="H108" s="14">
        <v>29.75</v>
      </c>
      <c r="I108" s="14">
        <f>'PIVOT TABLES'!$B$26</f>
        <v>60.283999999999999</v>
      </c>
      <c r="J108" s="14">
        <f>'PIVOT TABLES'!$B$27-'PIVOT TABLES'!$B$26</f>
        <v>30.142000000000003</v>
      </c>
      <c r="K108" s="14">
        <f>'PIVOT TABLES'!$B$28-'PIVOT TABLES'!$B$27</f>
        <v>30.141999999999996</v>
      </c>
      <c r="L108" s="14">
        <f>200-SUM(Table3[[#This Row],[D - LIGHT]:[D - VIGOROUS]])</f>
        <v>79.432000000000002</v>
      </c>
      <c r="M108" s="14">
        <f>'PIVOT TABLES'!$I$26</f>
        <v>65.603999999999999</v>
      </c>
      <c r="N108" s="14">
        <f>'PIVOT TABLES'!$I$27-'PIVOT TABLES'!$I$26</f>
        <v>32.802000000000007</v>
      </c>
      <c r="O108" s="14">
        <f>'PIVOT TABLES'!$I$28-'PIVOT TABLES'!$I$27</f>
        <v>32.801999999999992</v>
      </c>
      <c r="P108" s="14">
        <f>200-SUM(Table3[[#This Row],[M - LIGHT]:[M - VIGOROUS]])</f>
        <v>68.792000000000002</v>
      </c>
      <c r="Q108" s="14">
        <f>'PIVOT TABLES'!$P$26</f>
        <v>62.64</v>
      </c>
      <c r="R108" s="14">
        <f>'PIVOT TABLES'!$P$27-'PIVOT TABLES'!$P$26</f>
        <v>31.320000000000007</v>
      </c>
      <c r="S108" s="14">
        <f>'PIVOT TABLES'!$P$28-'PIVOT TABLES'!$P$27</f>
        <v>31.319999999999993</v>
      </c>
      <c r="T108" s="14">
        <f>200-SUM(Table3[[#This Row],[W - LIGHT]:[W - VIGOROUS]])</f>
        <v>74.72</v>
      </c>
      <c r="U108" s="14">
        <f>'PIVOT TABLES'!$W$26</f>
        <v>55.895999999999994</v>
      </c>
      <c r="V108" s="14">
        <f>'PIVOT TABLES'!$W$27-'PIVOT TABLES'!$W$26</f>
        <v>27.948</v>
      </c>
      <c r="W108" s="14">
        <f>'PIVOT TABLES'!$W$28-'PIVOT TABLES'!$W$27</f>
        <v>27.947999999999993</v>
      </c>
      <c r="X108" s="14">
        <f>200-SUM(Table3[[#This Row],[S - LIGHT]:[S - VIGOROUS]])</f>
        <v>88.208000000000013</v>
      </c>
    </row>
    <row r="109" spans="1:24" x14ac:dyDescent="0.25">
      <c r="A109" s="17" t="s">
        <v>6</v>
      </c>
      <c r="B109" s="13" t="str">
        <f t="shared" si="1"/>
        <v>Midfielder</v>
      </c>
      <c r="C109" s="7">
        <v>45223.406284722223</v>
      </c>
      <c r="D109" s="14">
        <v>611</v>
      </c>
      <c r="E109" s="14">
        <v>0</v>
      </c>
      <c r="F109" s="14">
        <v>0</v>
      </c>
      <c r="G109" s="14">
        <v>0</v>
      </c>
      <c r="H109" s="14">
        <v>6.11</v>
      </c>
      <c r="I109" s="14">
        <f>'PIVOT TABLES'!$B$26</f>
        <v>60.283999999999999</v>
      </c>
      <c r="J109" s="14">
        <f>'PIVOT TABLES'!$B$27-'PIVOT TABLES'!$B$26</f>
        <v>30.142000000000003</v>
      </c>
      <c r="K109" s="14">
        <f>'PIVOT TABLES'!$B$28-'PIVOT TABLES'!$B$27</f>
        <v>30.141999999999996</v>
      </c>
      <c r="L109" s="14">
        <f>200-SUM(Table3[[#This Row],[D - LIGHT]:[D - VIGOROUS]])</f>
        <v>79.432000000000002</v>
      </c>
      <c r="M109" s="14">
        <f>'PIVOT TABLES'!$I$26</f>
        <v>65.603999999999999</v>
      </c>
      <c r="N109" s="14">
        <f>'PIVOT TABLES'!$I$27-'PIVOT TABLES'!$I$26</f>
        <v>32.802000000000007</v>
      </c>
      <c r="O109" s="14">
        <f>'PIVOT TABLES'!$I$28-'PIVOT TABLES'!$I$27</f>
        <v>32.801999999999992</v>
      </c>
      <c r="P109" s="14">
        <f>200-SUM(Table3[[#This Row],[M - LIGHT]:[M - VIGOROUS]])</f>
        <v>68.792000000000002</v>
      </c>
      <c r="Q109" s="14">
        <f>'PIVOT TABLES'!$P$26</f>
        <v>62.64</v>
      </c>
      <c r="R109" s="14">
        <f>'PIVOT TABLES'!$P$27-'PIVOT TABLES'!$P$26</f>
        <v>31.320000000000007</v>
      </c>
      <c r="S109" s="14">
        <f>'PIVOT TABLES'!$P$28-'PIVOT TABLES'!$P$27</f>
        <v>31.319999999999993</v>
      </c>
      <c r="T109" s="14">
        <f>200-SUM(Table3[[#This Row],[W - LIGHT]:[W - VIGOROUS]])</f>
        <v>74.72</v>
      </c>
      <c r="U109" s="14">
        <f>'PIVOT TABLES'!$W$26</f>
        <v>55.895999999999994</v>
      </c>
      <c r="V109" s="14">
        <f>'PIVOT TABLES'!$W$27-'PIVOT TABLES'!$W$26</f>
        <v>27.948</v>
      </c>
      <c r="W109" s="14">
        <f>'PIVOT TABLES'!$W$28-'PIVOT TABLES'!$W$27</f>
        <v>27.947999999999993</v>
      </c>
      <c r="X109" s="14">
        <f>200-SUM(Table3[[#This Row],[S - LIGHT]:[S - VIGOROUS]])</f>
        <v>88.208000000000013</v>
      </c>
    </row>
    <row r="110" spans="1:24" x14ac:dyDescent="0.25">
      <c r="A110" s="17" t="s">
        <v>62</v>
      </c>
      <c r="B110" s="13" t="str">
        <f t="shared" si="1"/>
        <v>Midfielder</v>
      </c>
      <c r="C110" s="7">
        <v>45223.406284722223</v>
      </c>
      <c r="D110" s="14">
        <v>8589</v>
      </c>
      <c r="E110" s="14">
        <v>30</v>
      </c>
      <c r="F110" s="14">
        <v>27</v>
      </c>
      <c r="G110" s="14">
        <v>18</v>
      </c>
      <c r="H110" s="14">
        <v>88.23</v>
      </c>
      <c r="I110" s="14">
        <f>'PIVOT TABLES'!$B$26</f>
        <v>60.283999999999999</v>
      </c>
      <c r="J110" s="14">
        <f>'PIVOT TABLES'!$B$27-'PIVOT TABLES'!$B$26</f>
        <v>30.142000000000003</v>
      </c>
      <c r="K110" s="14">
        <f>'PIVOT TABLES'!$B$28-'PIVOT TABLES'!$B$27</f>
        <v>30.141999999999996</v>
      </c>
      <c r="L110" s="14">
        <f>200-SUM(Table3[[#This Row],[D - LIGHT]:[D - VIGOROUS]])</f>
        <v>79.432000000000002</v>
      </c>
      <c r="M110" s="14">
        <f>'PIVOT TABLES'!$I$26</f>
        <v>65.603999999999999</v>
      </c>
      <c r="N110" s="14">
        <f>'PIVOT TABLES'!$I$27-'PIVOT TABLES'!$I$26</f>
        <v>32.802000000000007</v>
      </c>
      <c r="O110" s="14">
        <f>'PIVOT TABLES'!$I$28-'PIVOT TABLES'!$I$27</f>
        <v>32.801999999999992</v>
      </c>
      <c r="P110" s="14">
        <f>200-SUM(Table3[[#This Row],[M - LIGHT]:[M - VIGOROUS]])</f>
        <v>68.792000000000002</v>
      </c>
      <c r="Q110" s="14">
        <f>'PIVOT TABLES'!$P$26</f>
        <v>62.64</v>
      </c>
      <c r="R110" s="14">
        <f>'PIVOT TABLES'!$P$27-'PIVOT TABLES'!$P$26</f>
        <v>31.320000000000007</v>
      </c>
      <c r="S110" s="14">
        <f>'PIVOT TABLES'!$P$28-'PIVOT TABLES'!$P$27</f>
        <v>31.319999999999993</v>
      </c>
      <c r="T110" s="14">
        <f>200-SUM(Table3[[#This Row],[W - LIGHT]:[W - VIGOROUS]])</f>
        <v>74.72</v>
      </c>
      <c r="U110" s="14">
        <f>'PIVOT TABLES'!$W$26</f>
        <v>55.895999999999994</v>
      </c>
      <c r="V110" s="14">
        <f>'PIVOT TABLES'!$W$27-'PIVOT TABLES'!$W$26</f>
        <v>27.948</v>
      </c>
      <c r="W110" s="14">
        <f>'PIVOT TABLES'!$W$28-'PIVOT TABLES'!$W$27</f>
        <v>27.947999999999993</v>
      </c>
      <c r="X110" s="14">
        <f>200-SUM(Table3[[#This Row],[S - LIGHT]:[S - VIGOROUS]])</f>
        <v>88.208000000000013</v>
      </c>
    </row>
    <row r="111" spans="1:24" x14ac:dyDescent="0.25">
      <c r="A111" s="17" t="s">
        <v>63</v>
      </c>
      <c r="B111" s="13" t="str">
        <f t="shared" si="1"/>
        <v>Winger</v>
      </c>
      <c r="C111" s="7">
        <v>45223.406284722223</v>
      </c>
      <c r="D111" s="14">
        <v>2941</v>
      </c>
      <c r="E111" s="14">
        <v>0</v>
      </c>
      <c r="F111" s="14">
        <v>4</v>
      </c>
      <c r="G111" s="14">
        <v>2</v>
      </c>
      <c r="H111" s="14">
        <v>29.61</v>
      </c>
      <c r="I111" s="14">
        <f>'PIVOT TABLES'!$B$26</f>
        <v>60.283999999999999</v>
      </c>
      <c r="J111" s="14">
        <f>'PIVOT TABLES'!$B$27-'PIVOT TABLES'!$B$26</f>
        <v>30.142000000000003</v>
      </c>
      <c r="K111" s="14">
        <f>'PIVOT TABLES'!$B$28-'PIVOT TABLES'!$B$27</f>
        <v>30.141999999999996</v>
      </c>
      <c r="L111" s="14">
        <f>200-SUM(Table3[[#This Row],[D - LIGHT]:[D - VIGOROUS]])</f>
        <v>79.432000000000002</v>
      </c>
      <c r="M111" s="14">
        <f>'PIVOT TABLES'!$I$26</f>
        <v>65.603999999999999</v>
      </c>
      <c r="N111" s="14">
        <f>'PIVOT TABLES'!$I$27-'PIVOT TABLES'!$I$26</f>
        <v>32.802000000000007</v>
      </c>
      <c r="O111" s="14">
        <f>'PIVOT TABLES'!$I$28-'PIVOT TABLES'!$I$27</f>
        <v>32.801999999999992</v>
      </c>
      <c r="P111" s="14">
        <f>200-SUM(Table3[[#This Row],[M - LIGHT]:[M - VIGOROUS]])</f>
        <v>68.792000000000002</v>
      </c>
      <c r="Q111" s="14">
        <f>'PIVOT TABLES'!$P$26</f>
        <v>62.64</v>
      </c>
      <c r="R111" s="14">
        <f>'PIVOT TABLES'!$P$27-'PIVOT TABLES'!$P$26</f>
        <v>31.320000000000007</v>
      </c>
      <c r="S111" s="14">
        <f>'PIVOT TABLES'!$P$28-'PIVOT TABLES'!$P$27</f>
        <v>31.319999999999993</v>
      </c>
      <c r="T111" s="14">
        <f>200-SUM(Table3[[#This Row],[W - LIGHT]:[W - VIGOROUS]])</f>
        <v>74.72</v>
      </c>
      <c r="U111" s="14">
        <f>'PIVOT TABLES'!$W$26</f>
        <v>55.895999999999994</v>
      </c>
      <c r="V111" s="14">
        <f>'PIVOT TABLES'!$W$27-'PIVOT TABLES'!$W$26</f>
        <v>27.948</v>
      </c>
      <c r="W111" s="14">
        <f>'PIVOT TABLES'!$W$28-'PIVOT TABLES'!$W$27</f>
        <v>27.947999999999993</v>
      </c>
      <c r="X111" s="14">
        <f>200-SUM(Table3[[#This Row],[S - LIGHT]:[S - VIGOROUS]])</f>
        <v>88.208000000000013</v>
      </c>
    </row>
    <row r="112" spans="1:24" x14ac:dyDescent="0.25">
      <c r="A112" s="17" t="s">
        <v>64</v>
      </c>
      <c r="B112" s="13" t="str">
        <f t="shared" si="1"/>
        <v>Midfielder</v>
      </c>
      <c r="C112" s="7">
        <v>45223.406284722223</v>
      </c>
      <c r="D112" s="14">
        <v>11136</v>
      </c>
      <c r="E112" s="14">
        <v>289</v>
      </c>
      <c r="F112" s="14">
        <v>37</v>
      </c>
      <c r="G112" s="14">
        <v>38</v>
      </c>
      <c r="H112" s="14">
        <v>122.27</v>
      </c>
      <c r="I112" s="14">
        <f>'PIVOT TABLES'!$B$26</f>
        <v>60.283999999999999</v>
      </c>
      <c r="J112" s="14">
        <f>'PIVOT TABLES'!$B$27-'PIVOT TABLES'!$B$26</f>
        <v>30.142000000000003</v>
      </c>
      <c r="K112" s="14">
        <f>'PIVOT TABLES'!$B$28-'PIVOT TABLES'!$B$27</f>
        <v>30.141999999999996</v>
      </c>
      <c r="L112" s="14">
        <f>200-SUM(Table3[[#This Row],[D - LIGHT]:[D - VIGOROUS]])</f>
        <v>79.432000000000002</v>
      </c>
      <c r="M112" s="14">
        <f>'PIVOT TABLES'!$I$26</f>
        <v>65.603999999999999</v>
      </c>
      <c r="N112" s="14">
        <f>'PIVOT TABLES'!$I$27-'PIVOT TABLES'!$I$26</f>
        <v>32.802000000000007</v>
      </c>
      <c r="O112" s="14">
        <f>'PIVOT TABLES'!$I$28-'PIVOT TABLES'!$I$27</f>
        <v>32.801999999999992</v>
      </c>
      <c r="P112" s="14">
        <f>200-SUM(Table3[[#This Row],[M - LIGHT]:[M - VIGOROUS]])</f>
        <v>68.792000000000002</v>
      </c>
      <c r="Q112" s="14">
        <f>'PIVOT TABLES'!$P$26</f>
        <v>62.64</v>
      </c>
      <c r="R112" s="14">
        <f>'PIVOT TABLES'!$P$27-'PIVOT TABLES'!$P$26</f>
        <v>31.320000000000007</v>
      </c>
      <c r="S112" s="14">
        <f>'PIVOT TABLES'!$P$28-'PIVOT TABLES'!$P$27</f>
        <v>31.319999999999993</v>
      </c>
      <c r="T112" s="14">
        <f>200-SUM(Table3[[#This Row],[W - LIGHT]:[W - VIGOROUS]])</f>
        <v>74.72</v>
      </c>
      <c r="U112" s="14">
        <f>'PIVOT TABLES'!$W$26</f>
        <v>55.895999999999994</v>
      </c>
      <c r="V112" s="14">
        <f>'PIVOT TABLES'!$W$27-'PIVOT TABLES'!$W$26</f>
        <v>27.948</v>
      </c>
      <c r="W112" s="14">
        <f>'PIVOT TABLES'!$W$28-'PIVOT TABLES'!$W$27</f>
        <v>27.947999999999993</v>
      </c>
      <c r="X112" s="14">
        <f>200-SUM(Table3[[#This Row],[S - LIGHT]:[S - VIGOROUS]])</f>
        <v>88.208000000000013</v>
      </c>
    </row>
    <row r="113" spans="1:24" x14ac:dyDescent="0.25">
      <c r="A113" s="17" t="s">
        <v>66</v>
      </c>
      <c r="B113" s="13" t="str">
        <f t="shared" si="1"/>
        <v>Striker</v>
      </c>
      <c r="C113" s="7">
        <v>45223.406284722223</v>
      </c>
      <c r="D113" s="14">
        <v>6029</v>
      </c>
      <c r="E113" s="14">
        <v>84</v>
      </c>
      <c r="F113" s="14">
        <v>17</v>
      </c>
      <c r="G113" s="14">
        <v>21</v>
      </c>
      <c r="H113" s="14">
        <v>63.91</v>
      </c>
      <c r="I113" s="14">
        <f>'PIVOT TABLES'!$B$26</f>
        <v>60.283999999999999</v>
      </c>
      <c r="J113" s="14">
        <f>'PIVOT TABLES'!$B$27-'PIVOT TABLES'!$B$26</f>
        <v>30.142000000000003</v>
      </c>
      <c r="K113" s="14">
        <f>'PIVOT TABLES'!$B$28-'PIVOT TABLES'!$B$27</f>
        <v>30.141999999999996</v>
      </c>
      <c r="L113" s="14">
        <f>200-SUM(Table3[[#This Row],[D - LIGHT]:[D - VIGOROUS]])</f>
        <v>79.432000000000002</v>
      </c>
      <c r="M113" s="14">
        <f>'PIVOT TABLES'!$I$26</f>
        <v>65.603999999999999</v>
      </c>
      <c r="N113" s="14">
        <f>'PIVOT TABLES'!$I$27-'PIVOT TABLES'!$I$26</f>
        <v>32.802000000000007</v>
      </c>
      <c r="O113" s="14">
        <f>'PIVOT TABLES'!$I$28-'PIVOT TABLES'!$I$27</f>
        <v>32.801999999999992</v>
      </c>
      <c r="P113" s="14">
        <f>200-SUM(Table3[[#This Row],[M - LIGHT]:[M - VIGOROUS]])</f>
        <v>68.792000000000002</v>
      </c>
      <c r="Q113" s="14">
        <f>'PIVOT TABLES'!$P$26</f>
        <v>62.64</v>
      </c>
      <c r="R113" s="14">
        <f>'PIVOT TABLES'!$P$27-'PIVOT TABLES'!$P$26</f>
        <v>31.320000000000007</v>
      </c>
      <c r="S113" s="14">
        <f>'PIVOT TABLES'!$P$28-'PIVOT TABLES'!$P$27</f>
        <v>31.319999999999993</v>
      </c>
      <c r="T113" s="14">
        <f>200-SUM(Table3[[#This Row],[W - LIGHT]:[W - VIGOROUS]])</f>
        <v>74.72</v>
      </c>
      <c r="U113" s="14">
        <f>'PIVOT TABLES'!$W$26</f>
        <v>55.895999999999994</v>
      </c>
      <c r="V113" s="14">
        <f>'PIVOT TABLES'!$W$27-'PIVOT TABLES'!$W$26</f>
        <v>27.948</v>
      </c>
      <c r="W113" s="14">
        <f>'PIVOT TABLES'!$W$28-'PIVOT TABLES'!$W$27</f>
        <v>27.947999999999993</v>
      </c>
      <c r="X113" s="14">
        <f>200-SUM(Table3[[#This Row],[S - LIGHT]:[S - VIGOROUS]])</f>
        <v>88.208000000000013</v>
      </c>
    </row>
    <row r="114" spans="1:24" x14ac:dyDescent="0.25">
      <c r="A114" s="17" t="s">
        <v>8</v>
      </c>
      <c r="B114" s="13" t="str">
        <f t="shared" si="1"/>
        <v>Striker</v>
      </c>
      <c r="C114" s="7">
        <v>45223.406284722223</v>
      </c>
      <c r="D114" s="14">
        <v>3086</v>
      </c>
      <c r="E114" s="14">
        <v>0</v>
      </c>
      <c r="F114" s="14">
        <v>4</v>
      </c>
      <c r="G114" s="14">
        <v>2</v>
      </c>
      <c r="H114" s="14">
        <v>31.06</v>
      </c>
      <c r="I114" s="14">
        <f>'PIVOT TABLES'!$B$26</f>
        <v>60.283999999999999</v>
      </c>
      <c r="J114" s="14">
        <f>'PIVOT TABLES'!$B$27-'PIVOT TABLES'!$B$26</f>
        <v>30.142000000000003</v>
      </c>
      <c r="K114" s="14">
        <f>'PIVOT TABLES'!$B$28-'PIVOT TABLES'!$B$27</f>
        <v>30.141999999999996</v>
      </c>
      <c r="L114" s="14">
        <f>200-SUM(Table3[[#This Row],[D - LIGHT]:[D - VIGOROUS]])</f>
        <v>79.432000000000002</v>
      </c>
      <c r="M114" s="14">
        <f>'PIVOT TABLES'!$I$26</f>
        <v>65.603999999999999</v>
      </c>
      <c r="N114" s="14">
        <f>'PIVOT TABLES'!$I$27-'PIVOT TABLES'!$I$26</f>
        <v>32.802000000000007</v>
      </c>
      <c r="O114" s="14">
        <f>'PIVOT TABLES'!$I$28-'PIVOT TABLES'!$I$27</f>
        <v>32.801999999999992</v>
      </c>
      <c r="P114" s="14">
        <f>200-SUM(Table3[[#This Row],[M - LIGHT]:[M - VIGOROUS]])</f>
        <v>68.792000000000002</v>
      </c>
      <c r="Q114" s="14">
        <f>'PIVOT TABLES'!$P$26</f>
        <v>62.64</v>
      </c>
      <c r="R114" s="14">
        <f>'PIVOT TABLES'!$P$27-'PIVOT TABLES'!$P$26</f>
        <v>31.320000000000007</v>
      </c>
      <c r="S114" s="14">
        <f>'PIVOT TABLES'!$P$28-'PIVOT TABLES'!$P$27</f>
        <v>31.319999999999993</v>
      </c>
      <c r="T114" s="14">
        <f>200-SUM(Table3[[#This Row],[W - LIGHT]:[W - VIGOROUS]])</f>
        <v>74.72</v>
      </c>
      <c r="U114" s="14">
        <f>'PIVOT TABLES'!$W$26</f>
        <v>55.895999999999994</v>
      </c>
      <c r="V114" s="14">
        <f>'PIVOT TABLES'!$W$27-'PIVOT TABLES'!$W$26</f>
        <v>27.948</v>
      </c>
      <c r="W114" s="14">
        <f>'PIVOT TABLES'!$W$28-'PIVOT TABLES'!$W$27</f>
        <v>27.947999999999993</v>
      </c>
      <c r="X114" s="14">
        <f>200-SUM(Table3[[#This Row],[S - LIGHT]:[S - VIGOROUS]])</f>
        <v>88.208000000000013</v>
      </c>
    </row>
    <row r="115" spans="1:24" x14ac:dyDescent="0.25">
      <c r="A115" s="17" t="s">
        <v>67</v>
      </c>
      <c r="B115" s="13" t="str">
        <f t="shared" si="1"/>
        <v>Midfielder</v>
      </c>
      <c r="C115" s="7">
        <v>45223.406284722223</v>
      </c>
      <c r="D115" s="14">
        <v>11474</v>
      </c>
      <c r="E115" s="14">
        <v>251</v>
      </c>
      <c r="F115" s="14">
        <v>68</v>
      </c>
      <c r="G115" s="14">
        <v>35</v>
      </c>
      <c r="H115" s="14">
        <v>125.69</v>
      </c>
      <c r="I115" s="14">
        <f>'PIVOT TABLES'!$B$26</f>
        <v>60.283999999999999</v>
      </c>
      <c r="J115" s="14">
        <f>'PIVOT TABLES'!$B$27-'PIVOT TABLES'!$B$26</f>
        <v>30.142000000000003</v>
      </c>
      <c r="K115" s="14">
        <f>'PIVOT TABLES'!$B$28-'PIVOT TABLES'!$B$27</f>
        <v>30.141999999999996</v>
      </c>
      <c r="L115" s="14">
        <f>200-SUM(Table3[[#This Row],[D - LIGHT]:[D - VIGOROUS]])</f>
        <v>79.432000000000002</v>
      </c>
      <c r="M115" s="14">
        <f>'PIVOT TABLES'!$I$26</f>
        <v>65.603999999999999</v>
      </c>
      <c r="N115" s="14">
        <f>'PIVOT TABLES'!$I$27-'PIVOT TABLES'!$I$26</f>
        <v>32.802000000000007</v>
      </c>
      <c r="O115" s="14">
        <f>'PIVOT TABLES'!$I$28-'PIVOT TABLES'!$I$27</f>
        <v>32.801999999999992</v>
      </c>
      <c r="P115" s="14">
        <f>200-SUM(Table3[[#This Row],[M - LIGHT]:[M - VIGOROUS]])</f>
        <v>68.792000000000002</v>
      </c>
      <c r="Q115" s="14">
        <f>'PIVOT TABLES'!$P$26</f>
        <v>62.64</v>
      </c>
      <c r="R115" s="14">
        <f>'PIVOT TABLES'!$P$27-'PIVOT TABLES'!$P$26</f>
        <v>31.320000000000007</v>
      </c>
      <c r="S115" s="14">
        <f>'PIVOT TABLES'!$P$28-'PIVOT TABLES'!$P$27</f>
        <v>31.319999999999993</v>
      </c>
      <c r="T115" s="14">
        <f>200-SUM(Table3[[#This Row],[W - LIGHT]:[W - VIGOROUS]])</f>
        <v>74.72</v>
      </c>
      <c r="U115" s="14">
        <f>'PIVOT TABLES'!$W$26</f>
        <v>55.895999999999994</v>
      </c>
      <c r="V115" s="14">
        <f>'PIVOT TABLES'!$W$27-'PIVOT TABLES'!$W$26</f>
        <v>27.948</v>
      </c>
      <c r="W115" s="14">
        <f>'PIVOT TABLES'!$W$28-'PIVOT TABLES'!$W$27</f>
        <v>27.947999999999993</v>
      </c>
      <c r="X115" s="14">
        <f>200-SUM(Table3[[#This Row],[S - LIGHT]:[S - VIGOROUS]])</f>
        <v>88.208000000000013</v>
      </c>
    </row>
    <row r="116" spans="1:24" x14ac:dyDescent="0.25">
      <c r="A116" s="17" t="s">
        <v>68</v>
      </c>
      <c r="B116" s="13" t="str">
        <f t="shared" si="1"/>
        <v>####</v>
      </c>
      <c r="C116" s="7">
        <v>45223.406284722223</v>
      </c>
      <c r="D116" s="14">
        <v>3224</v>
      </c>
      <c r="E116" s="14">
        <v>0</v>
      </c>
      <c r="F116" s="14">
        <v>3</v>
      </c>
      <c r="G116" s="14">
        <v>1</v>
      </c>
      <c r="H116" s="14">
        <v>32.380000000000003</v>
      </c>
      <c r="I116" s="14">
        <f>'PIVOT TABLES'!$B$26</f>
        <v>60.283999999999999</v>
      </c>
      <c r="J116" s="14">
        <f>'PIVOT TABLES'!$B$27-'PIVOT TABLES'!$B$26</f>
        <v>30.142000000000003</v>
      </c>
      <c r="K116" s="14">
        <f>'PIVOT TABLES'!$B$28-'PIVOT TABLES'!$B$27</f>
        <v>30.141999999999996</v>
      </c>
      <c r="L116" s="14">
        <f>200-SUM(Table3[[#This Row],[D - LIGHT]:[D - VIGOROUS]])</f>
        <v>79.432000000000002</v>
      </c>
      <c r="M116" s="14">
        <f>'PIVOT TABLES'!$I$26</f>
        <v>65.603999999999999</v>
      </c>
      <c r="N116" s="14">
        <f>'PIVOT TABLES'!$I$27-'PIVOT TABLES'!$I$26</f>
        <v>32.802000000000007</v>
      </c>
      <c r="O116" s="14">
        <f>'PIVOT TABLES'!$I$28-'PIVOT TABLES'!$I$27</f>
        <v>32.801999999999992</v>
      </c>
      <c r="P116" s="14">
        <f>200-SUM(Table3[[#This Row],[M - LIGHT]:[M - VIGOROUS]])</f>
        <v>68.792000000000002</v>
      </c>
      <c r="Q116" s="14">
        <f>'PIVOT TABLES'!$P$26</f>
        <v>62.64</v>
      </c>
      <c r="R116" s="14">
        <f>'PIVOT TABLES'!$P$27-'PIVOT TABLES'!$P$26</f>
        <v>31.320000000000007</v>
      </c>
      <c r="S116" s="14">
        <f>'PIVOT TABLES'!$P$28-'PIVOT TABLES'!$P$27</f>
        <v>31.319999999999993</v>
      </c>
      <c r="T116" s="14">
        <f>200-SUM(Table3[[#This Row],[W - LIGHT]:[W - VIGOROUS]])</f>
        <v>74.72</v>
      </c>
      <c r="U116" s="14">
        <f>'PIVOT TABLES'!$W$26</f>
        <v>55.895999999999994</v>
      </c>
      <c r="V116" s="14">
        <f>'PIVOT TABLES'!$W$27-'PIVOT TABLES'!$W$26</f>
        <v>27.948</v>
      </c>
      <c r="W116" s="14">
        <f>'PIVOT TABLES'!$W$28-'PIVOT TABLES'!$W$27</f>
        <v>27.947999999999993</v>
      </c>
      <c r="X116" s="14">
        <f>200-SUM(Table3[[#This Row],[S - LIGHT]:[S - VIGOROUS]])</f>
        <v>88.208000000000013</v>
      </c>
    </row>
    <row r="117" spans="1:24" x14ac:dyDescent="0.25">
      <c r="A117" s="17" t="s">
        <v>9</v>
      </c>
      <c r="B117" s="13" t="str">
        <f t="shared" si="1"/>
        <v>Striker</v>
      </c>
      <c r="C117" s="7">
        <v>45223.406284722223</v>
      </c>
      <c r="D117" s="14">
        <v>11708</v>
      </c>
      <c r="E117" s="14">
        <v>275</v>
      </c>
      <c r="F117" s="14">
        <v>56</v>
      </c>
      <c r="G117" s="14">
        <v>46</v>
      </c>
      <c r="H117" s="14">
        <v>128.49</v>
      </c>
      <c r="I117" s="14">
        <f>'PIVOT TABLES'!$B$26</f>
        <v>60.283999999999999</v>
      </c>
      <c r="J117" s="14">
        <f>'PIVOT TABLES'!$B$27-'PIVOT TABLES'!$B$26</f>
        <v>30.142000000000003</v>
      </c>
      <c r="K117" s="14">
        <f>'PIVOT TABLES'!$B$28-'PIVOT TABLES'!$B$27</f>
        <v>30.141999999999996</v>
      </c>
      <c r="L117" s="14">
        <f>200-SUM(Table3[[#This Row],[D - LIGHT]:[D - VIGOROUS]])</f>
        <v>79.432000000000002</v>
      </c>
      <c r="M117" s="14">
        <f>'PIVOT TABLES'!$I$26</f>
        <v>65.603999999999999</v>
      </c>
      <c r="N117" s="14">
        <f>'PIVOT TABLES'!$I$27-'PIVOT TABLES'!$I$26</f>
        <v>32.802000000000007</v>
      </c>
      <c r="O117" s="14">
        <f>'PIVOT TABLES'!$I$28-'PIVOT TABLES'!$I$27</f>
        <v>32.801999999999992</v>
      </c>
      <c r="P117" s="14">
        <f>200-SUM(Table3[[#This Row],[M - LIGHT]:[M - VIGOROUS]])</f>
        <v>68.792000000000002</v>
      </c>
      <c r="Q117" s="14">
        <f>'PIVOT TABLES'!$P$26</f>
        <v>62.64</v>
      </c>
      <c r="R117" s="14">
        <f>'PIVOT TABLES'!$P$27-'PIVOT TABLES'!$P$26</f>
        <v>31.320000000000007</v>
      </c>
      <c r="S117" s="14">
        <f>'PIVOT TABLES'!$P$28-'PIVOT TABLES'!$P$27</f>
        <v>31.319999999999993</v>
      </c>
      <c r="T117" s="14">
        <f>200-SUM(Table3[[#This Row],[W - LIGHT]:[W - VIGOROUS]])</f>
        <v>74.72</v>
      </c>
      <c r="U117" s="14">
        <f>'PIVOT TABLES'!$W$26</f>
        <v>55.895999999999994</v>
      </c>
      <c r="V117" s="14">
        <f>'PIVOT TABLES'!$W$27-'PIVOT TABLES'!$W$26</f>
        <v>27.948</v>
      </c>
      <c r="W117" s="14">
        <f>'PIVOT TABLES'!$W$28-'PIVOT TABLES'!$W$27</f>
        <v>27.947999999999993</v>
      </c>
      <c r="X117" s="14">
        <f>200-SUM(Table3[[#This Row],[S - LIGHT]:[S - VIGOROUS]])</f>
        <v>88.208000000000013</v>
      </c>
    </row>
    <row r="118" spans="1:24" x14ac:dyDescent="0.25">
      <c r="A118" s="17" t="s">
        <v>69</v>
      </c>
      <c r="B118" s="13" t="str">
        <f t="shared" si="1"/>
        <v>Midfielder</v>
      </c>
      <c r="C118" s="7">
        <v>45223.406284722223</v>
      </c>
      <c r="D118" s="14">
        <v>6020</v>
      </c>
      <c r="E118" s="14">
        <v>219</v>
      </c>
      <c r="F118" s="14">
        <v>26</v>
      </c>
      <c r="G118" s="14">
        <v>29</v>
      </c>
      <c r="H118" s="14">
        <v>68.39</v>
      </c>
      <c r="I118" s="14">
        <f>'PIVOT TABLES'!$B$26</f>
        <v>60.283999999999999</v>
      </c>
      <c r="J118" s="14">
        <f>'PIVOT TABLES'!$B$27-'PIVOT TABLES'!$B$26</f>
        <v>30.142000000000003</v>
      </c>
      <c r="K118" s="14">
        <f>'PIVOT TABLES'!$B$28-'PIVOT TABLES'!$B$27</f>
        <v>30.141999999999996</v>
      </c>
      <c r="L118" s="14">
        <f>200-SUM(Table3[[#This Row],[D - LIGHT]:[D - VIGOROUS]])</f>
        <v>79.432000000000002</v>
      </c>
      <c r="M118" s="14">
        <f>'PIVOT TABLES'!$I$26</f>
        <v>65.603999999999999</v>
      </c>
      <c r="N118" s="14">
        <f>'PIVOT TABLES'!$I$27-'PIVOT TABLES'!$I$26</f>
        <v>32.802000000000007</v>
      </c>
      <c r="O118" s="14">
        <f>'PIVOT TABLES'!$I$28-'PIVOT TABLES'!$I$27</f>
        <v>32.801999999999992</v>
      </c>
      <c r="P118" s="14">
        <f>200-SUM(Table3[[#This Row],[M - LIGHT]:[M - VIGOROUS]])</f>
        <v>68.792000000000002</v>
      </c>
      <c r="Q118" s="14">
        <f>'PIVOT TABLES'!$P$26</f>
        <v>62.64</v>
      </c>
      <c r="R118" s="14">
        <f>'PIVOT TABLES'!$P$27-'PIVOT TABLES'!$P$26</f>
        <v>31.320000000000007</v>
      </c>
      <c r="S118" s="14">
        <f>'PIVOT TABLES'!$P$28-'PIVOT TABLES'!$P$27</f>
        <v>31.319999999999993</v>
      </c>
      <c r="T118" s="14">
        <f>200-SUM(Table3[[#This Row],[W - LIGHT]:[W - VIGOROUS]])</f>
        <v>74.72</v>
      </c>
      <c r="U118" s="14">
        <f>'PIVOT TABLES'!$W$26</f>
        <v>55.895999999999994</v>
      </c>
      <c r="V118" s="14">
        <f>'PIVOT TABLES'!$W$27-'PIVOT TABLES'!$W$26</f>
        <v>27.948</v>
      </c>
      <c r="W118" s="14">
        <f>'PIVOT TABLES'!$W$28-'PIVOT TABLES'!$W$27</f>
        <v>27.947999999999993</v>
      </c>
      <c r="X118" s="14">
        <f>200-SUM(Table3[[#This Row],[S - LIGHT]:[S - VIGOROUS]])</f>
        <v>88.208000000000013</v>
      </c>
    </row>
    <row r="119" spans="1:24" x14ac:dyDescent="0.25">
      <c r="A119" s="17" t="s">
        <v>70</v>
      </c>
      <c r="B119" s="13" t="str">
        <f t="shared" si="1"/>
        <v>Winger</v>
      </c>
      <c r="C119" s="7">
        <v>45229.460740740738</v>
      </c>
      <c r="D119" s="14">
        <v>8127</v>
      </c>
      <c r="E119" s="14">
        <v>70</v>
      </c>
      <c r="F119" s="14">
        <v>33</v>
      </c>
      <c r="G119" s="14">
        <v>27</v>
      </c>
      <c r="H119" s="14">
        <v>85.23</v>
      </c>
      <c r="I119" s="14">
        <f>'PIVOT TABLES'!$B$26</f>
        <v>60.283999999999999</v>
      </c>
      <c r="J119" s="14">
        <f>'PIVOT TABLES'!$B$27-'PIVOT TABLES'!$B$26</f>
        <v>30.142000000000003</v>
      </c>
      <c r="K119" s="14">
        <f>'PIVOT TABLES'!$B$28-'PIVOT TABLES'!$B$27</f>
        <v>30.141999999999996</v>
      </c>
      <c r="L119" s="14">
        <f>200-SUM(Table3[[#This Row],[D - LIGHT]:[D - VIGOROUS]])</f>
        <v>79.432000000000002</v>
      </c>
      <c r="M119" s="14">
        <f>'PIVOT TABLES'!$I$26</f>
        <v>65.603999999999999</v>
      </c>
      <c r="N119" s="14">
        <f>'PIVOT TABLES'!$I$27-'PIVOT TABLES'!$I$26</f>
        <v>32.802000000000007</v>
      </c>
      <c r="O119" s="14">
        <f>'PIVOT TABLES'!$I$28-'PIVOT TABLES'!$I$27</f>
        <v>32.801999999999992</v>
      </c>
      <c r="P119" s="14">
        <f>200-SUM(Table3[[#This Row],[M - LIGHT]:[M - VIGOROUS]])</f>
        <v>68.792000000000002</v>
      </c>
      <c r="Q119" s="14">
        <f>'PIVOT TABLES'!$P$26</f>
        <v>62.64</v>
      </c>
      <c r="R119" s="14">
        <f>'PIVOT TABLES'!$P$27-'PIVOT TABLES'!$P$26</f>
        <v>31.320000000000007</v>
      </c>
      <c r="S119" s="14">
        <f>'PIVOT TABLES'!$P$28-'PIVOT TABLES'!$P$27</f>
        <v>31.319999999999993</v>
      </c>
      <c r="T119" s="14">
        <f>200-SUM(Table3[[#This Row],[W - LIGHT]:[W - VIGOROUS]])</f>
        <v>74.72</v>
      </c>
      <c r="U119" s="14">
        <f>'PIVOT TABLES'!$W$26</f>
        <v>55.895999999999994</v>
      </c>
      <c r="V119" s="14">
        <f>'PIVOT TABLES'!$W$27-'PIVOT TABLES'!$W$26</f>
        <v>27.948</v>
      </c>
      <c r="W119" s="14">
        <f>'PIVOT TABLES'!$W$28-'PIVOT TABLES'!$W$27</f>
        <v>27.947999999999993</v>
      </c>
      <c r="X119" s="14">
        <f>200-SUM(Table3[[#This Row],[S - LIGHT]:[S - VIGOROUS]])</f>
        <v>88.208000000000013</v>
      </c>
    </row>
    <row r="120" spans="1:24" x14ac:dyDescent="0.25">
      <c r="A120" s="17" t="s">
        <v>53</v>
      </c>
      <c r="B120" s="13" t="str">
        <f t="shared" si="1"/>
        <v>Midfielder</v>
      </c>
      <c r="C120" s="7">
        <v>45229.460740740738</v>
      </c>
      <c r="D120" s="14">
        <v>8291</v>
      </c>
      <c r="E120" s="14">
        <v>0</v>
      </c>
      <c r="F120" s="14">
        <v>30</v>
      </c>
      <c r="G120" s="14">
        <v>24</v>
      </c>
      <c r="H120" s="14">
        <v>84.59</v>
      </c>
      <c r="I120" s="14">
        <f>'PIVOT TABLES'!$B$26</f>
        <v>60.283999999999999</v>
      </c>
      <c r="J120" s="14">
        <f>'PIVOT TABLES'!$B$27-'PIVOT TABLES'!$B$26</f>
        <v>30.142000000000003</v>
      </c>
      <c r="K120" s="14">
        <f>'PIVOT TABLES'!$B$28-'PIVOT TABLES'!$B$27</f>
        <v>30.141999999999996</v>
      </c>
      <c r="L120" s="14">
        <f>200-SUM(Table3[[#This Row],[D - LIGHT]:[D - VIGOROUS]])</f>
        <v>79.432000000000002</v>
      </c>
      <c r="M120" s="14">
        <f>'PIVOT TABLES'!$I$26</f>
        <v>65.603999999999999</v>
      </c>
      <c r="N120" s="14">
        <f>'PIVOT TABLES'!$I$27-'PIVOT TABLES'!$I$26</f>
        <v>32.802000000000007</v>
      </c>
      <c r="O120" s="14">
        <f>'PIVOT TABLES'!$I$28-'PIVOT TABLES'!$I$27</f>
        <v>32.801999999999992</v>
      </c>
      <c r="P120" s="14">
        <f>200-SUM(Table3[[#This Row],[M - LIGHT]:[M - VIGOROUS]])</f>
        <v>68.792000000000002</v>
      </c>
      <c r="Q120" s="14">
        <f>'PIVOT TABLES'!$P$26</f>
        <v>62.64</v>
      </c>
      <c r="R120" s="14">
        <f>'PIVOT TABLES'!$P$27-'PIVOT TABLES'!$P$26</f>
        <v>31.320000000000007</v>
      </c>
      <c r="S120" s="14">
        <f>'PIVOT TABLES'!$P$28-'PIVOT TABLES'!$P$27</f>
        <v>31.319999999999993</v>
      </c>
      <c r="T120" s="14">
        <f>200-SUM(Table3[[#This Row],[W - LIGHT]:[W - VIGOROUS]])</f>
        <v>74.72</v>
      </c>
      <c r="U120" s="14">
        <f>'PIVOT TABLES'!$W$26</f>
        <v>55.895999999999994</v>
      </c>
      <c r="V120" s="14">
        <f>'PIVOT TABLES'!$W$27-'PIVOT TABLES'!$W$26</f>
        <v>27.948</v>
      </c>
      <c r="W120" s="14">
        <f>'PIVOT TABLES'!$W$28-'PIVOT TABLES'!$W$27</f>
        <v>27.947999999999993</v>
      </c>
      <c r="X120" s="14">
        <f>200-SUM(Table3[[#This Row],[S - LIGHT]:[S - VIGOROUS]])</f>
        <v>88.208000000000013</v>
      </c>
    </row>
    <row r="121" spans="1:24" x14ac:dyDescent="0.25">
      <c r="A121" s="17" t="s">
        <v>54</v>
      </c>
      <c r="B121" s="13" t="str">
        <f t="shared" si="1"/>
        <v>Striker</v>
      </c>
      <c r="C121" s="7">
        <v>45229.460740740738</v>
      </c>
      <c r="D121" s="14">
        <v>9128</v>
      </c>
      <c r="E121" s="14">
        <v>31</v>
      </c>
      <c r="F121" s="14">
        <v>11</v>
      </c>
      <c r="G121" s="14">
        <v>7</v>
      </c>
      <c r="H121" s="14">
        <v>92.79</v>
      </c>
      <c r="I121" s="14">
        <f>'PIVOT TABLES'!$B$26</f>
        <v>60.283999999999999</v>
      </c>
      <c r="J121" s="14">
        <f>'PIVOT TABLES'!$B$27-'PIVOT TABLES'!$B$26</f>
        <v>30.142000000000003</v>
      </c>
      <c r="K121" s="14">
        <f>'PIVOT TABLES'!$B$28-'PIVOT TABLES'!$B$27</f>
        <v>30.141999999999996</v>
      </c>
      <c r="L121" s="14">
        <f>200-SUM(Table3[[#This Row],[D - LIGHT]:[D - VIGOROUS]])</f>
        <v>79.432000000000002</v>
      </c>
      <c r="M121" s="14">
        <f>'PIVOT TABLES'!$I$26</f>
        <v>65.603999999999999</v>
      </c>
      <c r="N121" s="14">
        <f>'PIVOT TABLES'!$I$27-'PIVOT TABLES'!$I$26</f>
        <v>32.802000000000007</v>
      </c>
      <c r="O121" s="14">
        <f>'PIVOT TABLES'!$I$28-'PIVOT TABLES'!$I$27</f>
        <v>32.801999999999992</v>
      </c>
      <c r="P121" s="14">
        <f>200-SUM(Table3[[#This Row],[M - LIGHT]:[M - VIGOROUS]])</f>
        <v>68.792000000000002</v>
      </c>
      <c r="Q121" s="14">
        <f>'PIVOT TABLES'!$P$26</f>
        <v>62.64</v>
      </c>
      <c r="R121" s="14">
        <f>'PIVOT TABLES'!$P$27-'PIVOT TABLES'!$P$26</f>
        <v>31.320000000000007</v>
      </c>
      <c r="S121" s="14">
        <f>'PIVOT TABLES'!$P$28-'PIVOT TABLES'!$P$27</f>
        <v>31.319999999999993</v>
      </c>
      <c r="T121" s="14">
        <f>200-SUM(Table3[[#This Row],[W - LIGHT]:[W - VIGOROUS]])</f>
        <v>74.72</v>
      </c>
      <c r="U121" s="14">
        <f>'PIVOT TABLES'!$W$26</f>
        <v>55.895999999999994</v>
      </c>
      <c r="V121" s="14">
        <f>'PIVOT TABLES'!$W$27-'PIVOT TABLES'!$W$26</f>
        <v>27.948</v>
      </c>
      <c r="W121" s="14">
        <f>'PIVOT TABLES'!$W$28-'PIVOT TABLES'!$W$27</f>
        <v>27.947999999999993</v>
      </c>
      <c r="X121" s="14">
        <f>200-SUM(Table3[[#This Row],[S - LIGHT]:[S - VIGOROUS]])</f>
        <v>88.208000000000013</v>
      </c>
    </row>
    <row r="122" spans="1:24" x14ac:dyDescent="0.25">
      <c r="A122" s="17" t="s">
        <v>55</v>
      </c>
      <c r="B122" s="13" t="str">
        <f t="shared" si="1"/>
        <v>Striker</v>
      </c>
      <c r="C122" s="7">
        <v>45229.460740740738</v>
      </c>
      <c r="D122" s="14">
        <v>2677</v>
      </c>
      <c r="E122" s="14">
        <v>22</v>
      </c>
      <c r="F122" s="14">
        <v>1</v>
      </c>
      <c r="G122" s="14">
        <v>5</v>
      </c>
      <c r="H122" s="14">
        <v>27.57</v>
      </c>
      <c r="I122" s="14">
        <f>'PIVOT TABLES'!$B$26</f>
        <v>60.283999999999999</v>
      </c>
      <c r="J122" s="14">
        <f>'PIVOT TABLES'!$B$27-'PIVOT TABLES'!$B$26</f>
        <v>30.142000000000003</v>
      </c>
      <c r="K122" s="14">
        <f>'PIVOT TABLES'!$B$28-'PIVOT TABLES'!$B$27</f>
        <v>30.141999999999996</v>
      </c>
      <c r="L122" s="14">
        <f>200-SUM(Table3[[#This Row],[D - LIGHT]:[D - VIGOROUS]])</f>
        <v>79.432000000000002</v>
      </c>
      <c r="M122" s="14">
        <f>'PIVOT TABLES'!$I$26</f>
        <v>65.603999999999999</v>
      </c>
      <c r="N122" s="14">
        <f>'PIVOT TABLES'!$I$27-'PIVOT TABLES'!$I$26</f>
        <v>32.802000000000007</v>
      </c>
      <c r="O122" s="14">
        <f>'PIVOT TABLES'!$I$28-'PIVOT TABLES'!$I$27</f>
        <v>32.801999999999992</v>
      </c>
      <c r="P122" s="14">
        <f>200-SUM(Table3[[#This Row],[M - LIGHT]:[M - VIGOROUS]])</f>
        <v>68.792000000000002</v>
      </c>
      <c r="Q122" s="14">
        <f>'PIVOT TABLES'!$P$26</f>
        <v>62.64</v>
      </c>
      <c r="R122" s="14">
        <f>'PIVOT TABLES'!$P$27-'PIVOT TABLES'!$P$26</f>
        <v>31.320000000000007</v>
      </c>
      <c r="S122" s="14">
        <f>'PIVOT TABLES'!$P$28-'PIVOT TABLES'!$P$27</f>
        <v>31.319999999999993</v>
      </c>
      <c r="T122" s="14">
        <f>200-SUM(Table3[[#This Row],[W - LIGHT]:[W - VIGOROUS]])</f>
        <v>74.72</v>
      </c>
      <c r="U122" s="14">
        <f>'PIVOT TABLES'!$W$26</f>
        <v>55.895999999999994</v>
      </c>
      <c r="V122" s="14">
        <f>'PIVOT TABLES'!$W$27-'PIVOT TABLES'!$W$26</f>
        <v>27.948</v>
      </c>
      <c r="W122" s="14">
        <f>'PIVOT TABLES'!$W$28-'PIVOT TABLES'!$W$27</f>
        <v>27.947999999999993</v>
      </c>
      <c r="X122" s="14">
        <f>200-SUM(Table3[[#This Row],[S - LIGHT]:[S - VIGOROUS]])</f>
        <v>88.208000000000013</v>
      </c>
    </row>
    <row r="123" spans="1:24" x14ac:dyDescent="0.25">
      <c r="A123" s="17" t="s">
        <v>56</v>
      </c>
      <c r="B123" s="13" t="str">
        <f t="shared" si="1"/>
        <v>Midfielder</v>
      </c>
      <c r="C123" s="7">
        <v>45229.460740740738</v>
      </c>
      <c r="D123" s="14">
        <v>1686</v>
      </c>
      <c r="E123" s="14">
        <v>0</v>
      </c>
      <c r="F123" s="14">
        <v>6</v>
      </c>
      <c r="G123" s="14">
        <v>0</v>
      </c>
      <c r="H123" s="14">
        <v>17.100000000000001</v>
      </c>
      <c r="I123" s="14">
        <f>'PIVOT TABLES'!$B$26</f>
        <v>60.283999999999999</v>
      </c>
      <c r="J123" s="14">
        <f>'PIVOT TABLES'!$B$27-'PIVOT TABLES'!$B$26</f>
        <v>30.142000000000003</v>
      </c>
      <c r="K123" s="14">
        <f>'PIVOT TABLES'!$B$28-'PIVOT TABLES'!$B$27</f>
        <v>30.141999999999996</v>
      </c>
      <c r="L123" s="14">
        <f>200-SUM(Table3[[#This Row],[D - LIGHT]:[D - VIGOROUS]])</f>
        <v>79.432000000000002</v>
      </c>
      <c r="M123" s="14">
        <f>'PIVOT TABLES'!$I$26</f>
        <v>65.603999999999999</v>
      </c>
      <c r="N123" s="14">
        <f>'PIVOT TABLES'!$I$27-'PIVOT TABLES'!$I$26</f>
        <v>32.802000000000007</v>
      </c>
      <c r="O123" s="14">
        <f>'PIVOT TABLES'!$I$28-'PIVOT TABLES'!$I$27</f>
        <v>32.801999999999992</v>
      </c>
      <c r="P123" s="14">
        <f>200-SUM(Table3[[#This Row],[M - LIGHT]:[M - VIGOROUS]])</f>
        <v>68.792000000000002</v>
      </c>
      <c r="Q123" s="14">
        <f>'PIVOT TABLES'!$P$26</f>
        <v>62.64</v>
      </c>
      <c r="R123" s="14">
        <f>'PIVOT TABLES'!$P$27-'PIVOT TABLES'!$P$26</f>
        <v>31.320000000000007</v>
      </c>
      <c r="S123" s="14">
        <f>'PIVOT TABLES'!$P$28-'PIVOT TABLES'!$P$27</f>
        <v>31.319999999999993</v>
      </c>
      <c r="T123" s="14">
        <f>200-SUM(Table3[[#This Row],[W - LIGHT]:[W - VIGOROUS]])</f>
        <v>74.72</v>
      </c>
      <c r="U123" s="14">
        <f>'PIVOT TABLES'!$W$26</f>
        <v>55.895999999999994</v>
      </c>
      <c r="V123" s="14">
        <f>'PIVOT TABLES'!$W$27-'PIVOT TABLES'!$W$26</f>
        <v>27.948</v>
      </c>
      <c r="W123" s="14">
        <f>'PIVOT TABLES'!$W$28-'PIVOT TABLES'!$W$27</f>
        <v>27.947999999999993</v>
      </c>
      <c r="X123" s="14">
        <f>200-SUM(Table3[[#This Row],[S - LIGHT]:[S - VIGOROUS]])</f>
        <v>88.208000000000013</v>
      </c>
    </row>
    <row r="124" spans="1:24" x14ac:dyDescent="0.25">
      <c r="A124" s="17" t="s">
        <v>2</v>
      </c>
      <c r="B124" s="13" t="str">
        <f t="shared" si="1"/>
        <v>Defender</v>
      </c>
      <c r="C124" s="7">
        <v>45229.460740740738</v>
      </c>
      <c r="D124" s="14">
        <v>2693</v>
      </c>
      <c r="E124" s="14">
        <v>10</v>
      </c>
      <c r="F124" s="14">
        <v>2</v>
      </c>
      <c r="G124" s="14">
        <v>6</v>
      </c>
      <c r="H124" s="14">
        <v>27.43</v>
      </c>
      <c r="I124" s="14">
        <f>'PIVOT TABLES'!$B$26</f>
        <v>60.283999999999999</v>
      </c>
      <c r="J124" s="14">
        <f>'PIVOT TABLES'!$B$27-'PIVOT TABLES'!$B$26</f>
        <v>30.142000000000003</v>
      </c>
      <c r="K124" s="14">
        <f>'PIVOT TABLES'!$B$28-'PIVOT TABLES'!$B$27</f>
        <v>30.141999999999996</v>
      </c>
      <c r="L124" s="14">
        <f>200-SUM(Table3[[#This Row],[D - LIGHT]:[D - VIGOROUS]])</f>
        <v>79.432000000000002</v>
      </c>
      <c r="M124" s="14">
        <f>'PIVOT TABLES'!$I$26</f>
        <v>65.603999999999999</v>
      </c>
      <c r="N124" s="14">
        <f>'PIVOT TABLES'!$I$27-'PIVOT TABLES'!$I$26</f>
        <v>32.802000000000007</v>
      </c>
      <c r="O124" s="14">
        <f>'PIVOT TABLES'!$I$28-'PIVOT TABLES'!$I$27</f>
        <v>32.801999999999992</v>
      </c>
      <c r="P124" s="14">
        <f>200-SUM(Table3[[#This Row],[M - LIGHT]:[M - VIGOROUS]])</f>
        <v>68.792000000000002</v>
      </c>
      <c r="Q124" s="14">
        <f>'PIVOT TABLES'!$P$26</f>
        <v>62.64</v>
      </c>
      <c r="R124" s="14">
        <f>'PIVOT TABLES'!$P$27-'PIVOT TABLES'!$P$26</f>
        <v>31.320000000000007</v>
      </c>
      <c r="S124" s="14">
        <f>'PIVOT TABLES'!$P$28-'PIVOT TABLES'!$P$27</f>
        <v>31.319999999999993</v>
      </c>
      <c r="T124" s="14">
        <f>200-SUM(Table3[[#This Row],[W - LIGHT]:[W - VIGOROUS]])</f>
        <v>74.72</v>
      </c>
      <c r="U124" s="14">
        <f>'PIVOT TABLES'!$W$26</f>
        <v>55.895999999999994</v>
      </c>
      <c r="V124" s="14">
        <f>'PIVOT TABLES'!$W$27-'PIVOT TABLES'!$W$26</f>
        <v>27.948</v>
      </c>
      <c r="W124" s="14">
        <f>'PIVOT TABLES'!$W$28-'PIVOT TABLES'!$W$27</f>
        <v>27.947999999999993</v>
      </c>
      <c r="X124" s="14">
        <f>200-SUM(Table3[[#This Row],[S - LIGHT]:[S - VIGOROUS]])</f>
        <v>88.208000000000013</v>
      </c>
    </row>
    <row r="125" spans="1:24" x14ac:dyDescent="0.25">
      <c r="A125" s="17" t="s">
        <v>58</v>
      </c>
      <c r="B125" s="13" t="str">
        <f t="shared" si="1"/>
        <v>Defender</v>
      </c>
      <c r="C125" s="7">
        <v>45229.460740740738</v>
      </c>
      <c r="D125" s="14">
        <v>8041</v>
      </c>
      <c r="E125" s="14">
        <v>14</v>
      </c>
      <c r="F125" s="14">
        <v>30</v>
      </c>
      <c r="G125" s="14">
        <v>20</v>
      </c>
      <c r="H125" s="14">
        <v>82.43</v>
      </c>
      <c r="I125" s="14">
        <f>'PIVOT TABLES'!$B$26</f>
        <v>60.283999999999999</v>
      </c>
      <c r="J125" s="14">
        <f>'PIVOT TABLES'!$B$27-'PIVOT TABLES'!$B$26</f>
        <v>30.142000000000003</v>
      </c>
      <c r="K125" s="14">
        <f>'PIVOT TABLES'!$B$28-'PIVOT TABLES'!$B$27</f>
        <v>30.141999999999996</v>
      </c>
      <c r="L125" s="14">
        <f>200-SUM(Table3[[#This Row],[D - LIGHT]:[D - VIGOROUS]])</f>
        <v>79.432000000000002</v>
      </c>
      <c r="M125" s="14">
        <f>'PIVOT TABLES'!$I$26</f>
        <v>65.603999999999999</v>
      </c>
      <c r="N125" s="14">
        <f>'PIVOT TABLES'!$I$27-'PIVOT TABLES'!$I$26</f>
        <v>32.802000000000007</v>
      </c>
      <c r="O125" s="14">
        <f>'PIVOT TABLES'!$I$28-'PIVOT TABLES'!$I$27</f>
        <v>32.801999999999992</v>
      </c>
      <c r="P125" s="14">
        <f>200-SUM(Table3[[#This Row],[M - LIGHT]:[M - VIGOROUS]])</f>
        <v>68.792000000000002</v>
      </c>
      <c r="Q125" s="14">
        <f>'PIVOT TABLES'!$P$26</f>
        <v>62.64</v>
      </c>
      <c r="R125" s="14">
        <f>'PIVOT TABLES'!$P$27-'PIVOT TABLES'!$P$26</f>
        <v>31.320000000000007</v>
      </c>
      <c r="S125" s="14">
        <f>'PIVOT TABLES'!$P$28-'PIVOT TABLES'!$P$27</f>
        <v>31.319999999999993</v>
      </c>
      <c r="T125" s="14">
        <f>200-SUM(Table3[[#This Row],[W - LIGHT]:[W - VIGOROUS]])</f>
        <v>74.72</v>
      </c>
      <c r="U125" s="14">
        <f>'PIVOT TABLES'!$W$26</f>
        <v>55.895999999999994</v>
      </c>
      <c r="V125" s="14">
        <f>'PIVOT TABLES'!$W$27-'PIVOT TABLES'!$W$26</f>
        <v>27.948</v>
      </c>
      <c r="W125" s="14">
        <f>'PIVOT TABLES'!$W$28-'PIVOT TABLES'!$W$27</f>
        <v>27.947999999999993</v>
      </c>
      <c r="X125" s="14">
        <f>200-SUM(Table3[[#This Row],[S - LIGHT]:[S - VIGOROUS]])</f>
        <v>88.208000000000013</v>
      </c>
    </row>
    <row r="126" spans="1:24" x14ac:dyDescent="0.25">
      <c r="A126" s="17" t="s">
        <v>3</v>
      </c>
      <c r="B126" s="13" t="str">
        <f t="shared" si="1"/>
        <v>Defender</v>
      </c>
      <c r="C126" s="7">
        <v>45229.460740740738</v>
      </c>
      <c r="D126" s="14">
        <v>8731</v>
      </c>
      <c r="E126" s="14">
        <v>7</v>
      </c>
      <c r="F126" s="14">
        <v>28</v>
      </c>
      <c r="G126" s="14">
        <v>17</v>
      </c>
      <c r="H126" s="14">
        <v>88.98</v>
      </c>
      <c r="I126" s="14">
        <f>'PIVOT TABLES'!$B$26</f>
        <v>60.283999999999999</v>
      </c>
      <c r="J126" s="14">
        <f>'PIVOT TABLES'!$B$27-'PIVOT TABLES'!$B$26</f>
        <v>30.142000000000003</v>
      </c>
      <c r="K126" s="14">
        <f>'PIVOT TABLES'!$B$28-'PIVOT TABLES'!$B$27</f>
        <v>30.141999999999996</v>
      </c>
      <c r="L126" s="14">
        <f>200-SUM(Table3[[#This Row],[D - LIGHT]:[D - VIGOROUS]])</f>
        <v>79.432000000000002</v>
      </c>
      <c r="M126" s="14">
        <f>'PIVOT TABLES'!$I$26</f>
        <v>65.603999999999999</v>
      </c>
      <c r="N126" s="14">
        <f>'PIVOT TABLES'!$I$27-'PIVOT TABLES'!$I$26</f>
        <v>32.802000000000007</v>
      </c>
      <c r="O126" s="14">
        <f>'PIVOT TABLES'!$I$28-'PIVOT TABLES'!$I$27</f>
        <v>32.801999999999992</v>
      </c>
      <c r="P126" s="14">
        <f>200-SUM(Table3[[#This Row],[M - LIGHT]:[M - VIGOROUS]])</f>
        <v>68.792000000000002</v>
      </c>
      <c r="Q126" s="14">
        <f>'PIVOT TABLES'!$P$26</f>
        <v>62.64</v>
      </c>
      <c r="R126" s="14">
        <f>'PIVOT TABLES'!$P$27-'PIVOT TABLES'!$P$26</f>
        <v>31.320000000000007</v>
      </c>
      <c r="S126" s="14">
        <f>'PIVOT TABLES'!$P$28-'PIVOT TABLES'!$P$27</f>
        <v>31.319999999999993</v>
      </c>
      <c r="T126" s="14">
        <f>200-SUM(Table3[[#This Row],[W - LIGHT]:[W - VIGOROUS]])</f>
        <v>74.72</v>
      </c>
      <c r="U126" s="14">
        <f>'PIVOT TABLES'!$W$26</f>
        <v>55.895999999999994</v>
      </c>
      <c r="V126" s="14">
        <f>'PIVOT TABLES'!$W$27-'PIVOT TABLES'!$W$26</f>
        <v>27.948</v>
      </c>
      <c r="W126" s="14">
        <f>'PIVOT TABLES'!$W$28-'PIVOT TABLES'!$W$27</f>
        <v>27.947999999999993</v>
      </c>
      <c r="X126" s="14">
        <f>200-SUM(Table3[[#This Row],[S - LIGHT]:[S - VIGOROUS]])</f>
        <v>88.208000000000013</v>
      </c>
    </row>
    <row r="127" spans="1:24" x14ac:dyDescent="0.25">
      <c r="A127" s="17" t="s">
        <v>59</v>
      </c>
      <c r="B127" s="13" t="str">
        <f t="shared" si="1"/>
        <v>Striker</v>
      </c>
      <c r="C127" s="7">
        <v>45229.460740740738</v>
      </c>
      <c r="D127" s="14">
        <v>8061</v>
      </c>
      <c r="E127" s="14">
        <v>30</v>
      </c>
      <c r="F127" s="14">
        <v>33</v>
      </c>
      <c r="G127" s="14">
        <v>24</v>
      </c>
      <c r="H127" s="14">
        <v>83.31</v>
      </c>
      <c r="I127" s="14">
        <f>'PIVOT TABLES'!$B$26</f>
        <v>60.283999999999999</v>
      </c>
      <c r="J127" s="14">
        <f>'PIVOT TABLES'!$B$27-'PIVOT TABLES'!$B$26</f>
        <v>30.142000000000003</v>
      </c>
      <c r="K127" s="14">
        <f>'PIVOT TABLES'!$B$28-'PIVOT TABLES'!$B$27</f>
        <v>30.141999999999996</v>
      </c>
      <c r="L127" s="14">
        <f>200-SUM(Table3[[#This Row],[D - LIGHT]:[D - VIGOROUS]])</f>
        <v>79.432000000000002</v>
      </c>
      <c r="M127" s="14">
        <f>'PIVOT TABLES'!$I$26</f>
        <v>65.603999999999999</v>
      </c>
      <c r="N127" s="14">
        <f>'PIVOT TABLES'!$I$27-'PIVOT TABLES'!$I$26</f>
        <v>32.802000000000007</v>
      </c>
      <c r="O127" s="14">
        <f>'PIVOT TABLES'!$I$28-'PIVOT TABLES'!$I$27</f>
        <v>32.801999999999992</v>
      </c>
      <c r="P127" s="14">
        <f>200-SUM(Table3[[#This Row],[M - LIGHT]:[M - VIGOROUS]])</f>
        <v>68.792000000000002</v>
      </c>
      <c r="Q127" s="14">
        <f>'PIVOT TABLES'!$P$26</f>
        <v>62.64</v>
      </c>
      <c r="R127" s="14">
        <f>'PIVOT TABLES'!$P$27-'PIVOT TABLES'!$P$26</f>
        <v>31.320000000000007</v>
      </c>
      <c r="S127" s="14">
        <f>'PIVOT TABLES'!$P$28-'PIVOT TABLES'!$P$27</f>
        <v>31.319999999999993</v>
      </c>
      <c r="T127" s="14">
        <f>200-SUM(Table3[[#This Row],[W - LIGHT]:[W - VIGOROUS]])</f>
        <v>74.72</v>
      </c>
      <c r="U127" s="14">
        <f>'PIVOT TABLES'!$W$26</f>
        <v>55.895999999999994</v>
      </c>
      <c r="V127" s="14">
        <f>'PIVOT TABLES'!$W$27-'PIVOT TABLES'!$W$26</f>
        <v>27.948</v>
      </c>
      <c r="W127" s="14">
        <f>'PIVOT TABLES'!$W$28-'PIVOT TABLES'!$W$27</f>
        <v>27.947999999999993</v>
      </c>
      <c r="X127" s="14">
        <f>200-SUM(Table3[[#This Row],[S - LIGHT]:[S - VIGOROUS]])</f>
        <v>88.208000000000013</v>
      </c>
    </row>
    <row r="128" spans="1:24" x14ac:dyDescent="0.25">
      <c r="A128" s="17" t="s">
        <v>4</v>
      </c>
      <c r="B128" s="13" t="str">
        <f t="shared" si="1"/>
        <v>Midfielder</v>
      </c>
      <c r="C128" s="7">
        <v>45229.460740740738</v>
      </c>
      <c r="D128" s="14">
        <v>7476</v>
      </c>
      <c r="E128" s="14">
        <v>33</v>
      </c>
      <c r="F128" s="14">
        <v>31</v>
      </c>
      <c r="G128" s="14">
        <v>17</v>
      </c>
      <c r="H128" s="14">
        <v>77.33</v>
      </c>
      <c r="I128" s="14">
        <f>'PIVOT TABLES'!$B$26</f>
        <v>60.283999999999999</v>
      </c>
      <c r="J128" s="14">
        <f>'PIVOT TABLES'!$B$27-'PIVOT TABLES'!$B$26</f>
        <v>30.142000000000003</v>
      </c>
      <c r="K128" s="14">
        <f>'PIVOT TABLES'!$B$28-'PIVOT TABLES'!$B$27</f>
        <v>30.141999999999996</v>
      </c>
      <c r="L128" s="14">
        <f>200-SUM(Table3[[#This Row],[D - LIGHT]:[D - VIGOROUS]])</f>
        <v>79.432000000000002</v>
      </c>
      <c r="M128" s="14">
        <f>'PIVOT TABLES'!$I$26</f>
        <v>65.603999999999999</v>
      </c>
      <c r="N128" s="14">
        <f>'PIVOT TABLES'!$I$27-'PIVOT TABLES'!$I$26</f>
        <v>32.802000000000007</v>
      </c>
      <c r="O128" s="14">
        <f>'PIVOT TABLES'!$I$28-'PIVOT TABLES'!$I$27</f>
        <v>32.801999999999992</v>
      </c>
      <c r="P128" s="14">
        <f>200-SUM(Table3[[#This Row],[M - LIGHT]:[M - VIGOROUS]])</f>
        <v>68.792000000000002</v>
      </c>
      <c r="Q128" s="14">
        <f>'PIVOT TABLES'!$P$26</f>
        <v>62.64</v>
      </c>
      <c r="R128" s="14">
        <f>'PIVOT TABLES'!$P$27-'PIVOT TABLES'!$P$26</f>
        <v>31.320000000000007</v>
      </c>
      <c r="S128" s="14">
        <f>'PIVOT TABLES'!$P$28-'PIVOT TABLES'!$P$27</f>
        <v>31.319999999999993</v>
      </c>
      <c r="T128" s="14">
        <f>200-SUM(Table3[[#This Row],[W - LIGHT]:[W - VIGOROUS]])</f>
        <v>74.72</v>
      </c>
      <c r="U128" s="14">
        <f>'PIVOT TABLES'!$W$26</f>
        <v>55.895999999999994</v>
      </c>
      <c r="V128" s="14">
        <f>'PIVOT TABLES'!$W$27-'PIVOT TABLES'!$W$26</f>
        <v>27.948</v>
      </c>
      <c r="W128" s="14">
        <f>'PIVOT TABLES'!$W$28-'PIVOT TABLES'!$W$27</f>
        <v>27.947999999999993</v>
      </c>
      <c r="X128" s="14">
        <f>200-SUM(Table3[[#This Row],[S - LIGHT]:[S - VIGOROUS]])</f>
        <v>88.208000000000013</v>
      </c>
    </row>
    <row r="129" spans="1:24" x14ac:dyDescent="0.25">
      <c r="A129" s="17" t="s">
        <v>60</v>
      </c>
      <c r="B129" s="13" t="str">
        <f t="shared" si="1"/>
        <v>Winger</v>
      </c>
      <c r="C129" s="7">
        <v>45229.460740740738</v>
      </c>
      <c r="D129" s="14">
        <v>2948</v>
      </c>
      <c r="E129" s="14">
        <v>0</v>
      </c>
      <c r="F129" s="14">
        <v>6</v>
      </c>
      <c r="G129" s="14">
        <v>6</v>
      </c>
      <c r="H129" s="14">
        <v>29.84</v>
      </c>
      <c r="I129" s="14">
        <f>'PIVOT TABLES'!$B$26</f>
        <v>60.283999999999999</v>
      </c>
      <c r="J129" s="14">
        <f>'PIVOT TABLES'!$B$27-'PIVOT TABLES'!$B$26</f>
        <v>30.142000000000003</v>
      </c>
      <c r="K129" s="14">
        <f>'PIVOT TABLES'!$B$28-'PIVOT TABLES'!$B$27</f>
        <v>30.141999999999996</v>
      </c>
      <c r="L129" s="14">
        <f>200-SUM(Table3[[#This Row],[D - LIGHT]:[D - VIGOROUS]])</f>
        <v>79.432000000000002</v>
      </c>
      <c r="M129" s="14">
        <f>'PIVOT TABLES'!$I$26</f>
        <v>65.603999999999999</v>
      </c>
      <c r="N129" s="14">
        <f>'PIVOT TABLES'!$I$27-'PIVOT TABLES'!$I$26</f>
        <v>32.802000000000007</v>
      </c>
      <c r="O129" s="14">
        <f>'PIVOT TABLES'!$I$28-'PIVOT TABLES'!$I$27</f>
        <v>32.801999999999992</v>
      </c>
      <c r="P129" s="14">
        <f>200-SUM(Table3[[#This Row],[M - LIGHT]:[M - VIGOROUS]])</f>
        <v>68.792000000000002</v>
      </c>
      <c r="Q129" s="14">
        <f>'PIVOT TABLES'!$P$26</f>
        <v>62.64</v>
      </c>
      <c r="R129" s="14">
        <f>'PIVOT TABLES'!$P$27-'PIVOT TABLES'!$P$26</f>
        <v>31.320000000000007</v>
      </c>
      <c r="S129" s="14">
        <f>'PIVOT TABLES'!$P$28-'PIVOT TABLES'!$P$27</f>
        <v>31.319999999999993</v>
      </c>
      <c r="T129" s="14">
        <f>200-SUM(Table3[[#This Row],[W - LIGHT]:[W - VIGOROUS]])</f>
        <v>74.72</v>
      </c>
      <c r="U129" s="14">
        <f>'PIVOT TABLES'!$W$26</f>
        <v>55.895999999999994</v>
      </c>
      <c r="V129" s="14">
        <f>'PIVOT TABLES'!$W$27-'PIVOT TABLES'!$W$26</f>
        <v>27.948</v>
      </c>
      <c r="W129" s="14">
        <f>'PIVOT TABLES'!$W$28-'PIVOT TABLES'!$W$27</f>
        <v>27.947999999999993</v>
      </c>
      <c r="X129" s="14">
        <f>200-SUM(Table3[[#This Row],[S - LIGHT]:[S - VIGOROUS]])</f>
        <v>88.208000000000013</v>
      </c>
    </row>
    <row r="130" spans="1:24" x14ac:dyDescent="0.25">
      <c r="A130" s="17" t="s">
        <v>61</v>
      </c>
      <c r="B130" s="13" t="str">
        <f t="shared" si="1"/>
        <v>####</v>
      </c>
      <c r="C130" s="7">
        <v>45229.460740740738</v>
      </c>
      <c r="D130" s="14">
        <v>2286</v>
      </c>
      <c r="E130" s="14">
        <v>0</v>
      </c>
      <c r="F130" s="14">
        <v>1</v>
      </c>
      <c r="G130" s="14">
        <v>0</v>
      </c>
      <c r="H130" s="14">
        <v>22.9</v>
      </c>
      <c r="I130" s="14">
        <f>'PIVOT TABLES'!$B$26</f>
        <v>60.283999999999999</v>
      </c>
      <c r="J130" s="14">
        <f>'PIVOT TABLES'!$B$27-'PIVOT TABLES'!$B$26</f>
        <v>30.142000000000003</v>
      </c>
      <c r="K130" s="14">
        <f>'PIVOT TABLES'!$B$28-'PIVOT TABLES'!$B$27</f>
        <v>30.141999999999996</v>
      </c>
      <c r="L130" s="14">
        <f>200-SUM(Table3[[#This Row],[D - LIGHT]:[D - VIGOROUS]])</f>
        <v>79.432000000000002</v>
      </c>
      <c r="M130" s="14">
        <f>'PIVOT TABLES'!$I$26</f>
        <v>65.603999999999999</v>
      </c>
      <c r="N130" s="14">
        <f>'PIVOT TABLES'!$I$27-'PIVOT TABLES'!$I$26</f>
        <v>32.802000000000007</v>
      </c>
      <c r="O130" s="14">
        <f>'PIVOT TABLES'!$I$28-'PIVOT TABLES'!$I$27</f>
        <v>32.801999999999992</v>
      </c>
      <c r="P130" s="14">
        <f>200-SUM(Table3[[#This Row],[M - LIGHT]:[M - VIGOROUS]])</f>
        <v>68.792000000000002</v>
      </c>
      <c r="Q130" s="14">
        <f>'PIVOT TABLES'!$P$26</f>
        <v>62.64</v>
      </c>
      <c r="R130" s="14">
        <f>'PIVOT TABLES'!$P$27-'PIVOT TABLES'!$P$26</f>
        <v>31.320000000000007</v>
      </c>
      <c r="S130" s="14">
        <f>'PIVOT TABLES'!$P$28-'PIVOT TABLES'!$P$27</f>
        <v>31.319999999999993</v>
      </c>
      <c r="T130" s="14">
        <f>200-SUM(Table3[[#This Row],[W - LIGHT]:[W - VIGOROUS]])</f>
        <v>74.72</v>
      </c>
      <c r="U130" s="14">
        <f>'PIVOT TABLES'!$W$26</f>
        <v>55.895999999999994</v>
      </c>
      <c r="V130" s="14">
        <f>'PIVOT TABLES'!$W$27-'PIVOT TABLES'!$W$26</f>
        <v>27.948</v>
      </c>
      <c r="W130" s="14">
        <f>'PIVOT TABLES'!$W$28-'PIVOT TABLES'!$W$27</f>
        <v>27.947999999999993</v>
      </c>
      <c r="X130" s="14">
        <f>200-SUM(Table3[[#This Row],[S - LIGHT]:[S - VIGOROUS]])</f>
        <v>88.208000000000013</v>
      </c>
    </row>
    <row r="131" spans="1:24" x14ac:dyDescent="0.25">
      <c r="A131" s="17" t="s">
        <v>71</v>
      </c>
      <c r="B131" s="13" t="str">
        <f t="shared" ref="B131:B194" si="2">IF(A131="Sihle Gum","Defender",IF(A131="Kenny Langa","Defender",IF(A131="Tshepang Makara","Defender",IF(A131="Tshepiso Mahlangu","Defender",IF(A131="Neo Ramashala","Defender",IF(A131="Keabetswe Nkogatse","Defender",IF(A131="Kaketso Harold Majadibodu","Defender",IF(A131="Samuel Julies","Midfielder",IF(A131="Frank Mpedi","Midfielder",IF(A131="Sapholwethu Kelepu","Midfielder",IF(A131="Manelisi Sithole","Midfielder",IF(A131="Thabiso Mokoena","Midfielder",IF(A131="Khomotso Marebane","Midfielder",IF(A131="Tebogo Mohlamonyane","Midfielder",IF(A131="Thulani Zandamela","Midfielder",IF(A131="Mdevulana Camagu","Midfielder",IF(A131="Promise Mkhuma","Midfielder",IF(A131="Essien Makwarimba","Midfielder",IF(A131="Ayanda Mvambi","Winger",IF(A131="Delano Abrahams","Winger",IF(A131="Thokozani Sekotlong","Winger",IF(A131="Maselaelo Seanego","Winger",IF(A131="Lesedi Motha","Winger",IF(A131="Malekgene Mampuru","Winger",IF(A131="Matome Rangata","Winger",IF(A131="Thabang Sibanyoni","Striker",IF(A131="Tebogo Makungo","Striker",IF(A131="Neo Dikgale","Striker",IF(A131="Kamohelo Pheeane","Striker",IF(A131="Athenkosi Tonisi","Striker",IF(A131="Jesse Francis","Striker","####")))))))))))))))))))))))))))))))</f>
        <v>Midfielder</v>
      </c>
      <c r="C131" s="7">
        <v>45229.460740740738</v>
      </c>
      <c r="D131" s="14">
        <v>2625</v>
      </c>
      <c r="E131" s="14">
        <v>6</v>
      </c>
      <c r="F131" s="14">
        <v>4</v>
      </c>
      <c r="G131" s="14">
        <v>4</v>
      </c>
      <c r="H131" s="14">
        <v>26.67</v>
      </c>
      <c r="I131" s="14">
        <f>'PIVOT TABLES'!$B$26</f>
        <v>60.283999999999999</v>
      </c>
      <c r="J131" s="14">
        <f>'PIVOT TABLES'!$B$27-'PIVOT TABLES'!$B$26</f>
        <v>30.142000000000003</v>
      </c>
      <c r="K131" s="14">
        <f>'PIVOT TABLES'!$B$28-'PIVOT TABLES'!$B$27</f>
        <v>30.141999999999996</v>
      </c>
      <c r="L131" s="14">
        <f>200-SUM(Table3[[#This Row],[D - LIGHT]:[D - VIGOROUS]])</f>
        <v>79.432000000000002</v>
      </c>
      <c r="M131" s="14">
        <f>'PIVOT TABLES'!$I$26</f>
        <v>65.603999999999999</v>
      </c>
      <c r="N131" s="14">
        <f>'PIVOT TABLES'!$I$27-'PIVOT TABLES'!$I$26</f>
        <v>32.802000000000007</v>
      </c>
      <c r="O131" s="14">
        <f>'PIVOT TABLES'!$I$28-'PIVOT TABLES'!$I$27</f>
        <v>32.801999999999992</v>
      </c>
      <c r="P131" s="14">
        <f>200-SUM(Table3[[#This Row],[M - LIGHT]:[M - VIGOROUS]])</f>
        <v>68.792000000000002</v>
      </c>
      <c r="Q131" s="14">
        <f>'PIVOT TABLES'!$P$26</f>
        <v>62.64</v>
      </c>
      <c r="R131" s="14">
        <f>'PIVOT TABLES'!$P$27-'PIVOT TABLES'!$P$26</f>
        <v>31.320000000000007</v>
      </c>
      <c r="S131" s="14">
        <f>'PIVOT TABLES'!$P$28-'PIVOT TABLES'!$P$27</f>
        <v>31.319999999999993</v>
      </c>
      <c r="T131" s="14">
        <f>200-SUM(Table3[[#This Row],[W - LIGHT]:[W - VIGOROUS]])</f>
        <v>74.72</v>
      </c>
      <c r="U131" s="14">
        <f>'PIVOT TABLES'!$W$26</f>
        <v>55.895999999999994</v>
      </c>
      <c r="V131" s="14">
        <f>'PIVOT TABLES'!$W$27-'PIVOT TABLES'!$W$26</f>
        <v>27.948</v>
      </c>
      <c r="W131" s="14">
        <f>'PIVOT TABLES'!$W$28-'PIVOT TABLES'!$W$27</f>
        <v>27.947999999999993</v>
      </c>
      <c r="X131" s="14">
        <f>200-SUM(Table3[[#This Row],[S - LIGHT]:[S - VIGOROUS]])</f>
        <v>88.208000000000013</v>
      </c>
    </row>
    <row r="132" spans="1:24" x14ac:dyDescent="0.25">
      <c r="A132" s="17" t="s">
        <v>5</v>
      </c>
      <c r="B132" s="13" t="str">
        <f t="shared" si="2"/>
        <v>Midfielder</v>
      </c>
      <c r="C132" s="7">
        <v>45229.460740740738</v>
      </c>
      <c r="D132" s="14">
        <v>5004</v>
      </c>
      <c r="E132" s="14">
        <v>42</v>
      </c>
      <c r="F132" s="14">
        <v>18</v>
      </c>
      <c r="G132" s="14">
        <v>15</v>
      </c>
      <c r="H132" s="14">
        <v>52.32</v>
      </c>
      <c r="I132" s="14">
        <f>'PIVOT TABLES'!$B$26</f>
        <v>60.283999999999999</v>
      </c>
      <c r="J132" s="14">
        <f>'PIVOT TABLES'!$B$27-'PIVOT TABLES'!$B$26</f>
        <v>30.142000000000003</v>
      </c>
      <c r="K132" s="14">
        <f>'PIVOT TABLES'!$B$28-'PIVOT TABLES'!$B$27</f>
        <v>30.141999999999996</v>
      </c>
      <c r="L132" s="14">
        <f>200-SUM(Table3[[#This Row],[D - LIGHT]:[D - VIGOROUS]])</f>
        <v>79.432000000000002</v>
      </c>
      <c r="M132" s="14">
        <f>'PIVOT TABLES'!$I$26</f>
        <v>65.603999999999999</v>
      </c>
      <c r="N132" s="14">
        <f>'PIVOT TABLES'!$I$27-'PIVOT TABLES'!$I$26</f>
        <v>32.802000000000007</v>
      </c>
      <c r="O132" s="14">
        <f>'PIVOT TABLES'!$I$28-'PIVOT TABLES'!$I$27</f>
        <v>32.801999999999992</v>
      </c>
      <c r="P132" s="14">
        <f>200-SUM(Table3[[#This Row],[M - LIGHT]:[M - VIGOROUS]])</f>
        <v>68.792000000000002</v>
      </c>
      <c r="Q132" s="14">
        <f>'PIVOT TABLES'!$P$26</f>
        <v>62.64</v>
      </c>
      <c r="R132" s="14">
        <f>'PIVOT TABLES'!$P$27-'PIVOT TABLES'!$P$26</f>
        <v>31.320000000000007</v>
      </c>
      <c r="S132" s="14">
        <f>'PIVOT TABLES'!$P$28-'PIVOT TABLES'!$P$27</f>
        <v>31.319999999999993</v>
      </c>
      <c r="T132" s="14">
        <f>200-SUM(Table3[[#This Row],[W - LIGHT]:[W - VIGOROUS]])</f>
        <v>74.72</v>
      </c>
      <c r="U132" s="14">
        <f>'PIVOT TABLES'!$W$26</f>
        <v>55.895999999999994</v>
      </c>
      <c r="V132" s="14">
        <f>'PIVOT TABLES'!$W$27-'PIVOT TABLES'!$W$26</f>
        <v>27.948</v>
      </c>
      <c r="W132" s="14">
        <f>'PIVOT TABLES'!$W$28-'PIVOT TABLES'!$W$27</f>
        <v>27.947999999999993</v>
      </c>
      <c r="X132" s="14">
        <f>200-SUM(Table3[[#This Row],[S - LIGHT]:[S - VIGOROUS]])</f>
        <v>88.208000000000013</v>
      </c>
    </row>
    <row r="133" spans="1:24" x14ac:dyDescent="0.25">
      <c r="A133" s="17" t="s">
        <v>6</v>
      </c>
      <c r="B133" s="13" t="str">
        <f t="shared" si="2"/>
        <v>Midfielder</v>
      </c>
      <c r="C133" s="7">
        <v>45229.460740740738</v>
      </c>
      <c r="D133" s="14">
        <v>7702</v>
      </c>
      <c r="E133" s="14">
        <v>50</v>
      </c>
      <c r="F133" s="14">
        <v>31</v>
      </c>
      <c r="G133" s="14">
        <v>18</v>
      </c>
      <c r="H133" s="14">
        <v>80.12</v>
      </c>
      <c r="I133" s="14">
        <f>'PIVOT TABLES'!$B$26</f>
        <v>60.283999999999999</v>
      </c>
      <c r="J133" s="14">
        <f>'PIVOT TABLES'!$B$27-'PIVOT TABLES'!$B$26</f>
        <v>30.142000000000003</v>
      </c>
      <c r="K133" s="14">
        <f>'PIVOT TABLES'!$B$28-'PIVOT TABLES'!$B$27</f>
        <v>30.141999999999996</v>
      </c>
      <c r="L133" s="14">
        <f>200-SUM(Table3[[#This Row],[D - LIGHT]:[D - VIGOROUS]])</f>
        <v>79.432000000000002</v>
      </c>
      <c r="M133" s="14">
        <f>'PIVOT TABLES'!$I$26</f>
        <v>65.603999999999999</v>
      </c>
      <c r="N133" s="14">
        <f>'PIVOT TABLES'!$I$27-'PIVOT TABLES'!$I$26</f>
        <v>32.802000000000007</v>
      </c>
      <c r="O133" s="14">
        <f>'PIVOT TABLES'!$I$28-'PIVOT TABLES'!$I$27</f>
        <v>32.801999999999992</v>
      </c>
      <c r="P133" s="14">
        <f>200-SUM(Table3[[#This Row],[M - LIGHT]:[M - VIGOROUS]])</f>
        <v>68.792000000000002</v>
      </c>
      <c r="Q133" s="14">
        <f>'PIVOT TABLES'!$P$26</f>
        <v>62.64</v>
      </c>
      <c r="R133" s="14">
        <f>'PIVOT TABLES'!$P$27-'PIVOT TABLES'!$P$26</f>
        <v>31.320000000000007</v>
      </c>
      <c r="S133" s="14">
        <f>'PIVOT TABLES'!$P$28-'PIVOT TABLES'!$P$27</f>
        <v>31.319999999999993</v>
      </c>
      <c r="T133" s="14">
        <f>200-SUM(Table3[[#This Row],[W - LIGHT]:[W - VIGOROUS]])</f>
        <v>74.72</v>
      </c>
      <c r="U133" s="14">
        <f>'PIVOT TABLES'!$W$26</f>
        <v>55.895999999999994</v>
      </c>
      <c r="V133" s="14">
        <f>'PIVOT TABLES'!$W$27-'PIVOT TABLES'!$W$26</f>
        <v>27.948</v>
      </c>
      <c r="W133" s="14">
        <f>'PIVOT TABLES'!$W$28-'PIVOT TABLES'!$W$27</f>
        <v>27.947999999999993</v>
      </c>
      <c r="X133" s="14">
        <f>200-SUM(Table3[[#This Row],[S - LIGHT]:[S - VIGOROUS]])</f>
        <v>88.208000000000013</v>
      </c>
    </row>
    <row r="134" spans="1:24" x14ac:dyDescent="0.25">
      <c r="A134" s="17" t="s">
        <v>62</v>
      </c>
      <c r="B134" s="13" t="str">
        <f t="shared" si="2"/>
        <v>Midfielder</v>
      </c>
      <c r="C134" s="7">
        <v>45229.460740740738</v>
      </c>
      <c r="D134" s="14">
        <v>4653</v>
      </c>
      <c r="E134" s="14">
        <v>18</v>
      </c>
      <c r="F134" s="14">
        <v>19</v>
      </c>
      <c r="G134" s="14">
        <v>20</v>
      </c>
      <c r="H134" s="14">
        <v>48.23</v>
      </c>
      <c r="I134" s="14">
        <f>'PIVOT TABLES'!$B$26</f>
        <v>60.283999999999999</v>
      </c>
      <c r="J134" s="14">
        <f>'PIVOT TABLES'!$B$27-'PIVOT TABLES'!$B$26</f>
        <v>30.142000000000003</v>
      </c>
      <c r="K134" s="14">
        <f>'PIVOT TABLES'!$B$28-'PIVOT TABLES'!$B$27</f>
        <v>30.141999999999996</v>
      </c>
      <c r="L134" s="14">
        <f>200-SUM(Table3[[#This Row],[D - LIGHT]:[D - VIGOROUS]])</f>
        <v>79.432000000000002</v>
      </c>
      <c r="M134" s="14">
        <f>'PIVOT TABLES'!$I$26</f>
        <v>65.603999999999999</v>
      </c>
      <c r="N134" s="14">
        <f>'PIVOT TABLES'!$I$27-'PIVOT TABLES'!$I$26</f>
        <v>32.802000000000007</v>
      </c>
      <c r="O134" s="14">
        <f>'PIVOT TABLES'!$I$28-'PIVOT TABLES'!$I$27</f>
        <v>32.801999999999992</v>
      </c>
      <c r="P134" s="14">
        <f>200-SUM(Table3[[#This Row],[M - LIGHT]:[M - VIGOROUS]])</f>
        <v>68.792000000000002</v>
      </c>
      <c r="Q134" s="14">
        <f>'PIVOT TABLES'!$P$26</f>
        <v>62.64</v>
      </c>
      <c r="R134" s="14">
        <f>'PIVOT TABLES'!$P$27-'PIVOT TABLES'!$P$26</f>
        <v>31.320000000000007</v>
      </c>
      <c r="S134" s="14">
        <f>'PIVOT TABLES'!$P$28-'PIVOT TABLES'!$P$27</f>
        <v>31.319999999999993</v>
      </c>
      <c r="T134" s="14">
        <f>200-SUM(Table3[[#This Row],[W - LIGHT]:[W - VIGOROUS]])</f>
        <v>74.72</v>
      </c>
      <c r="U134" s="14">
        <f>'PIVOT TABLES'!$W$26</f>
        <v>55.895999999999994</v>
      </c>
      <c r="V134" s="14">
        <f>'PIVOT TABLES'!$W$27-'PIVOT TABLES'!$W$26</f>
        <v>27.948</v>
      </c>
      <c r="W134" s="14">
        <f>'PIVOT TABLES'!$W$28-'PIVOT TABLES'!$W$27</f>
        <v>27.947999999999993</v>
      </c>
      <c r="X134" s="14">
        <f>200-SUM(Table3[[#This Row],[S - LIGHT]:[S - VIGOROUS]])</f>
        <v>88.208000000000013</v>
      </c>
    </row>
    <row r="135" spans="1:24" x14ac:dyDescent="0.25">
      <c r="A135" s="17" t="s">
        <v>63</v>
      </c>
      <c r="B135" s="13" t="str">
        <f t="shared" si="2"/>
        <v>Winger</v>
      </c>
      <c r="C135" s="7">
        <v>45229.460740740738</v>
      </c>
      <c r="D135" s="14">
        <v>7359</v>
      </c>
      <c r="E135" s="14">
        <v>74</v>
      </c>
      <c r="F135" s="14">
        <v>32</v>
      </c>
      <c r="G135" s="14">
        <v>15</v>
      </c>
      <c r="H135" s="14">
        <v>77.39</v>
      </c>
      <c r="I135" s="14">
        <f>'PIVOT TABLES'!$B$26</f>
        <v>60.283999999999999</v>
      </c>
      <c r="J135" s="14">
        <f>'PIVOT TABLES'!$B$27-'PIVOT TABLES'!$B$26</f>
        <v>30.142000000000003</v>
      </c>
      <c r="K135" s="14">
        <f>'PIVOT TABLES'!$B$28-'PIVOT TABLES'!$B$27</f>
        <v>30.141999999999996</v>
      </c>
      <c r="L135" s="14">
        <f>200-SUM(Table3[[#This Row],[D - LIGHT]:[D - VIGOROUS]])</f>
        <v>79.432000000000002</v>
      </c>
      <c r="M135" s="14">
        <f>'PIVOT TABLES'!$I$26</f>
        <v>65.603999999999999</v>
      </c>
      <c r="N135" s="14">
        <f>'PIVOT TABLES'!$I$27-'PIVOT TABLES'!$I$26</f>
        <v>32.802000000000007</v>
      </c>
      <c r="O135" s="14">
        <f>'PIVOT TABLES'!$I$28-'PIVOT TABLES'!$I$27</f>
        <v>32.801999999999992</v>
      </c>
      <c r="P135" s="14">
        <f>200-SUM(Table3[[#This Row],[M - LIGHT]:[M - VIGOROUS]])</f>
        <v>68.792000000000002</v>
      </c>
      <c r="Q135" s="14">
        <f>'PIVOT TABLES'!$P$26</f>
        <v>62.64</v>
      </c>
      <c r="R135" s="14">
        <f>'PIVOT TABLES'!$P$27-'PIVOT TABLES'!$P$26</f>
        <v>31.320000000000007</v>
      </c>
      <c r="S135" s="14">
        <f>'PIVOT TABLES'!$P$28-'PIVOT TABLES'!$P$27</f>
        <v>31.319999999999993</v>
      </c>
      <c r="T135" s="14">
        <f>200-SUM(Table3[[#This Row],[W - LIGHT]:[W - VIGOROUS]])</f>
        <v>74.72</v>
      </c>
      <c r="U135" s="14">
        <f>'PIVOT TABLES'!$W$26</f>
        <v>55.895999999999994</v>
      </c>
      <c r="V135" s="14">
        <f>'PIVOT TABLES'!$W$27-'PIVOT TABLES'!$W$26</f>
        <v>27.948</v>
      </c>
      <c r="W135" s="14">
        <f>'PIVOT TABLES'!$W$28-'PIVOT TABLES'!$W$27</f>
        <v>27.947999999999993</v>
      </c>
      <c r="X135" s="14">
        <f>200-SUM(Table3[[#This Row],[S - LIGHT]:[S - VIGOROUS]])</f>
        <v>88.208000000000013</v>
      </c>
    </row>
    <row r="136" spans="1:24" x14ac:dyDescent="0.25">
      <c r="A136" s="17" t="s">
        <v>64</v>
      </c>
      <c r="B136" s="13" t="str">
        <f t="shared" si="2"/>
        <v>Midfielder</v>
      </c>
      <c r="C136" s="7">
        <v>45229.460740740738</v>
      </c>
      <c r="D136" s="14">
        <v>8947</v>
      </c>
      <c r="E136" s="14">
        <v>5</v>
      </c>
      <c r="F136" s="14">
        <v>37</v>
      </c>
      <c r="G136" s="14">
        <v>23</v>
      </c>
      <c r="H136" s="14">
        <v>91.56</v>
      </c>
      <c r="I136" s="14">
        <f>'PIVOT TABLES'!$B$26</f>
        <v>60.283999999999999</v>
      </c>
      <c r="J136" s="14">
        <f>'PIVOT TABLES'!$B$27-'PIVOT TABLES'!$B$26</f>
        <v>30.142000000000003</v>
      </c>
      <c r="K136" s="14">
        <f>'PIVOT TABLES'!$B$28-'PIVOT TABLES'!$B$27</f>
        <v>30.141999999999996</v>
      </c>
      <c r="L136" s="14">
        <f>200-SUM(Table3[[#This Row],[D - LIGHT]:[D - VIGOROUS]])</f>
        <v>79.432000000000002</v>
      </c>
      <c r="M136" s="14">
        <f>'PIVOT TABLES'!$I$26</f>
        <v>65.603999999999999</v>
      </c>
      <c r="N136" s="14">
        <f>'PIVOT TABLES'!$I$27-'PIVOT TABLES'!$I$26</f>
        <v>32.802000000000007</v>
      </c>
      <c r="O136" s="14">
        <f>'PIVOT TABLES'!$I$28-'PIVOT TABLES'!$I$27</f>
        <v>32.801999999999992</v>
      </c>
      <c r="P136" s="14">
        <f>200-SUM(Table3[[#This Row],[M - LIGHT]:[M - VIGOROUS]])</f>
        <v>68.792000000000002</v>
      </c>
      <c r="Q136" s="14">
        <f>'PIVOT TABLES'!$P$26</f>
        <v>62.64</v>
      </c>
      <c r="R136" s="14">
        <f>'PIVOT TABLES'!$P$27-'PIVOT TABLES'!$P$26</f>
        <v>31.320000000000007</v>
      </c>
      <c r="S136" s="14">
        <f>'PIVOT TABLES'!$P$28-'PIVOT TABLES'!$P$27</f>
        <v>31.319999999999993</v>
      </c>
      <c r="T136" s="14">
        <f>200-SUM(Table3[[#This Row],[W - LIGHT]:[W - VIGOROUS]])</f>
        <v>74.72</v>
      </c>
      <c r="U136" s="14">
        <f>'PIVOT TABLES'!$W$26</f>
        <v>55.895999999999994</v>
      </c>
      <c r="V136" s="14">
        <f>'PIVOT TABLES'!$W$27-'PIVOT TABLES'!$W$26</f>
        <v>27.948</v>
      </c>
      <c r="W136" s="14">
        <f>'PIVOT TABLES'!$W$28-'PIVOT TABLES'!$W$27</f>
        <v>27.947999999999993</v>
      </c>
      <c r="X136" s="14">
        <f>200-SUM(Table3[[#This Row],[S - LIGHT]:[S - VIGOROUS]])</f>
        <v>88.208000000000013</v>
      </c>
    </row>
    <row r="137" spans="1:24" x14ac:dyDescent="0.25">
      <c r="A137" s="17" t="s">
        <v>65</v>
      </c>
      <c r="B137" s="13" t="str">
        <f t="shared" si="2"/>
        <v>Winger</v>
      </c>
      <c r="C137" s="7">
        <v>45229.460740740738</v>
      </c>
      <c r="D137" s="14">
        <v>2887</v>
      </c>
      <c r="E137" s="14">
        <v>4</v>
      </c>
      <c r="F137" s="14">
        <v>5</v>
      </c>
      <c r="G137" s="14">
        <v>5</v>
      </c>
      <c r="H137" s="14">
        <v>29.29</v>
      </c>
      <c r="I137" s="14">
        <f>'PIVOT TABLES'!$B$26</f>
        <v>60.283999999999999</v>
      </c>
      <c r="J137" s="14">
        <f>'PIVOT TABLES'!$B$27-'PIVOT TABLES'!$B$26</f>
        <v>30.142000000000003</v>
      </c>
      <c r="K137" s="14">
        <f>'PIVOT TABLES'!$B$28-'PIVOT TABLES'!$B$27</f>
        <v>30.141999999999996</v>
      </c>
      <c r="L137" s="14">
        <f>200-SUM(Table3[[#This Row],[D - LIGHT]:[D - VIGOROUS]])</f>
        <v>79.432000000000002</v>
      </c>
      <c r="M137" s="14">
        <f>'PIVOT TABLES'!$I$26</f>
        <v>65.603999999999999</v>
      </c>
      <c r="N137" s="14">
        <f>'PIVOT TABLES'!$I$27-'PIVOT TABLES'!$I$26</f>
        <v>32.802000000000007</v>
      </c>
      <c r="O137" s="14">
        <f>'PIVOT TABLES'!$I$28-'PIVOT TABLES'!$I$27</f>
        <v>32.801999999999992</v>
      </c>
      <c r="P137" s="14">
        <f>200-SUM(Table3[[#This Row],[M - LIGHT]:[M - VIGOROUS]])</f>
        <v>68.792000000000002</v>
      </c>
      <c r="Q137" s="14">
        <f>'PIVOT TABLES'!$P$26</f>
        <v>62.64</v>
      </c>
      <c r="R137" s="14">
        <f>'PIVOT TABLES'!$P$27-'PIVOT TABLES'!$P$26</f>
        <v>31.320000000000007</v>
      </c>
      <c r="S137" s="14">
        <f>'PIVOT TABLES'!$P$28-'PIVOT TABLES'!$P$27</f>
        <v>31.319999999999993</v>
      </c>
      <c r="T137" s="14">
        <f>200-SUM(Table3[[#This Row],[W - LIGHT]:[W - VIGOROUS]])</f>
        <v>74.72</v>
      </c>
      <c r="U137" s="14">
        <f>'PIVOT TABLES'!$W$26</f>
        <v>55.895999999999994</v>
      </c>
      <c r="V137" s="14">
        <f>'PIVOT TABLES'!$W$27-'PIVOT TABLES'!$W$26</f>
        <v>27.948</v>
      </c>
      <c r="W137" s="14">
        <f>'PIVOT TABLES'!$W$28-'PIVOT TABLES'!$W$27</f>
        <v>27.947999999999993</v>
      </c>
      <c r="X137" s="14">
        <f>200-SUM(Table3[[#This Row],[S - LIGHT]:[S - VIGOROUS]])</f>
        <v>88.208000000000013</v>
      </c>
    </row>
    <row r="138" spans="1:24" x14ac:dyDescent="0.25">
      <c r="A138" s="17" t="s">
        <v>66</v>
      </c>
      <c r="B138" s="13" t="str">
        <f t="shared" si="2"/>
        <v>Striker</v>
      </c>
      <c r="C138" s="7">
        <v>45229.460740740738</v>
      </c>
      <c r="D138" s="14">
        <v>1609</v>
      </c>
      <c r="E138" s="14">
        <v>0</v>
      </c>
      <c r="F138" s="14">
        <v>0</v>
      </c>
      <c r="G138" s="14">
        <v>1</v>
      </c>
      <c r="H138" s="14">
        <v>16.11</v>
      </c>
      <c r="I138" s="14">
        <f>'PIVOT TABLES'!$B$26</f>
        <v>60.283999999999999</v>
      </c>
      <c r="J138" s="14">
        <f>'PIVOT TABLES'!$B$27-'PIVOT TABLES'!$B$26</f>
        <v>30.142000000000003</v>
      </c>
      <c r="K138" s="14">
        <f>'PIVOT TABLES'!$B$28-'PIVOT TABLES'!$B$27</f>
        <v>30.141999999999996</v>
      </c>
      <c r="L138" s="14">
        <f>200-SUM(Table3[[#This Row],[D - LIGHT]:[D - VIGOROUS]])</f>
        <v>79.432000000000002</v>
      </c>
      <c r="M138" s="14">
        <f>'PIVOT TABLES'!$I$26</f>
        <v>65.603999999999999</v>
      </c>
      <c r="N138" s="14">
        <f>'PIVOT TABLES'!$I$27-'PIVOT TABLES'!$I$26</f>
        <v>32.802000000000007</v>
      </c>
      <c r="O138" s="14">
        <f>'PIVOT TABLES'!$I$28-'PIVOT TABLES'!$I$27</f>
        <v>32.801999999999992</v>
      </c>
      <c r="P138" s="14">
        <f>200-SUM(Table3[[#This Row],[M - LIGHT]:[M - VIGOROUS]])</f>
        <v>68.792000000000002</v>
      </c>
      <c r="Q138" s="14">
        <f>'PIVOT TABLES'!$P$26</f>
        <v>62.64</v>
      </c>
      <c r="R138" s="14">
        <f>'PIVOT TABLES'!$P$27-'PIVOT TABLES'!$P$26</f>
        <v>31.320000000000007</v>
      </c>
      <c r="S138" s="14">
        <f>'PIVOT TABLES'!$P$28-'PIVOT TABLES'!$P$27</f>
        <v>31.319999999999993</v>
      </c>
      <c r="T138" s="14">
        <f>200-SUM(Table3[[#This Row],[W - LIGHT]:[W - VIGOROUS]])</f>
        <v>74.72</v>
      </c>
      <c r="U138" s="14">
        <f>'PIVOT TABLES'!$W$26</f>
        <v>55.895999999999994</v>
      </c>
      <c r="V138" s="14">
        <f>'PIVOT TABLES'!$W$27-'PIVOT TABLES'!$W$26</f>
        <v>27.948</v>
      </c>
      <c r="W138" s="14">
        <f>'PIVOT TABLES'!$W$28-'PIVOT TABLES'!$W$27</f>
        <v>27.947999999999993</v>
      </c>
      <c r="X138" s="14">
        <f>200-SUM(Table3[[#This Row],[S - LIGHT]:[S - VIGOROUS]])</f>
        <v>88.208000000000013</v>
      </c>
    </row>
    <row r="139" spans="1:24" x14ac:dyDescent="0.25">
      <c r="A139" s="17" t="s">
        <v>8</v>
      </c>
      <c r="B139" s="13" t="str">
        <f t="shared" si="2"/>
        <v>Striker</v>
      </c>
      <c r="C139" s="7">
        <v>45229.460740740738</v>
      </c>
      <c r="D139" s="14">
        <v>6457</v>
      </c>
      <c r="E139" s="14">
        <v>71</v>
      </c>
      <c r="F139" s="14">
        <v>40</v>
      </c>
      <c r="G139" s="14">
        <v>39</v>
      </c>
      <c r="H139" s="14">
        <v>69.08</v>
      </c>
      <c r="I139" s="14">
        <f>'PIVOT TABLES'!$B$26</f>
        <v>60.283999999999999</v>
      </c>
      <c r="J139" s="14">
        <f>'PIVOT TABLES'!$B$27-'PIVOT TABLES'!$B$26</f>
        <v>30.142000000000003</v>
      </c>
      <c r="K139" s="14">
        <f>'PIVOT TABLES'!$B$28-'PIVOT TABLES'!$B$27</f>
        <v>30.141999999999996</v>
      </c>
      <c r="L139" s="14">
        <f>200-SUM(Table3[[#This Row],[D - LIGHT]:[D - VIGOROUS]])</f>
        <v>79.432000000000002</v>
      </c>
      <c r="M139" s="14">
        <f>'PIVOT TABLES'!$I$26</f>
        <v>65.603999999999999</v>
      </c>
      <c r="N139" s="14">
        <f>'PIVOT TABLES'!$I$27-'PIVOT TABLES'!$I$26</f>
        <v>32.802000000000007</v>
      </c>
      <c r="O139" s="14">
        <f>'PIVOT TABLES'!$I$28-'PIVOT TABLES'!$I$27</f>
        <v>32.801999999999992</v>
      </c>
      <c r="P139" s="14">
        <f>200-SUM(Table3[[#This Row],[M - LIGHT]:[M - VIGOROUS]])</f>
        <v>68.792000000000002</v>
      </c>
      <c r="Q139" s="14">
        <f>'PIVOT TABLES'!$P$26</f>
        <v>62.64</v>
      </c>
      <c r="R139" s="14">
        <f>'PIVOT TABLES'!$P$27-'PIVOT TABLES'!$P$26</f>
        <v>31.320000000000007</v>
      </c>
      <c r="S139" s="14">
        <f>'PIVOT TABLES'!$P$28-'PIVOT TABLES'!$P$27</f>
        <v>31.319999999999993</v>
      </c>
      <c r="T139" s="14">
        <f>200-SUM(Table3[[#This Row],[W - LIGHT]:[W - VIGOROUS]])</f>
        <v>74.72</v>
      </c>
      <c r="U139" s="14">
        <f>'PIVOT TABLES'!$W$26</f>
        <v>55.895999999999994</v>
      </c>
      <c r="V139" s="14">
        <f>'PIVOT TABLES'!$W$27-'PIVOT TABLES'!$W$26</f>
        <v>27.948</v>
      </c>
      <c r="W139" s="14">
        <f>'PIVOT TABLES'!$W$28-'PIVOT TABLES'!$W$27</f>
        <v>27.947999999999993</v>
      </c>
      <c r="X139" s="14">
        <f>200-SUM(Table3[[#This Row],[S - LIGHT]:[S - VIGOROUS]])</f>
        <v>88.208000000000013</v>
      </c>
    </row>
    <row r="140" spans="1:24" x14ac:dyDescent="0.25">
      <c r="A140" s="17" t="s">
        <v>67</v>
      </c>
      <c r="B140" s="13" t="str">
        <f t="shared" si="2"/>
        <v>Midfielder</v>
      </c>
      <c r="C140" s="7">
        <v>45229.460740740738</v>
      </c>
      <c r="D140" s="14">
        <v>6071</v>
      </c>
      <c r="E140" s="14">
        <v>48</v>
      </c>
      <c r="F140" s="14">
        <v>30</v>
      </c>
      <c r="G140" s="14">
        <v>7</v>
      </c>
      <c r="H140" s="14">
        <v>63.49</v>
      </c>
      <c r="I140" s="14">
        <f>'PIVOT TABLES'!$B$26</f>
        <v>60.283999999999999</v>
      </c>
      <c r="J140" s="14">
        <f>'PIVOT TABLES'!$B$27-'PIVOT TABLES'!$B$26</f>
        <v>30.142000000000003</v>
      </c>
      <c r="K140" s="14">
        <f>'PIVOT TABLES'!$B$28-'PIVOT TABLES'!$B$27</f>
        <v>30.141999999999996</v>
      </c>
      <c r="L140" s="14">
        <f>200-SUM(Table3[[#This Row],[D - LIGHT]:[D - VIGOROUS]])</f>
        <v>79.432000000000002</v>
      </c>
      <c r="M140" s="14">
        <f>'PIVOT TABLES'!$I$26</f>
        <v>65.603999999999999</v>
      </c>
      <c r="N140" s="14">
        <f>'PIVOT TABLES'!$I$27-'PIVOT TABLES'!$I$26</f>
        <v>32.802000000000007</v>
      </c>
      <c r="O140" s="14">
        <f>'PIVOT TABLES'!$I$28-'PIVOT TABLES'!$I$27</f>
        <v>32.801999999999992</v>
      </c>
      <c r="P140" s="14">
        <f>200-SUM(Table3[[#This Row],[M - LIGHT]:[M - VIGOROUS]])</f>
        <v>68.792000000000002</v>
      </c>
      <c r="Q140" s="14">
        <f>'PIVOT TABLES'!$P$26</f>
        <v>62.64</v>
      </c>
      <c r="R140" s="14">
        <f>'PIVOT TABLES'!$P$27-'PIVOT TABLES'!$P$26</f>
        <v>31.320000000000007</v>
      </c>
      <c r="S140" s="14">
        <f>'PIVOT TABLES'!$P$28-'PIVOT TABLES'!$P$27</f>
        <v>31.319999999999993</v>
      </c>
      <c r="T140" s="14">
        <f>200-SUM(Table3[[#This Row],[W - LIGHT]:[W - VIGOROUS]])</f>
        <v>74.72</v>
      </c>
      <c r="U140" s="14">
        <f>'PIVOT TABLES'!$W$26</f>
        <v>55.895999999999994</v>
      </c>
      <c r="V140" s="14">
        <f>'PIVOT TABLES'!$W$27-'PIVOT TABLES'!$W$26</f>
        <v>27.948</v>
      </c>
      <c r="W140" s="14">
        <f>'PIVOT TABLES'!$W$28-'PIVOT TABLES'!$W$27</f>
        <v>27.947999999999993</v>
      </c>
      <c r="X140" s="14">
        <f>200-SUM(Table3[[#This Row],[S - LIGHT]:[S - VIGOROUS]])</f>
        <v>88.208000000000013</v>
      </c>
    </row>
    <row r="141" spans="1:24" x14ac:dyDescent="0.25">
      <c r="A141" s="17" t="s">
        <v>68</v>
      </c>
      <c r="B141" s="13" t="str">
        <f t="shared" si="2"/>
        <v>####</v>
      </c>
      <c r="C141" s="7">
        <v>45229.460740740738</v>
      </c>
      <c r="D141" s="14">
        <v>1621</v>
      </c>
      <c r="E141" s="14">
        <v>0</v>
      </c>
      <c r="F141" s="14">
        <v>7</v>
      </c>
      <c r="G141" s="14">
        <v>3</v>
      </c>
      <c r="H141" s="14">
        <v>16.55</v>
      </c>
      <c r="I141" s="14">
        <f>'PIVOT TABLES'!$B$26</f>
        <v>60.283999999999999</v>
      </c>
      <c r="J141" s="14">
        <f>'PIVOT TABLES'!$B$27-'PIVOT TABLES'!$B$26</f>
        <v>30.142000000000003</v>
      </c>
      <c r="K141" s="14">
        <f>'PIVOT TABLES'!$B$28-'PIVOT TABLES'!$B$27</f>
        <v>30.141999999999996</v>
      </c>
      <c r="L141" s="14">
        <f>200-SUM(Table3[[#This Row],[D - LIGHT]:[D - VIGOROUS]])</f>
        <v>79.432000000000002</v>
      </c>
      <c r="M141" s="14">
        <f>'PIVOT TABLES'!$I$26</f>
        <v>65.603999999999999</v>
      </c>
      <c r="N141" s="14">
        <f>'PIVOT TABLES'!$I$27-'PIVOT TABLES'!$I$26</f>
        <v>32.802000000000007</v>
      </c>
      <c r="O141" s="14">
        <f>'PIVOT TABLES'!$I$28-'PIVOT TABLES'!$I$27</f>
        <v>32.801999999999992</v>
      </c>
      <c r="P141" s="14">
        <f>200-SUM(Table3[[#This Row],[M - LIGHT]:[M - VIGOROUS]])</f>
        <v>68.792000000000002</v>
      </c>
      <c r="Q141" s="14">
        <f>'PIVOT TABLES'!$P$26</f>
        <v>62.64</v>
      </c>
      <c r="R141" s="14">
        <f>'PIVOT TABLES'!$P$27-'PIVOT TABLES'!$P$26</f>
        <v>31.320000000000007</v>
      </c>
      <c r="S141" s="14">
        <f>'PIVOT TABLES'!$P$28-'PIVOT TABLES'!$P$27</f>
        <v>31.319999999999993</v>
      </c>
      <c r="T141" s="14">
        <f>200-SUM(Table3[[#This Row],[W - LIGHT]:[W - VIGOROUS]])</f>
        <v>74.72</v>
      </c>
      <c r="U141" s="14">
        <f>'PIVOT TABLES'!$W$26</f>
        <v>55.895999999999994</v>
      </c>
      <c r="V141" s="14">
        <f>'PIVOT TABLES'!$W$27-'PIVOT TABLES'!$W$26</f>
        <v>27.948</v>
      </c>
      <c r="W141" s="14">
        <f>'PIVOT TABLES'!$W$28-'PIVOT TABLES'!$W$27</f>
        <v>27.947999999999993</v>
      </c>
      <c r="X141" s="14">
        <f>200-SUM(Table3[[#This Row],[S - LIGHT]:[S - VIGOROUS]])</f>
        <v>88.208000000000013</v>
      </c>
    </row>
    <row r="142" spans="1:24" x14ac:dyDescent="0.25">
      <c r="A142" s="17" t="s">
        <v>9</v>
      </c>
      <c r="B142" s="13" t="str">
        <f t="shared" si="2"/>
        <v>Striker</v>
      </c>
      <c r="C142" s="7">
        <v>45229.460740740738</v>
      </c>
      <c r="D142" s="14">
        <v>7509</v>
      </c>
      <c r="E142" s="14">
        <v>51</v>
      </c>
      <c r="F142" s="14">
        <v>36</v>
      </c>
      <c r="G142" s="14">
        <v>13</v>
      </c>
      <c r="H142" s="14">
        <v>78.319999999999993</v>
      </c>
      <c r="I142" s="14">
        <f>'PIVOT TABLES'!$B$26</f>
        <v>60.283999999999999</v>
      </c>
      <c r="J142" s="14">
        <f>'PIVOT TABLES'!$B$27-'PIVOT TABLES'!$B$26</f>
        <v>30.142000000000003</v>
      </c>
      <c r="K142" s="14">
        <f>'PIVOT TABLES'!$B$28-'PIVOT TABLES'!$B$27</f>
        <v>30.141999999999996</v>
      </c>
      <c r="L142" s="14">
        <f>200-SUM(Table3[[#This Row],[D - LIGHT]:[D - VIGOROUS]])</f>
        <v>79.432000000000002</v>
      </c>
      <c r="M142" s="14">
        <f>'PIVOT TABLES'!$I$26</f>
        <v>65.603999999999999</v>
      </c>
      <c r="N142" s="14">
        <f>'PIVOT TABLES'!$I$27-'PIVOT TABLES'!$I$26</f>
        <v>32.802000000000007</v>
      </c>
      <c r="O142" s="14">
        <f>'PIVOT TABLES'!$I$28-'PIVOT TABLES'!$I$27</f>
        <v>32.801999999999992</v>
      </c>
      <c r="P142" s="14">
        <f>200-SUM(Table3[[#This Row],[M - LIGHT]:[M - VIGOROUS]])</f>
        <v>68.792000000000002</v>
      </c>
      <c r="Q142" s="14">
        <f>'PIVOT TABLES'!$P$26</f>
        <v>62.64</v>
      </c>
      <c r="R142" s="14">
        <f>'PIVOT TABLES'!$P$27-'PIVOT TABLES'!$P$26</f>
        <v>31.320000000000007</v>
      </c>
      <c r="S142" s="14">
        <f>'PIVOT TABLES'!$P$28-'PIVOT TABLES'!$P$27</f>
        <v>31.319999999999993</v>
      </c>
      <c r="T142" s="14">
        <f>200-SUM(Table3[[#This Row],[W - LIGHT]:[W - VIGOROUS]])</f>
        <v>74.72</v>
      </c>
      <c r="U142" s="14">
        <f>'PIVOT TABLES'!$W$26</f>
        <v>55.895999999999994</v>
      </c>
      <c r="V142" s="14">
        <f>'PIVOT TABLES'!$W$27-'PIVOT TABLES'!$W$26</f>
        <v>27.948</v>
      </c>
      <c r="W142" s="14">
        <f>'PIVOT TABLES'!$W$28-'PIVOT TABLES'!$W$27</f>
        <v>27.947999999999993</v>
      </c>
      <c r="X142" s="14">
        <f>200-SUM(Table3[[#This Row],[S - LIGHT]:[S - VIGOROUS]])</f>
        <v>88.208000000000013</v>
      </c>
    </row>
    <row r="143" spans="1:24" x14ac:dyDescent="0.25">
      <c r="A143" s="17" t="s">
        <v>69</v>
      </c>
      <c r="B143" s="13" t="str">
        <f t="shared" si="2"/>
        <v>Midfielder</v>
      </c>
      <c r="C143" s="7">
        <v>45229.460740740738</v>
      </c>
      <c r="D143" s="14">
        <v>8333</v>
      </c>
      <c r="E143" s="14">
        <v>33</v>
      </c>
      <c r="F143" s="14">
        <v>27</v>
      </c>
      <c r="G143" s="14">
        <v>28</v>
      </c>
      <c r="H143" s="14">
        <v>85.96</v>
      </c>
      <c r="I143" s="14">
        <f>'PIVOT TABLES'!$B$26</f>
        <v>60.283999999999999</v>
      </c>
      <c r="J143" s="14">
        <f>'PIVOT TABLES'!$B$27-'PIVOT TABLES'!$B$26</f>
        <v>30.142000000000003</v>
      </c>
      <c r="K143" s="14">
        <f>'PIVOT TABLES'!$B$28-'PIVOT TABLES'!$B$27</f>
        <v>30.141999999999996</v>
      </c>
      <c r="L143" s="14">
        <f>200-SUM(Table3[[#This Row],[D - LIGHT]:[D - VIGOROUS]])</f>
        <v>79.432000000000002</v>
      </c>
      <c r="M143" s="14">
        <f>'PIVOT TABLES'!$I$26</f>
        <v>65.603999999999999</v>
      </c>
      <c r="N143" s="14">
        <f>'PIVOT TABLES'!$I$27-'PIVOT TABLES'!$I$26</f>
        <v>32.802000000000007</v>
      </c>
      <c r="O143" s="14">
        <f>'PIVOT TABLES'!$I$28-'PIVOT TABLES'!$I$27</f>
        <v>32.801999999999992</v>
      </c>
      <c r="P143" s="14">
        <f>200-SUM(Table3[[#This Row],[M - LIGHT]:[M - VIGOROUS]])</f>
        <v>68.792000000000002</v>
      </c>
      <c r="Q143" s="14">
        <f>'PIVOT TABLES'!$P$26</f>
        <v>62.64</v>
      </c>
      <c r="R143" s="14">
        <f>'PIVOT TABLES'!$P$27-'PIVOT TABLES'!$P$26</f>
        <v>31.320000000000007</v>
      </c>
      <c r="S143" s="14">
        <f>'PIVOT TABLES'!$P$28-'PIVOT TABLES'!$P$27</f>
        <v>31.319999999999993</v>
      </c>
      <c r="T143" s="14">
        <f>200-SUM(Table3[[#This Row],[W - LIGHT]:[W - VIGOROUS]])</f>
        <v>74.72</v>
      </c>
      <c r="U143" s="14">
        <f>'PIVOT TABLES'!$W$26</f>
        <v>55.895999999999994</v>
      </c>
      <c r="V143" s="14">
        <f>'PIVOT TABLES'!$W$27-'PIVOT TABLES'!$W$26</f>
        <v>27.948</v>
      </c>
      <c r="W143" s="14">
        <f>'PIVOT TABLES'!$W$28-'PIVOT TABLES'!$W$27</f>
        <v>27.947999999999993</v>
      </c>
      <c r="X143" s="14">
        <f>200-SUM(Table3[[#This Row],[S - LIGHT]:[S - VIGOROUS]])</f>
        <v>88.208000000000013</v>
      </c>
    </row>
    <row r="144" spans="1:24" x14ac:dyDescent="0.25">
      <c r="A144" s="17" t="s">
        <v>54</v>
      </c>
      <c r="B144" s="13" t="str">
        <f t="shared" si="2"/>
        <v>Striker</v>
      </c>
      <c r="C144" s="7">
        <v>45230.372847222221</v>
      </c>
      <c r="D144" s="14">
        <v>3156</v>
      </c>
      <c r="E144" s="14">
        <v>1</v>
      </c>
      <c r="F144" s="14">
        <v>4</v>
      </c>
      <c r="G144" s="14">
        <v>13</v>
      </c>
      <c r="H144" s="14">
        <v>32.01</v>
      </c>
      <c r="I144" s="14">
        <f>'PIVOT TABLES'!$B$26</f>
        <v>60.283999999999999</v>
      </c>
      <c r="J144" s="14">
        <f>'PIVOT TABLES'!$B$27-'PIVOT TABLES'!$B$26</f>
        <v>30.142000000000003</v>
      </c>
      <c r="K144" s="14">
        <f>'PIVOT TABLES'!$B$28-'PIVOT TABLES'!$B$27</f>
        <v>30.141999999999996</v>
      </c>
      <c r="L144" s="14">
        <f>200-SUM(Table3[[#This Row],[D - LIGHT]:[D - VIGOROUS]])</f>
        <v>79.432000000000002</v>
      </c>
      <c r="M144" s="14">
        <f>'PIVOT TABLES'!$I$26</f>
        <v>65.603999999999999</v>
      </c>
      <c r="N144" s="14">
        <f>'PIVOT TABLES'!$I$27-'PIVOT TABLES'!$I$26</f>
        <v>32.802000000000007</v>
      </c>
      <c r="O144" s="14">
        <f>'PIVOT TABLES'!$I$28-'PIVOT TABLES'!$I$27</f>
        <v>32.801999999999992</v>
      </c>
      <c r="P144" s="14">
        <f>200-SUM(Table3[[#This Row],[M - LIGHT]:[M - VIGOROUS]])</f>
        <v>68.792000000000002</v>
      </c>
      <c r="Q144" s="14">
        <f>'PIVOT TABLES'!$P$26</f>
        <v>62.64</v>
      </c>
      <c r="R144" s="14">
        <f>'PIVOT TABLES'!$P$27-'PIVOT TABLES'!$P$26</f>
        <v>31.320000000000007</v>
      </c>
      <c r="S144" s="14">
        <f>'PIVOT TABLES'!$P$28-'PIVOT TABLES'!$P$27</f>
        <v>31.319999999999993</v>
      </c>
      <c r="T144" s="14">
        <f>200-SUM(Table3[[#This Row],[W - LIGHT]:[W - VIGOROUS]])</f>
        <v>74.72</v>
      </c>
      <c r="U144" s="14">
        <f>'PIVOT TABLES'!$W$26</f>
        <v>55.895999999999994</v>
      </c>
      <c r="V144" s="14">
        <f>'PIVOT TABLES'!$W$27-'PIVOT TABLES'!$W$26</f>
        <v>27.948</v>
      </c>
      <c r="W144" s="14">
        <f>'PIVOT TABLES'!$W$28-'PIVOT TABLES'!$W$27</f>
        <v>27.947999999999993</v>
      </c>
      <c r="X144" s="14">
        <f>200-SUM(Table3[[#This Row],[S - LIGHT]:[S - VIGOROUS]])</f>
        <v>88.208000000000013</v>
      </c>
    </row>
    <row r="145" spans="1:24" x14ac:dyDescent="0.25">
      <c r="A145" s="17" t="s">
        <v>58</v>
      </c>
      <c r="B145" s="13" t="str">
        <f t="shared" si="2"/>
        <v>Defender</v>
      </c>
      <c r="C145" s="7">
        <v>45230.372847222221</v>
      </c>
      <c r="D145" s="14">
        <v>2912</v>
      </c>
      <c r="E145" s="14">
        <v>0</v>
      </c>
      <c r="F145" s="14">
        <v>5</v>
      </c>
      <c r="G145" s="14">
        <v>3</v>
      </c>
      <c r="H145" s="14">
        <v>29.38</v>
      </c>
      <c r="I145" s="14">
        <f>'PIVOT TABLES'!$B$26</f>
        <v>60.283999999999999</v>
      </c>
      <c r="J145" s="14">
        <f>'PIVOT TABLES'!$B$27-'PIVOT TABLES'!$B$26</f>
        <v>30.142000000000003</v>
      </c>
      <c r="K145" s="14">
        <f>'PIVOT TABLES'!$B$28-'PIVOT TABLES'!$B$27</f>
        <v>30.141999999999996</v>
      </c>
      <c r="L145" s="14">
        <f>200-SUM(Table3[[#This Row],[D - LIGHT]:[D - VIGOROUS]])</f>
        <v>79.432000000000002</v>
      </c>
      <c r="M145" s="14">
        <f>'PIVOT TABLES'!$I$26</f>
        <v>65.603999999999999</v>
      </c>
      <c r="N145" s="14">
        <f>'PIVOT TABLES'!$I$27-'PIVOT TABLES'!$I$26</f>
        <v>32.802000000000007</v>
      </c>
      <c r="O145" s="14">
        <f>'PIVOT TABLES'!$I$28-'PIVOT TABLES'!$I$27</f>
        <v>32.801999999999992</v>
      </c>
      <c r="P145" s="14">
        <f>200-SUM(Table3[[#This Row],[M - LIGHT]:[M - VIGOROUS]])</f>
        <v>68.792000000000002</v>
      </c>
      <c r="Q145" s="14">
        <f>'PIVOT TABLES'!$P$26</f>
        <v>62.64</v>
      </c>
      <c r="R145" s="14">
        <f>'PIVOT TABLES'!$P$27-'PIVOT TABLES'!$P$26</f>
        <v>31.320000000000007</v>
      </c>
      <c r="S145" s="14">
        <f>'PIVOT TABLES'!$P$28-'PIVOT TABLES'!$P$27</f>
        <v>31.319999999999993</v>
      </c>
      <c r="T145" s="14">
        <f>200-SUM(Table3[[#This Row],[W - LIGHT]:[W - VIGOROUS]])</f>
        <v>74.72</v>
      </c>
      <c r="U145" s="14">
        <f>'PIVOT TABLES'!$W$26</f>
        <v>55.895999999999994</v>
      </c>
      <c r="V145" s="14">
        <f>'PIVOT TABLES'!$W$27-'PIVOT TABLES'!$W$26</f>
        <v>27.948</v>
      </c>
      <c r="W145" s="14">
        <f>'PIVOT TABLES'!$W$28-'PIVOT TABLES'!$W$27</f>
        <v>27.947999999999993</v>
      </c>
      <c r="X145" s="14">
        <f>200-SUM(Table3[[#This Row],[S - LIGHT]:[S - VIGOROUS]])</f>
        <v>88.208000000000013</v>
      </c>
    </row>
    <row r="146" spans="1:24" x14ac:dyDescent="0.25">
      <c r="A146" s="17" t="s">
        <v>3</v>
      </c>
      <c r="B146" s="13" t="str">
        <f t="shared" si="2"/>
        <v>Defender</v>
      </c>
      <c r="C146" s="7">
        <v>45230.372847222221</v>
      </c>
      <c r="D146" s="14">
        <v>2851</v>
      </c>
      <c r="E146" s="14">
        <v>0</v>
      </c>
      <c r="F146" s="14">
        <v>5</v>
      </c>
      <c r="G146" s="14">
        <v>11</v>
      </c>
      <c r="H146" s="14">
        <v>28.93</v>
      </c>
      <c r="I146" s="14">
        <f>'PIVOT TABLES'!$B$26</f>
        <v>60.283999999999999</v>
      </c>
      <c r="J146" s="14">
        <f>'PIVOT TABLES'!$B$27-'PIVOT TABLES'!$B$26</f>
        <v>30.142000000000003</v>
      </c>
      <c r="K146" s="14">
        <f>'PIVOT TABLES'!$B$28-'PIVOT TABLES'!$B$27</f>
        <v>30.141999999999996</v>
      </c>
      <c r="L146" s="14">
        <f>200-SUM(Table3[[#This Row],[D - LIGHT]:[D - VIGOROUS]])</f>
        <v>79.432000000000002</v>
      </c>
      <c r="M146" s="14">
        <f>'PIVOT TABLES'!$I$26</f>
        <v>65.603999999999999</v>
      </c>
      <c r="N146" s="14">
        <f>'PIVOT TABLES'!$I$27-'PIVOT TABLES'!$I$26</f>
        <v>32.802000000000007</v>
      </c>
      <c r="O146" s="14">
        <f>'PIVOT TABLES'!$I$28-'PIVOT TABLES'!$I$27</f>
        <v>32.801999999999992</v>
      </c>
      <c r="P146" s="14">
        <f>200-SUM(Table3[[#This Row],[M - LIGHT]:[M - VIGOROUS]])</f>
        <v>68.792000000000002</v>
      </c>
      <c r="Q146" s="14">
        <f>'PIVOT TABLES'!$P$26</f>
        <v>62.64</v>
      </c>
      <c r="R146" s="14">
        <f>'PIVOT TABLES'!$P$27-'PIVOT TABLES'!$P$26</f>
        <v>31.320000000000007</v>
      </c>
      <c r="S146" s="14">
        <f>'PIVOT TABLES'!$P$28-'PIVOT TABLES'!$P$27</f>
        <v>31.319999999999993</v>
      </c>
      <c r="T146" s="14">
        <f>200-SUM(Table3[[#This Row],[W - LIGHT]:[W - VIGOROUS]])</f>
        <v>74.72</v>
      </c>
      <c r="U146" s="14">
        <f>'PIVOT TABLES'!$W$26</f>
        <v>55.895999999999994</v>
      </c>
      <c r="V146" s="14">
        <f>'PIVOT TABLES'!$W$27-'PIVOT TABLES'!$W$26</f>
        <v>27.948</v>
      </c>
      <c r="W146" s="14">
        <f>'PIVOT TABLES'!$W$28-'PIVOT TABLES'!$W$27</f>
        <v>27.947999999999993</v>
      </c>
      <c r="X146" s="14">
        <f>200-SUM(Table3[[#This Row],[S - LIGHT]:[S - VIGOROUS]])</f>
        <v>88.208000000000013</v>
      </c>
    </row>
    <row r="147" spans="1:24" x14ac:dyDescent="0.25">
      <c r="A147" s="17" t="s">
        <v>59</v>
      </c>
      <c r="B147" s="13" t="str">
        <f t="shared" si="2"/>
        <v>Striker</v>
      </c>
      <c r="C147" s="7">
        <v>45230.372847222221</v>
      </c>
      <c r="D147" s="14">
        <v>2720</v>
      </c>
      <c r="E147" s="14">
        <v>0</v>
      </c>
      <c r="F147" s="14">
        <v>18</v>
      </c>
      <c r="G147" s="14">
        <v>11</v>
      </c>
      <c r="H147" s="14">
        <v>28.14</v>
      </c>
      <c r="I147" s="14">
        <f>'PIVOT TABLES'!$B$26</f>
        <v>60.283999999999999</v>
      </c>
      <c r="J147" s="14">
        <f>'PIVOT TABLES'!$B$27-'PIVOT TABLES'!$B$26</f>
        <v>30.142000000000003</v>
      </c>
      <c r="K147" s="14">
        <f>'PIVOT TABLES'!$B$28-'PIVOT TABLES'!$B$27</f>
        <v>30.141999999999996</v>
      </c>
      <c r="L147" s="14">
        <f>200-SUM(Table3[[#This Row],[D - LIGHT]:[D - VIGOROUS]])</f>
        <v>79.432000000000002</v>
      </c>
      <c r="M147" s="14">
        <f>'PIVOT TABLES'!$I$26</f>
        <v>65.603999999999999</v>
      </c>
      <c r="N147" s="14">
        <f>'PIVOT TABLES'!$I$27-'PIVOT TABLES'!$I$26</f>
        <v>32.802000000000007</v>
      </c>
      <c r="O147" s="14">
        <f>'PIVOT TABLES'!$I$28-'PIVOT TABLES'!$I$27</f>
        <v>32.801999999999992</v>
      </c>
      <c r="P147" s="14">
        <f>200-SUM(Table3[[#This Row],[M - LIGHT]:[M - VIGOROUS]])</f>
        <v>68.792000000000002</v>
      </c>
      <c r="Q147" s="14">
        <f>'PIVOT TABLES'!$P$26</f>
        <v>62.64</v>
      </c>
      <c r="R147" s="14">
        <f>'PIVOT TABLES'!$P$27-'PIVOT TABLES'!$P$26</f>
        <v>31.320000000000007</v>
      </c>
      <c r="S147" s="14">
        <f>'PIVOT TABLES'!$P$28-'PIVOT TABLES'!$P$27</f>
        <v>31.319999999999993</v>
      </c>
      <c r="T147" s="14">
        <f>200-SUM(Table3[[#This Row],[W - LIGHT]:[W - VIGOROUS]])</f>
        <v>74.72</v>
      </c>
      <c r="U147" s="14">
        <f>'PIVOT TABLES'!$W$26</f>
        <v>55.895999999999994</v>
      </c>
      <c r="V147" s="14">
        <f>'PIVOT TABLES'!$W$27-'PIVOT TABLES'!$W$26</f>
        <v>27.948</v>
      </c>
      <c r="W147" s="14">
        <f>'PIVOT TABLES'!$W$28-'PIVOT TABLES'!$W$27</f>
        <v>27.947999999999993</v>
      </c>
      <c r="X147" s="14">
        <f>200-SUM(Table3[[#This Row],[S - LIGHT]:[S - VIGOROUS]])</f>
        <v>88.208000000000013</v>
      </c>
    </row>
    <row r="148" spans="1:24" x14ac:dyDescent="0.25">
      <c r="A148" s="17" t="s">
        <v>4</v>
      </c>
      <c r="B148" s="13" t="str">
        <f t="shared" si="2"/>
        <v>Midfielder</v>
      </c>
      <c r="C148" s="7">
        <v>45230.372847222221</v>
      </c>
      <c r="D148" s="14">
        <v>3171</v>
      </c>
      <c r="E148" s="14">
        <v>0</v>
      </c>
      <c r="F148" s="14">
        <v>3</v>
      </c>
      <c r="G148" s="14">
        <v>8</v>
      </c>
      <c r="H148" s="14">
        <v>31.99</v>
      </c>
      <c r="I148" s="14">
        <f>'PIVOT TABLES'!$B$26</f>
        <v>60.283999999999999</v>
      </c>
      <c r="J148" s="14">
        <f>'PIVOT TABLES'!$B$27-'PIVOT TABLES'!$B$26</f>
        <v>30.142000000000003</v>
      </c>
      <c r="K148" s="14">
        <f>'PIVOT TABLES'!$B$28-'PIVOT TABLES'!$B$27</f>
        <v>30.141999999999996</v>
      </c>
      <c r="L148" s="14">
        <f>200-SUM(Table3[[#This Row],[D - LIGHT]:[D - VIGOROUS]])</f>
        <v>79.432000000000002</v>
      </c>
      <c r="M148" s="14">
        <f>'PIVOT TABLES'!$I$26</f>
        <v>65.603999999999999</v>
      </c>
      <c r="N148" s="14">
        <f>'PIVOT TABLES'!$I$27-'PIVOT TABLES'!$I$26</f>
        <v>32.802000000000007</v>
      </c>
      <c r="O148" s="14">
        <f>'PIVOT TABLES'!$I$28-'PIVOT TABLES'!$I$27</f>
        <v>32.801999999999992</v>
      </c>
      <c r="P148" s="14">
        <f>200-SUM(Table3[[#This Row],[M - LIGHT]:[M - VIGOROUS]])</f>
        <v>68.792000000000002</v>
      </c>
      <c r="Q148" s="14">
        <f>'PIVOT TABLES'!$P$26</f>
        <v>62.64</v>
      </c>
      <c r="R148" s="14">
        <f>'PIVOT TABLES'!$P$27-'PIVOT TABLES'!$P$26</f>
        <v>31.320000000000007</v>
      </c>
      <c r="S148" s="14">
        <f>'PIVOT TABLES'!$P$28-'PIVOT TABLES'!$P$27</f>
        <v>31.319999999999993</v>
      </c>
      <c r="T148" s="14">
        <f>200-SUM(Table3[[#This Row],[W - LIGHT]:[W - VIGOROUS]])</f>
        <v>74.72</v>
      </c>
      <c r="U148" s="14">
        <f>'PIVOT TABLES'!$W$26</f>
        <v>55.895999999999994</v>
      </c>
      <c r="V148" s="14">
        <f>'PIVOT TABLES'!$W$27-'PIVOT TABLES'!$W$26</f>
        <v>27.948</v>
      </c>
      <c r="W148" s="14">
        <f>'PIVOT TABLES'!$W$28-'PIVOT TABLES'!$W$27</f>
        <v>27.947999999999993</v>
      </c>
      <c r="X148" s="14">
        <f>200-SUM(Table3[[#This Row],[S - LIGHT]:[S - VIGOROUS]])</f>
        <v>88.208000000000013</v>
      </c>
    </row>
    <row r="149" spans="1:24" x14ac:dyDescent="0.25">
      <c r="A149" s="17" t="s">
        <v>6</v>
      </c>
      <c r="B149" s="13" t="str">
        <f t="shared" si="2"/>
        <v>Midfielder</v>
      </c>
      <c r="C149" s="7">
        <v>45230.372847222221</v>
      </c>
      <c r="D149" s="14">
        <v>3239</v>
      </c>
      <c r="E149" s="14">
        <v>0</v>
      </c>
      <c r="F149" s="14">
        <v>17</v>
      </c>
      <c r="G149" s="14">
        <v>7</v>
      </c>
      <c r="H149" s="14">
        <v>33.21</v>
      </c>
      <c r="I149" s="14">
        <f>'PIVOT TABLES'!$B$26</f>
        <v>60.283999999999999</v>
      </c>
      <c r="J149" s="14">
        <f>'PIVOT TABLES'!$B$27-'PIVOT TABLES'!$B$26</f>
        <v>30.142000000000003</v>
      </c>
      <c r="K149" s="14">
        <f>'PIVOT TABLES'!$B$28-'PIVOT TABLES'!$B$27</f>
        <v>30.141999999999996</v>
      </c>
      <c r="L149" s="14">
        <f>200-SUM(Table3[[#This Row],[D - LIGHT]:[D - VIGOROUS]])</f>
        <v>79.432000000000002</v>
      </c>
      <c r="M149" s="14">
        <f>'PIVOT TABLES'!$I$26</f>
        <v>65.603999999999999</v>
      </c>
      <c r="N149" s="14">
        <f>'PIVOT TABLES'!$I$27-'PIVOT TABLES'!$I$26</f>
        <v>32.802000000000007</v>
      </c>
      <c r="O149" s="14">
        <f>'PIVOT TABLES'!$I$28-'PIVOT TABLES'!$I$27</f>
        <v>32.801999999999992</v>
      </c>
      <c r="P149" s="14">
        <f>200-SUM(Table3[[#This Row],[M - LIGHT]:[M - VIGOROUS]])</f>
        <v>68.792000000000002</v>
      </c>
      <c r="Q149" s="14">
        <f>'PIVOT TABLES'!$P$26</f>
        <v>62.64</v>
      </c>
      <c r="R149" s="14">
        <f>'PIVOT TABLES'!$P$27-'PIVOT TABLES'!$P$26</f>
        <v>31.320000000000007</v>
      </c>
      <c r="S149" s="14">
        <f>'PIVOT TABLES'!$P$28-'PIVOT TABLES'!$P$27</f>
        <v>31.319999999999993</v>
      </c>
      <c r="T149" s="14">
        <f>200-SUM(Table3[[#This Row],[W - LIGHT]:[W - VIGOROUS]])</f>
        <v>74.72</v>
      </c>
      <c r="U149" s="14">
        <f>'PIVOT TABLES'!$W$26</f>
        <v>55.895999999999994</v>
      </c>
      <c r="V149" s="14">
        <f>'PIVOT TABLES'!$W$27-'PIVOT TABLES'!$W$26</f>
        <v>27.948</v>
      </c>
      <c r="W149" s="14">
        <f>'PIVOT TABLES'!$W$28-'PIVOT TABLES'!$W$27</f>
        <v>27.947999999999993</v>
      </c>
      <c r="X149" s="14">
        <f>200-SUM(Table3[[#This Row],[S - LIGHT]:[S - VIGOROUS]])</f>
        <v>88.208000000000013</v>
      </c>
    </row>
    <row r="150" spans="1:24" x14ac:dyDescent="0.25">
      <c r="A150" s="17" t="s">
        <v>67</v>
      </c>
      <c r="B150" s="13" t="str">
        <f t="shared" si="2"/>
        <v>Midfielder</v>
      </c>
      <c r="C150" s="7">
        <v>45230.372847222221</v>
      </c>
      <c r="D150" s="14">
        <v>2914</v>
      </c>
      <c r="E150" s="14">
        <v>0</v>
      </c>
      <c r="F150" s="14">
        <v>15</v>
      </c>
      <c r="G150" s="14">
        <v>20</v>
      </c>
      <c r="H150" s="14">
        <v>30.14</v>
      </c>
      <c r="I150" s="14">
        <f>'PIVOT TABLES'!$B$26</f>
        <v>60.283999999999999</v>
      </c>
      <c r="J150" s="14">
        <f>'PIVOT TABLES'!$B$27-'PIVOT TABLES'!$B$26</f>
        <v>30.142000000000003</v>
      </c>
      <c r="K150" s="14">
        <f>'PIVOT TABLES'!$B$28-'PIVOT TABLES'!$B$27</f>
        <v>30.141999999999996</v>
      </c>
      <c r="L150" s="14">
        <f>200-SUM(Table3[[#This Row],[D - LIGHT]:[D - VIGOROUS]])</f>
        <v>79.432000000000002</v>
      </c>
      <c r="M150" s="14">
        <f>'PIVOT TABLES'!$I$26</f>
        <v>65.603999999999999</v>
      </c>
      <c r="N150" s="14">
        <f>'PIVOT TABLES'!$I$27-'PIVOT TABLES'!$I$26</f>
        <v>32.802000000000007</v>
      </c>
      <c r="O150" s="14">
        <f>'PIVOT TABLES'!$I$28-'PIVOT TABLES'!$I$27</f>
        <v>32.801999999999992</v>
      </c>
      <c r="P150" s="14">
        <f>200-SUM(Table3[[#This Row],[M - LIGHT]:[M - VIGOROUS]])</f>
        <v>68.792000000000002</v>
      </c>
      <c r="Q150" s="14">
        <f>'PIVOT TABLES'!$P$26</f>
        <v>62.64</v>
      </c>
      <c r="R150" s="14">
        <f>'PIVOT TABLES'!$P$27-'PIVOT TABLES'!$P$26</f>
        <v>31.320000000000007</v>
      </c>
      <c r="S150" s="14">
        <f>'PIVOT TABLES'!$P$28-'PIVOT TABLES'!$P$27</f>
        <v>31.319999999999993</v>
      </c>
      <c r="T150" s="14">
        <f>200-SUM(Table3[[#This Row],[W - LIGHT]:[W - VIGOROUS]])</f>
        <v>74.72</v>
      </c>
      <c r="U150" s="14">
        <f>'PIVOT TABLES'!$W$26</f>
        <v>55.895999999999994</v>
      </c>
      <c r="V150" s="14">
        <f>'PIVOT TABLES'!$W$27-'PIVOT TABLES'!$W$26</f>
        <v>27.948</v>
      </c>
      <c r="W150" s="14">
        <f>'PIVOT TABLES'!$W$28-'PIVOT TABLES'!$W$27</f>
        <v>27.947999999999993</v>
      </c>
      <c r="X150" s="14">
        <f>200-SUM(Table3[[#This Row],[S - LIGHT]:[S - VIGOROUS]])</f>
        <v>88.208000000000013</v>
      </c>
    </row>
    <row r="151" spans="1:24" x14ac:dyDescent="0.25">
      <c r="A151" s="17" t="s">
        <v>9</v>
      </c>
      <c r="B151" s="13" t="str">
        <f t="shared" si="2"/>
        <v>Striker</v>
      </c>
      <c r="C151" s="7">
        <v>45230.372847222221</v>
      </c>
      <c r="D151" s="14">
        <v>2963</v>
      </c>
      <c r="E151" s="14">
        <v>0</v>
      </c>
      <c r="F151" s="14">
        <v>13</v>
      </c>
      <c r="G151" s="14">
        <v>7</v>
      </c>
      <c r="H151" s="14">
        <v>30.29</v>
      </c>
      <c r="I151" s="14">
        <f>'PIVOT TABLES'!$B$26</f>
        <v>60.283999999999999</v>
      </c>
      <c r="J151" s="14">
        <f>'PIVOT TABLES'!$B$27-'PIVOT TABLES'!$B$26</f>
        <v>30.142000000000003</v>
      </c>
      <c r="K151" s="14">
        <f>'PIVOT TABLES'!$B$28-'PIVOT TABLES'!$B$27</f>
        <v>30.141999999999996</v>
      </c>
      <c r="L151" s="14">
        <f>200-SUM(Table3[[#This Row],[D - LIGHT]:[D - VIGOROUS]])</f>
        <v>79.432000000000002</v>
      </c>
      <c r="M151" s="14">
        <f>'PIVOT TABLES'!$I$26</f>
        <v>65.603999999999999</v>
      </c>
      <c r="N151" s="14">
        <f>'PIVOT TABLES'!$I$27-'PIVOT TABLES'!$I$26</f>
        <v>32.802000000000007</v>
      </c>
      <c r="O151" s="14">
        <f>'PIVOT TABLES'!$I$28-'PIVOT TABLES'!$I$27</f>
        <v>32.801999999999992</v>
      </c>
      <c r="P151" s="14">
        <f>200-SUM(Table3[[#This Row],[M - LIGHT]:[M - VIGOROUS]])</f>
        <v>68.792000000000002</v>
      </c>
      <c r="Q151" s="14">
        <f>'PIVOT TABLES'!$P$26</f>
        <v>62.64</v>
      </c>
      <c r="R151" s="14">
        <f>'PIVOT TABLES'!$P$27-'PIVOT TABLES'!$P$26</f>
        <v>31.320000000000007</v>
      </c>
      <c r="S151" s="14">
        <f>'PIVOT TABLES'!$P$28-'PIVOT TABLES'!$P$27</f>
        <v>31.319999999999993</v>
      </c>
      <c r="T151" s="14">
        <f>200-SUM(Table3[[#This Row],[W - LIGHT]:[W - VIGOROUS]])</f>
        <v>74.72</v>
      </c>
      <c r="U151" s="14">
        <f>'PIVOT TABLES'!$W$26</f>
        <v>55.895999999999994</v>
      </c>
      <c r="V151" s="14">
        <f>'PIVOT TABLES'!$W$27-'PIVOT TABLES'!$W$26</f>
        <v>27.948</v>
      </c>
      <c r="W151" s="14">
        <f>'PIVOT TABLES'!$W$28-'PIVOT TABLES'!$W$27</f>
        <v>27.947999999999993</v>
      </c>
      <c r="X151" s="14">
        <f>200-SUM(Table3[[#This Row],[S - LIGHT]:[S - VIGOROUS]])</f>
        <v>88.208000000000013</v>
      </c>
    </row>
    <row r="152" spans="1:24" x14ac:dyDescent="0.25">
      <c r="A152" s="17" t="s">
        <v>70</v>
      </c>
      <c r="B152" s="13" t="str">
        <f t="shared" si="2"/>
        <v>Winger</v>
      </c>
      <c r="C152" s="7">
        <v>45233.453148148146</v>
      </c>
      <c r="D152" s="14">
        <v>5994</v>
      </c>
      <c r="E152" s="14">
        <v>126</v>
      </c>
      <c r="F152" s="14">
        <v>21</v>
      </c>
      <c r="G152" s="14">
        <v>13</v>
      </c>
      <c r="H152" s="14">
        <v>64.819999999999993</v>
      </c>
      <c r="I152" s="14">
        <f>'PIVOT TABLES'!$B$26</f>
        <v>60.283999999999999</v>
      </c>
      <c r="J152" s="14">
        <f>'PIVOT TABLES'!$B$27-'PIVOT TABLES'!$B$26</f>
        <v>30.142000000000003</v>
      </c>
      <c r="K152" s="14">
        <f>'PIVOT TABLES'!$B$28-'PIVOT TABLES'!$B$27</f>
        <v>30.141999999999996</v>
      </c>
      <c r="L152" s="14">
        <f>200-SUM(Table3[[#This Row],[D - LIGHT]:[D - VIGOROUS]])</f>
        <v>79.432000000000002</v>
      </c>
      <c r="M152" s="14">
        <f>'PIVOT TABLES'!$I$26</f>
        <v>65.603999999999999</v>
      </c>
      <c r="N152" s="14">
        <f>'PIVOT TABLES'!$I$27-'PIVOT TABLES'!$I$26</f>
        <v>32.802000000000007</v>
      </c>
      <c r="O152" s="14">
        <f>'PIVOT TABLES'!$I$28-'PIVOT TABLES'!$I$27</f>
        <v>32.801999999999992</v>
      </c>
      <c r="P152" s="14">
        <f>200-SUM(Table3[[#This Row],[M - LIGHT]:[M - VIGOROUS]])</f>
        <v>68.792000000000002</v>
      </c>
      <c r="Q152" s="14">
        <f>'PIVOT TABLES'!$P$26</f>
        <v>62.64</v>
      </c>
      <c r="R152" s="14">
        <f>'PIVOT TABLES'!$P$27-'PIVOT TABLES'!$P$26</f>
        <v>31.320000000000007</v>
      </c>
      <c r="S152" s="14">
        <f>'PIVOT TABLES'!$P$28-'PIVOT TABLES'!$P$27</f>
        <v>31.319999999999993</v>
      </c>
      <c r="T152" s="14">
        <f>200-SUM(Table3[[#This Row],[W - LIGHT]:[W - VIGOROUS]])</f>
        <v>74.72</v>
      </c>
      <c r="U152" s="14">
        <f>'PIVOT TABLES'!$W$26</f>
        <v>55.895999999999994</v>
      </c>
      <c r="V152" s="14">
        <f>'PIVOT TABLES'!$W$27-'PIVOT TABLES'!$W$26</f>
        <v>27.948</v>
      </c>
      <c r="W152" s="14">
        <f>'PIVOT TABLES'!$W$28-'PIVOT TABLES'!$W$27</f>
        <v>27.947999999999993</v>
      </c>
      <c r="X152" s="14">
        <f>200-SUM(Table3[[#This Row],[S - LIGHT]:[S - VIGOROUS]])</f>
        <v>88.208000000000013</v>
      </c>
    </row>
    <row r="153" spans="1:24" x14ac:dyDescent="0.25">
      <c r="A153" s="17" t="s">
        <v>53</v>
      </c>
      <c r="B153" s="13" t="str">
        <f t="shared" si="2"/>
        <v>Midfielder</v>
      </c>
      <c r="C153" s="7">
        <v>45233.453148148146</v>
      </c>
      <c r="D153" s="14">
        <v>6427</v>
      </c>
      <c r="E153" s="14">
        <v>45</v>
      </c>
      <c r="F153" s="14">
        <v>11</v>
      </c>
      <c r="G153" s="14">
        <v>12</v>
      </c>
      <c r="H153" s="14">
        <v>66.3</v>
      </c>
      <c r="I153" s="14">
        <f>'PIVOT TABLES'!$B$26</f>
        <v>60.283999999999999</v>
      </c>
      <c r="J153" s="14">
        <f>'PIVOT TABLES'!$B$27-'PIVOT TABLES'!$B$26</f>
        <v>30.142000000000003</v>
      </c>
      <c r="K153" s="14">
        <f>'PIVOT TABLES'!$B$28-'PIVOT TABLES'!$B$27</f>
        <v>30.141999999999996</v>
      </c>
      <c r="L153" s="14">
        <f>200-SUM(Table3[[#This Row],[D - LIGHT]:[D - VIGOROUS]])</f>
        <v>79.432000000000002</v>
      </c>
      <c r="M153" s="14">
        <f>'PIVOT TABLES'!$I$26</f>
        <v>65.603999999999999</v>
      </c>
      <c r="N153" s="14">
        <f>'PIVOT TABLES'!$I$27-'PIVOT TABLES'!$I$26</f>
        <v>32.802000000000007</v>
      </c>
      <c r="O153" s="14">
        <f>'PIVOT TABLES'!$I$28-'PIVOT TABLES'!$I$27</f>
        <v>32.801999999999992</v>
      </c>
      <c r="P153" s="14">
        <f>200-SUM(Table3[[#This Row],[M - LIGHT]:[M - VIGOROUS]])</f>
        <v>68.792000000000002</v>
      </c>
      <c r="Q153" s="14">
        <f>'PIVOT TABLES'!$P$26</f>
        <v>62.64</v>
      </c>
      <c r="R153" s="14">
        <f>'PIVOT TABLES'!$P$27-'PIVOT TABLES'!$P$26</f>
        <v>31.320000000000007</v>
      </c>
      <c r="S153" s="14">
        <f>'PIVOT TABLES'!$P$28-'PIVOT TABLES'!$P$27</f>
        <v>31.319999999999993</v>
      </c>
      <c r="T153" s="14">
        <f>200-SUM(Table3[[#This Row],[W - LIGHT]:[W - VIGOROUS]])</f>
        <v>74.72</v>
      </c>
      <c r="U153" s="14">
        <f>'PIVOT TABLES'!$W$26</f>
        <v>55.895999999999994</v>
      </c>
      <c r="V153" s="14">
        <f>'PIVOT TABLES'!$W$27-'PIVOT TABLES'!$W$26</f>
        <v>27.948</v>
      </c>
      <c r="W153" s="14">
        <f>'PIVOT TABLES'!$W$28-'PIVOT TABLES'!$W$27</f>
        <v>27.947999999999993</v>
      </c>
      <c r="X153" s="14">
        <f>200-SUM(Table3[[#This Row],[S - LIGHT]:[S - VIGOROUS]])</f>
        <v>88.208000000000013</v>
      </c>
    </row>
    <row r="154" spans="1:24" x14ac:dyDescent="0.25">
      <c r="A154" s="17" t="s">
        <v>54</v>
      </c>
      <c r="B154" s="13" t="str">
        <f t="shared" si="2"/>
        <v>Striker</v>
      </c>
      <c r="C154" s="7">
        <v>45233.453148148146</v>
      </c>
      <c r="D154" s="14">
        <v>3208</v>
      </c>
      <c r="E154" s="14">
        <v>45</v>
      </c>
      <c r="F154" s="14">
        <v>9</v>
      </c>
      <c r="G154" s="14">
        <v>10</v>
      </c>
      <c r="H154" s="14">
        <v>33.99</v>
      </c>
      <c r="I154" s="14">
        <f>'PIVOT TABLES'!$B$26</f>
        <v>60.283999999999999</v>
      </c>
      <c r="J154" s="14">
        <f>'PIVOT TABLES'!$B$27-'PIVOT TABLES'!$B$26</f>
        <v>30.142000000000003</v>
      </c>
      <c r="K154" s="14">
        <f>'PIVOT TABLES'!$B$28-'PIVOT TABLES'!$B$27</f>
        <v>30.141999999999996</v>
      </c>
      <c r="L154" s="14">
        <f>200-SUM(Table3[[#This Row],[D - LIGHT]:[D - VIGOROUS]])</f>
        <v>79.432000000000002</v>
      </c>
      <c r="M154" s="14">
        <f>'PIVOT TABLES'!$I$26</f>
        <v>65.603999999999999</v>
      </c>
      <c r="N154" s="14">
        <f>'PIVOT TABLES'!$I$27-'PIVOT TABLES'!$I$26</f>
        <v>32.802000000000007</v>
      </c>
      <c r="O154" s="14">
        <f>'PIVOT TABLES'!$I$28-'PIVOT TABLES'!$I$27</f>
        <v>32.801999999999992</v>
      </c>
      <c r="P154" s="14">
        <f>200-SUM(Table3[[#This Row],[M - LIGHT]:[M - VIGOROUS]])</f>
        <v>68.792000000000002</v>
      </c>
      <c r="Q154" s="14">
        <f>'PIVOT TABLES'!$P$26</f>
        <v>62.64</v>
      </c>
      <c r="R154" s="14">
        <f>'PIVOT TABLES'!$P$27-'PIVOT TABLES'!$P$26</f>
        <v>31.320000000000007</v>
      </c>
      <c r="S154" s="14">
        <f>'PIVOT TABLES'!$P$28-'PIVOT TABLES'!$P$27</f>
        <v>31.319999999999993</v>
      </c>
      <c r="T154" s="14">
        <f>200-SUM(Table3[[#This Row],[W - LIGHT]:[W - VIGOROUS]])</f>
        <v>74.72</v>
      </c>
      <c r="U154" s="14">
        <f>'PIVOT TABLES'!$W$26</f>
        <v>55.895999999999994</v>
      </c>
      <c r="V154" s="14">
        <f>'PIVOT TABLES'!$W$27-'PIVOT TABLES'!$W$26</f>
        <v>27.948</v>
      </c>
      <c r="W154" s="14">
        <f>'PIVOT TABLES'!$W$28-'PIVOT TABLES'!$W$27</f>
        <v>27.947999999999993</v>
      </c>
      <c r="X154" s="14">
        <f>200-SUM(Table3[[#This Row],[S - LIGHT]:[S - VIGOROUS]])</f>
        <v>88.208000000000013</v>
      </c>
    </row>
    <row r="155" spans="1:24" x14ac:dyDescent="0.25">
      <c r="A155" s="17" t="s">
        <v>55</v>
      </c>
      <c r="B155" s="13" t="str">
        <f t="shared" si="2"/>
        <v>Striker</v>
      </c>
      <c r="C155" s="7">
        <v>45233.453148148146</v>
      </c>
      <c r="D155" s="14">
        <v>3212</v>
      </c>
      <c r="E155" s="14">
        <v>51</v>
      </c>
      <c r="F155" s="14">
        <v>8</v>
      </c>
      <c r="G155" s="14">
        <v>14</v>
      </c>
      <c r="H155" s="14">
        <v>34.25</v>
      </c>
      <c r="I155" s="14">
        <f>'PIVOT TABLES'!$B$26</f>
        <v>60.283999999999999</v>
      </c>
      <c r="J155" s="14">
        <f>'PIVOT TABLES'!$B$27-'PIVOT TABLES'!$B$26</f>
        <v>30.142000000000003</v>
      </c>
      <c r="K155" s="14">
        <f>'PIVOT TABLES'!$B$28-'PIVOT TABLES'!$B$27</f>
        <v>30.141999999999996</v>
      </c>
      <c r="L155" s="14">
        <f>200-SUM(Table3[[#This Row],[D - LIGHT]:[D - VIGOROUS]])</f>
        <v>79.432000000000002</v>
      </c>
      <c r="M155" s="14">
        <f>'PIVOT TABLES'!$I$26</f>
        <v>65.603999999999999</v>
      </c>
      <c r="N155" s="14">
        <f>'PIVOT TABLES'!$I$27-'PIVOT TABLES'!$I$26</f>
        <v>32.802000000000007</v>
      </c>
      <c r="O155" s="14">
        <f>'PIVOT TABLES'!$I$28-'PIVOT TABLES'!$I$27</f>
        <v>32.801999999999992</v>
      </c>
      <c r="P155" s="14">
        <f>200-SUM(Table3[[#This Row],[M - LIGHT]:[M - VIGOROUS]])</f>
        <v>68.792000000000002</v>
      </c>
      <c r="Q155" s="14">
        <f>'PIVOT TABLES'!$P$26</f>
        <v>62.64</v>
      </c>
      <c r="R155" s="14">
        <f>'PIVOT TABLES'!$P$27-'PIVOT TABLES'!$P$26</f>
        <v>31.320000000000007</v>
      </c>
      <c r="S155" s="14">
        <f>'PIVOT TABLES'!$P$28-'PIVOT TABLES'!$P$27</f>
        <v>31.319999999999993</v>
      </c>
      <c r="T155" s="14">
        <f>200-SUM(Table3[[#This Row],[W - LIGHT]:[W - VIGOROUS]])</f>
        <v>74.72</v>
      </c>
      <c r="U155" s="14">
        <f>'PIVOT TABLES'!$W$26</f>
        <v>55.895999999999994</v>
      </c>
      <c r="V155" s="14">
        <f>'PIVOT TABLES'!$W$27-'PIVOT TABLES'!$W$26</f>
        <v>27.948</v>
      </c>
      <c r="W155" s="14">
        <f>'PIVOT TABLES'!$W$28-'PIVOT TABLES'!$W$27</f>
        <v>27.947999999999993</v>
      </c>
      <c r="X155" s="14">
        <f>200-SUM(Table3[[#This Row],[S - LIGHT]:[S - VIGOROUS]])</f>
        <v>88.208000000000013</v>
      </c>
    </row>
    <row r="156" spans="1:24" x14ac:dyDescent="0.25">
      <c r="A156" s="17" t="s">
        <v>1</v>
      </c>
      <c r="B156" s="13" t="str">
        <f t="shared" si="2"/>
        <v>Defender</v>
      </c>
      <c r="C156" s="7">
        <v>45233.453148148146</v>
      </c>
      <c r="D156" s="14">
        <v>5056</v>
      </c>
      <c r="E156" s="14">
        <v>0</v>
      </c>
      <c r="F156" s="14">
        <v>7</v>
      </c>
      <c r="G156" s="14">
        <v>6</v>
      </c>
      <c r="H156" s="14">
        <v>50.96</v>
      </c>
      <c r="I156" s="14">
        <f>'PIVOT TABLES'!$B$26</f>
        <v>60.283999999999999</v>
      </c>
      <c r="J156" s="14">
        <f>'PIVOT TABLES'!$B$27-'PIVOT TABLES'!$B$26</f>
        <v>30.142000000000003</v>
      </c>
      <c r="K156" s="14">
        <f>'PIVOT TABLES'!$B$28-'PIVOT TABLES'!$B$27</f>
        <v>30.141999999999996</v>
      </c>
      <c r="L156" s="14">
        <f>200-SUM(Table3[[#This Row],[D - LIGHT]:[D - VIGOROUS]])</f>
        <v>79.432000000000002</v>
      </c>
      <c r="M156" s="14">
        <f>'PIVOT TABLES'!$I$26</f>
        <v>65.603999999999999</v>
      </c>
      <c r="N156" s="14">
        <f>'PIVOT TABLES'!$I$27-'PIVOT TABLES'!$I$26</f>
        <v>32.802000000000007</v>
      </c>
      <c r="O156" s="14">
        <f>'PIVOT TABLES'!$I$28-'PIVOT TABLES'!$I$27</f>
        <v>32.801999999999992</v>
      </c>
      <c r="P156" s="14">
        <f>200-SUM(Table3[[#This Row],[M - LIGHT]:[M - VIGOROUS]])</f>
        <v>68.792000000000002</v>
      </c>
      <c r="Q156" s="14">
        <f>'PIVOT TABLES'!$P$26</f>
        <v>62.64</v>
      </c>
      <c r="R156" s="14">
        <f>'PIVOT TABLES'!$P$27-'PIVOT TABLES'!$P$26</f>
        <v>31.320000000000007</v>
      </c>
      <c r="S156" s="14">
        <f>'PIVOT TABLES'!$P$28-'PIVOT TABLES'!$P$27</f>
        <v>31.319999999999993</v>
      </c>
      <c r="T156" s="14">
        <f>200-SUM(Table3[[#This Row],[W - LIGHT]:[W - VIGOROUS]])</f>
        <v>74.72</v>
      </c>
      <c r="U156" s="14">
        <f>'PIVOT TABLES'!$W$26</f>
        <v>55.895999999999994</v>
      </c>
      <c r="V156" s="14">
        <f>'PIVOT TABLES'!$W$27-'PIVOT TABLES'!$W$26</f>
        <v>27.948</v>
      </c>
      <c r="W156" s="14">
        <f>'PIVOT TABLES'!$W$28-'PIVOT TABLES'!$W$27</f>
        <v>27.947999999999993</v>
      </c>
      <c r="X156" s="14">
        <f>200-SUM(Table3[[#This Row],[S - LIGHT]:[S - VIGOROUS]])</f>
        <v>88.208000000000013</v>
      </c>
    </row>
    <row r="157" spans="1:24" x14ac:dyDescent="0.25">
      <c r="A157" s="17" t="s">
        <v>56</v>
      </c>
      <c r="B157" s="13" t="str">
        <f t="shared" si="2"/>
        <v>Midfielder</v>
      </c>
      <c r="C157" s="7">
        <v>45233.453148148146</v>
      </c>
      <c r="D157" s="14">
        <v>5867</v>
      </c>
      <c r="E157" s="14">
        <v>20</v>
      </c>
      <c r="F157" s="14">
        <v>12</v>
      </c>
      <c r="G157" s="14">
        <v>8</v>
      </c>
      <c r="H157" s="14">
        <v>59.91</v>
      </c>
      <c r="I157" s="14">
        <f>'PIVOT TABLES'!$B$26</f>
        <v>60.283999999999999</v>
      </c>
      <c r="J157" s="14">
        <f>'PIVOT TABLES'!$B$27-'PIVOT TABLES'!$B$26</f>
        <v>30.142000000000003</v>
      </c>
      <c r="K157" s="14">
        <f>'PIVOT TABLES'!$B$28-'PIVOT TABLES'!$B$27</f>
        <v>30.141999999999996</v>
      </c>
      <c r="L157" s="14">
        <f>200-SUM(Table3[[#This Row],[D - LIGHT]:[D - VIGOROUS]])</f>
        <v>79.432000000000002</v>
      </c>
      <c r="M157" s="14">
        <f>'PIVOT TABLES'!$I$26</f>
        <v>65.603999999999999</v>
      </c>
      <c r="N157" s="14">
        <f>'PIVOT TABLES'!$I$27-'PIVOT TABLES'!$I$26</f>
        <v>32.802000000000007</v>
      </c>
      <c r="O157" s="14">
        <f>'PIVOT TABLES'!$I$28-'PIVOT TABLES'!$I$27</f>
        <v>32.801999999999992</v>
      </c>
      <c r="P157" s="14">
        <f>200-SUM(Table3[[#This Row],[M - LIGHT]:[M - VIGOROUS]])</f>
        <v>68.792000000000002</v>
      </c>
      <c r="Q157" s="14">
        <f>'PIVOT TABLES'!$P$26</f>
        <v>62.64</v>
      </c>
      <c r="R157" s="14">
        <f>'PIVOT TABLES'!$P$27-'PIVOT TABLES'!$P$26</f>
        <v>31.320000000000007</v>
      </c>
      <c r="S157" s="14">
        <f>'PIVOT TABLES'!$P$28-'PIVOT TABLES'!$P$27</f>
        <v>31.319999999999993</v>
      </c>
      <c r="T157" s="14">
        <f>200-SUM(Table3[[#This Row],[W - LIGHT]:[W - VIGOROUS]])</f>
        <v>74.72</v>
      </c>
      <c r="U157" s="14">
        <f>'PIVOT TABLES'!$W$26</f>
        <v>55.895999999999994</v>
      </c>
      <c r="V157" s="14">
        <f>'PIVOT TABLES'!$W$27-'PIVOT TABLES'!$W$26</f>
        <v>27.948</v>
      </c>
      <c r="W157" s="14">
        <f>'PIVOT TABLES'!$W$28-'PIVOT TABLES'!$W$27</f>
        <v>27.947999999999993</v>
      </c>
      <c r="X157" s="14">
        <f>200-SUM(Table3[[#This Row],[S - LIGHT]:[S - VIGOROUS]])</f>
        <v>88.208000000000013</v>
      </c>
    </row>
    <row r="158" spans="1:24" x14ac:dyDescent="0.25">
      <c r="A158" s="17" t="s">
        <v>2</v>
      </c>
      <c r="B158" s="13" t="str">
        <f t="shared" si="2"/>
        <v>Defender</v>
      </c>
      <c r="C158" s="7">
        <v>45233.453148148146</v>
      </c>
      <c r="D158" s="14">
        <v>5654</v>
      </c>
      <c r="E158" s="14">
        <v>137</v>
      </c>
      <c r="F158" s="14">
        <v>21</v>
      </c>
      <c r="G158" s="14">
        <v>22</v>
      </c>
      <c r="H158" s="14">
        <v>61.93</v>
      </c>
      <c r="I158" s="14">
        <f>'PIVOT TABLES'!$B$26</f>
        <v>60.283999999999999</v>
      </c>
      <c r="J158" s="14">
        <f>'PIVOT TABLES'!$B$27-'PIVOT TABLES'!$B$26</f>
        <v>30.142000000000003</v>
      </c>
      <c r="K158" s="14">
        <f>'PIVOT TABLES'!$B$28-'PIVOT TABLES'!$B$27</f>
        <v>30.141999999999996</v>
      </c>
      <c r="L158" s="14">
        <f>200-SUM(Table3[[#This Row],[D - LIGHT]:[D - VIGOROUS]])</f>
        <v>79.432000000000002</v>
      </c>
      <c r="M158" s="14">
        <f>'PIVOT TABLES'!$I$26</f>
        <v>65.603999999999999</v>
      </c>
      <c r="N158" s="14">
        <f>'PIVOT TABLES'!$I$27-'PIVOT TABLES'!$I$26</f>
        <v>32.802000000000007</v>
      </c>
      <c r="O158" s="14">
        <f>'PIVOT TABLES'!$I$28-'PIVOT TABLES'!$I$27</f>
        <v>32.801999999999992</v>
      </c>
      <c r="P158" s="14">
        <f>200-SUM(Table3[[#This Row],[M - LIGHT]:[M - VIGOROUS]])</f>
        <v>68.792000000000002</v>
      </c>
      <c r="Q158" s="14">
        <f>'PIVOT TABLES'!$P$26</f>
        <v>62.64</v>
      </c>
      <c r="R158" s="14">
        <f>'PIVOT TABLES'!$P$27-'PIVOT TABLES'!$P$26</f>
        <v>31.320000000000007</v>
      </c>
      <c r="S158" s="14">
        <f>'PIVOT TABLES'!$P$28-'PIVOT TABLES'!$P$27</f>
        <v>31.319999999999993</v>
      </c>
      <c r="T158" s="14">
        <f>200-SUM(Table3[[#This Row],[W - LIGHT]:[W - VIGOROUS]])</f>
        <v>74.72</v>
      </c>
      <c r="U158" s="14">
        <f>'PIVOT TABLES'!$W$26</f>
        <v>55.895999999999994</v>
      </c>
      <c r="V158" s="14">
        <f>'PIVOT TABLES'!$W$27-'PIVOT TABLES'!$W$26</f>
        <v>27.948</v>
      </c>
      <c r="W158" s="14">
        <f>'PIVOT TABLES'!$W$28-'PIVOT TABLES'!$W$27</f>
        <v>27.947999999999993</v>
      </c>
      <c r="X158" s="14">
        <f>200-SUM(Table3[[#This Row],[S - LIGHT]:[S - VIGOROUS]])</f>
        <v>88.208000000000013</v>
      </c>
    </row>
    <row r="159" spans="1:24" x14ac:dyDescent="0.25">
      <c r="A159" s="17" t="s">
        <v>3</v>
      </c>
      <c r="B159" s="13" t="str">
        <f t="shared" si="2"/>
        <v>Defender</v>
      </c>
      <c r="C159" s="7">
        <v>45233.453148148146</v>
      </c>
      <c r="D159" s="14">
        <v>6176</v>
      </c>
      <c r="E159" s="14">
        <v>216</v>
      </c>
      <c r="F159" s="14">
        <v>19</v>
      </c>
      <c r="G159" s="14">
        <v>25</v>
      </c>
      <c r="H159" s="14">
        <v>69.5</v>
      </c>
      <c r="I159" s="14">
        <f>'PIVOT TABLES'!$B$26</f>
        <v>60.283999999999999</v>
      </c>
      <c r="J159" s="14">
        <f>'PIVOT TABLES'!$B$27-'PIVOT TABLES'!$B$26</f>
        <v>30.142000000000003</v>
      </c>
      <c r="K159" s="14">
        <f>'PIVOT TABLES'!$B$28-'PIVOT TABLES'!$B$27</f>
        <v>30.141999999999996</v>
      </c>
      <c r="L159" s="14">
        <f>200-SUM(Table3[[#This Row],[D - LIGHT]:[D - VIGOROUS]])</f>
        <v>79.432000000000002</v>
      </c>
      <c r="M159" s="14">
        <f>'PIVOT TABLES'!$I$26</f>
        <v>65.603999999999999</v>
      </c>
      <c r="N159" s="14">
        <f>'PIVOT TABLES'!$I$27-'PIVOT TABLES'!$I$26</f>
        <v>32.802000000000007</v>
      </c>
      <c r="O159" s="14">
        <f>'PIVOT TABLES'!$I$28-'PIVOT TABLES'!$I$27</f>
        <v>32.801999999999992</v>
      </c>
      <c r="P159" s="14">
        <f>200-SUM(Table3[[#This Row],[M - LIGHT]:[M - VIGOROUS]])</f>
        <v>68.792000000000002</v>
      </c>
      <c r="Q159" s="14">
        <f>'PIVOT TABLES'!$P$26</f>
        <v>62.64</v>
      </c>
      <c r="R159" s="14">
        <f>'PIVOT TABLES'!$P$27-'PIVOT TABLES'!$P$26</f>
        <v>31.320000000000007</v>
      </c>
      <c r="S159" s="14">
        <f>'PIVOT TABLES'!$P$28-'PIVOT TABLES'!$P$27</f>
        <v>31.319999999999993</v>
      </c>
      <c r="T159" s="14">
        <f>200-SUM(Table3[[#This Row],[W - LIGHT]:[W - VIGOROUS]])</f>
        <v>74.72</v>
      </c>
      <c r="U159" s="14">
        <f>'PIVOT TABLES'!$W$26</f>
        <v>55.895999999999994</v>
      </c>
      <c r="V159" s="14">
        <f>'PIVOT TABLES'!$W$27-'PIVOT TABLES'!$W$26</f>
        <v>27.948</v>
      </c>
      <c r="W159" s="14">
        <f>'PIVOT TABLES'!$W$28-'PIVOT TABLES'!$W$27</f>
        <v>27.947999999999993</v>
      </c>
      <c r="X159" s="14">
        <f>200-SUM(Table3[[#This Row],[S - LIGHT]:[S - VIGOROUS]])</f>
        <v>88.208000000000013</v>
      </c>
    </row>
    <row r="160" spans="1:24" x14ac:dyDescent="0.25">
      <c r="A160" s="17" t="s">
        <v>59</v>
      </c>
      <c r="B160" s="13" t="str">
        <f t="shared" si="2"/>
        <v>Striker</v>
      </c>
      <c r="C160" s="7">
        <v>45233.453148148146</v>
      </c>
      <c r="D160" s="14">
        <v>5716</v>
      </c>
      <c r="E160" s="14">
        <v>194</v>
      </c>
      <c r="F160" s="14">
        <v>25</v>
      </c>
      <c r="G160" s="14">
        <v>16</v>
      </c>
      <c r="H160" s="14">
        <v>64.3</v>
      </c>
      <c r="I160" s="14">
        <f>'PIVOT TABLES'!$B$26</f>
        <v>60.283999999999999</v>
      </c>
      <c r="J160" s="14">
        <f>'PIVOT TABLES'!$B$27-'PIVOT TABLES'!$B$26</f>
        <v>30.142000000000003</v>
      </c>
      <c r="K160" s="14">
        <f>'PIVOT TABLES'!$B$28-'PIVOT TABLES'!$B$27</f>
        <v>30.141999999999996</v>
      </c>
      <c r="L160" s="14">
        <f>200-SUM(Table3[[#This Row],[D - LIGHT]:[D - VIGOROUS]])</f>
        <v>79.432000000000002</v>
      </c>
      <c r="M160" s="14">
        <f>'PIVOT TABLES'!$I$26</f>
        <v>65.603999999999999</v>
      </c>
      <c r="N160" s="14">
        <f>'PIVOT TABLES'!$I$27-'PIVOT TABLES'!$I$26</f>
        <v>32.802000000000007</v>
      </c>
      <c r="O160" s="14">
        <f>'PIVOT TABLES'!$I$28-'PIVOT TABLES'!$I$27</f>
        <v>32.801999999999992</v>
      </c>
      <c r="P160" s="14">
        <f>200-SUM(Table3[[#This Row],[M - LIGHT]:[M - VIGOROUS]])</f>
        <v>68.792000000000002</v>
      </c>
      <c r="Q160" s="14">
        <f>'PIVOT TABLES'!$P$26</f>
        <v>62.64</v>
      </c>
      <c r="R160" s="14">
        <f>'PIVOT TABLES'!$P$27-'PIVOT TABLES'!$P$26</f>
        <v>31.320000000000007</v>
      </c>
      <c r="S160" s="14">
        <f>'PIVOT TABLES'!$P$28-'PIVOT TABLES'!$P$27</f>
        <v>31.319999999999993</v>
      </c>
      <c r="T160" s="14">
        <f>200-SUM(Table3[[#This Row],[W - LIGHT]:[W - VIGOROUS]])</f>
        <v>74.72</v>
      </c>
      <c r="U160" s="14">
        <f>'PIVOT TABLES'!$W$26</f>
        <v>55.895999999999994</v>
      </c>
      <c r="V160" s="14">
        <f>'PIVOT TABLES'!$W$27-'PIVOT TABLES'!$W$26</f>
        <v>27.948</v>
      </c>
      <c r="W160" s="14">
        <f>'PIVOT TABLES'!$W$28-'PIVOT TABLES'!$W$27</f>
        <v>27.947999999999993</v>
      </c>
      <c r="X160" s="14">
        <f>200-SUM(Table3[[#This Row],[S - LIGHT]:[S - VIGOROUS]])</f>
        <v>88.208000000000013</v>
      </c>
    </row>
    <row r="161" spans="1:24" x14ac:dyDescent="0.25">
      <c r="A161" s="17" t="s">
        <v>4</v>
      </c>
      <c r="B161" s="13" t="str">
        <f t="shared" si="2"/>
        <v>Midfielder</v>
      </c>
      <c r="C161" s="7">
        <v>45233.453148148146</v>
      </c>
      <c r="D161" s="14">
        <v>3497</v>
      </c>
      <c r="E161" s="14">
        <v>10</v>
      </c>
      <c r="F161" s="14">
        <v>3</v>
      </c>
      <c r="G161" s="14">
        <v>9</v>
      </c>
      <c r="H161" s="14">
        <v>35.57</v>
      </c>
      <c r="I161" s="14">
        <f>'PIVOT TABLES'!$B$26</f>
        <v>60.283999999999999</v>
      </c>
      <c r="J161" s="14">
        <f>'PIVOT TABLES'!$B$27-'PIVOT TABLES'!$B$26</f>
        <v>30.142000000000003</v>
      </c>
      <c r="K161" s="14">
        <f>'PIVOT TABLES'!$B$28-'PIVOT TABLES'!$B$27</f>
        <v>30.141999999999996</v>
      </c>
      <c r="L161" s="14">
        <f>200-SUM(Table3[[#This Row],[D - LIGHT]:[D - VIGOROUS]])</f>
        <v>79.432000000000002</v>
      </c>
      <c r="M161" s="14">
        <f>'PIVOT TABLES'!$I$26</f>
        <v>65.603999999999999</v>
      </c>
      <c r="N161" s="14">
        <f>'PIVOT TABLES'!$I$27-'PIVOT TABLES'!$I$26</f>
        <v>32.802000000000007</v>
      </c>
      <c r="O161" s="14">
        <f>'PIVOT TABLES'!$I$28-'PIVOT TABLES'!$I$27</f>
        <v>32.801999999999992</v>
      </c>
      <c r="P161" s="14">
        <f>200-SUM(Table3[[#This Row],[M - LIGHT]:[M - VIGOROUS]])</f>
        <v>68.792000000000002</v>
      </c>
      <c r="Q161" s="14">
        <f>'PIVOT TABLES'!$P$26</f>
        <v>62.64</v>
      </c>
      <c r="R161" s="14">
        <f>'PIVOT TABLES'!$P$27-'PIVOT TABLES'!$P$26</f>
        <v>31.320000000000007</v>
      </c>
      <c r="S161" s="14">
        <f>'PIVOT TABLES'!$P$28-'PIVOT TABLES'!$P$27</f>
        <v>31.319999999999993</v>
      </c>
      <c r="T161" s="14">
        <f>200-SUM(Table3[[#This Row],[W - LIGHT]:[W - VIGOROUS]])</f>
        <v>74.72</v>
      </c>
      <c r="U161" s="14">
        <f>'PIVOT TABLES'!$W$26</f>
        <v>55.895999999999994</v>
      </c>
      <c r="V161" s="14">
        <f>'PIVOT TABLES'!$W$27-'PIVOT TABLES'!$W$26</f>
        <v>27.948</v>
      </c>
      <c r="W161" s="14">
        <f>'PIVOT TABLES'!$W$28-'PIVOT TABLES'!$W$27</f>
        <v>27.947999999999993</v>
      </c>
      <c r="X161" s="14">
        <f>200-SUM(Table3[[#This Row],[S - LIGHT]:[S - VIGOROUS]])</f>
        <v>88.208000000000013</v>
      </c>
    </row>
    <row r="162" spans="1:24" x14ac:dyDescent="0.25">
      <c r="A162" s="17" t="s">
        <v>60</v>
      </c>
      <c r="B162" s="13" t="str">
        <f t="shared" si="2"/>
        <v>Winger</v>
      </c>
      <c r="C162" s="7">
        <v>45233.453148148146</v>
      </c>
      <c r="D162" s="14">
        <v>6605</v>
      </c>
      <c r="E162" s="14">
        <v>151</v>
      </c>
      <c r="F162" s="14">
        <v>28</v>
      </c>
      <c r="G162" s="14">
        <v>25</v>
      </c>
      <c r="H162" s="14">
        <v>72.2</v>
      </c>
      <c r="I162" s="14">
        <f>'PIVOT TABLES'!$B$26</f>
        <v>60.283999999999999</v>
      </c>
      <c r="J162" s="14">
        <f>'PIVOT TABLES'!$B$27-'PIVOT TABLES'!$B$26</f>
        <v>30.142000000000003</v>
      </c>
      <c r="K162" s="14">
        <f>'PIVOT TABLES'!$B$28-'PIVOT TABLES'!$B$27</f>
        <v>30.141999999999996</v>
      </c>
      <c r="L162" s="14">
        <f>200-SUM(Table3[[#This Row],[D - LIGHT]:[D - VIGOROUS]])</f>
        <v>79.432000000000002</v>
      </c>
      <c r="M162" s="14">
        <f>'PIVOT TABLES'!$I$26</f>
        <v>65.603999999999999</v>
      </c>
      <c r="N162" s="14">
        <f>'PIVOT TABLES'!$I$27-'PIVOT TABLES'!$I$26</f>
        <v>32.802000000000007</v>
      </c>
      <c r="O162" s="14">
        <f>'PIVOT TABLES'!$I$28-'PIVOT TABLES'!$I$27</f>
        <v>32.801999999999992</v>
      </c>
      <c r="P162" s="14">
        <f>200-SUM(Table3[[#This Row],[M - LIGHT]:[M - VIGOROUS]])</f>
        <v>68.792000000000002</v>
      </c>
      <c r="Q162" s="14">
        <f>'PIVOT TABLES'!$P$26</f>
        <v>62.64</v>
      </c>
      <c r="R162" s="14">
        <f>'PIVOT TABLES'!$P$27-'PIVOT TABLES'!$P$26</f>
        <v>31.320000000000007</v>
      </c>
      <c r="S162" s="14">
        <f>'PIVOT TABLES'!$P$28-'PIVOT TABLES'!$P$27</f>
        <v>31.319999999999993</v>
      </c>
      <c r="T162" s="14">
        <f>200-SUM(Table3[[#This Row],[W - LIGHT]:[W - VIGOROUS]])</f>
        <v>74.72</v>
      </c>
      <c r="U162" s="14">
        <f>'PIVOT TABLES'!$W$26</f>
        <v>55.895999999999994</v>
      </c>
      <c r="V162" s="14">
        <f>'PIVOT TABLES'!$W$27-'PIVOT TABLES'!$W$26</f>
        <v>27.948</v>
      </c>
      <c r="W162" s="14">
        <f>'PIVOT TABLES'!$W$28-'PIVOT TABLES'!$W$27</f>
        <v>27.947999999999993</v>
      </c>
      <c r="X162" s="14">
        <f>200-SUM(Table3[[#This Row],[S - LIGHT]:[S - VIGOROUS]])</f>
        <v>88.208000000000013</v>
      </c>
    </row>
    <row r="163" spans="1:24" x14ac:dyDescent="0.25">
      <c r="A163" s="17" t="s">
        <v>61</v>
      </c>
      <c r="B163" s="13" t="str">
        <f t="shared" si="2"/>
        <v>####</v>
      </c>
      <c r="C163" s="7">
        <v>45233.453148148146</v>
      </c>
      <c r="D163" s="14">
        <v>3380</v>
      </c>
      <c r="E163" s="14">
        <v>0</v>
      </c>
      <c r="F163" s="14">
        <v>7</v>
      </c>
      <c r="G163" s="14">
        <v>2</v>
      </c>
      <c r="H163" s="14">
        <v>34.119999999999997</v>
      </c>
      <c r="I163" s="14">
        <f>'PIVOT TABLES'!$B$26</f>
        <v>60.283999999999999</v>
      </c>
      <c r="J163" s="14">
        <f>'PIVOT TABLES'!$B$27-'PIVOT TABLES'!$B$26</f>
        <v>30.142000000000003</v>
      </c>
      <c r="K163" s="14">
        <f>'PIVOT TABLES'!$B$28-'PIVOT TABLES'!$B$27</f>
        <v>30.141999999999996</v>
      </c>
      <c r="L163" s="14">
        <f>200-SUM(Table3[[#This Row],[D - LIGHT]:[D - VIGOROUS]])</f>
        <v>79.432000000000002</v>
      </c>
      <c r="M163" s="14">
        <f>'PIVOT TABLES'!$I$26</f>
        <v>65.603999999999999</v>
      </c>
      <c r="N163" s="14">
        <f>'PIVOT TABLES'!$I$27-'PIVOT TABLES'!$I$26</f>
        <v>32.802000000000007</v>
      </c>
      <c r="O163" s="14">
        <f>'PIVOT TABLES'!$I$28-'PIVOT TABLES'!$I$27</f>
        <v>32.801999999999992</v>
      </c>
      <c r="P163" s="14">
        <f>200-SUM(Table3[[#This Row],[M - LIGHT]:[M - VIGOROUS]])</f>
        <v>68.792000000000002</v>
      </c>
      <c r="Q163" s="14">
        <f>'PIVOT TABLES'!$P$26</f>
        <v>62.64</v>
      </c>
      <c r="R163" s="14">
        <f>'PIVOT TABLES'!$P$27-'PIVOT TABLES'!$P$26</f>
        <v>31.320000000000007</v>
      </c>
      <c r="S163" s="14">
        <f>'PIVOT TABLES'!$P$28-'PIVOT TABLES'!$P$27</f>
        <v>31.319999999999993</v>
      </c>
      <c r="T163" s="14">
        <f>200-SUM(Table3[[#This Row],[W - LIGHT]:[W - VIGOROUS]])</f>
        <v>74.72</v>
      </c>
      <c r="U163" s="14">
        <f>'PIVOT TABLES'!$W$26</f>
        <v>55.895999999999994</v>
      </c>
      <c r="V163" s="14">
        <f>'PIVOT TABLES'!$W$27-'PIVOT TABLES'!$W$26</f>
        <v>27.948</v>
      </c>
      <c r="W163" s="14">
        <f>'PIVOT TABLES'!$W$28-'PIVOT TABLES'!$W$27</f>
        <v>27.947999999999993</v>
      </c>
      <c r="X163" s="14">
        <f>200-SUM(Table3[[#This Row],[S - LIGHT]:[S - VIGOROUS]])</f>
        <v>88.208000000000013</v>
      </c>
    </row>
    <row r="164" spans="1:24" x14ac:dyDescent="0.25">
      <c r="A164" s="17" t="s">
        <v>71</v>
      </c>
      <c r="B164" s="13" t="str">
        <f t="shared" si="2"/>
        <v>Midfielder</v>
      </c>
      <c r="C164" s="7">
        <v>45233.453148148146</v>
      </c>
      <c r="D164" s="14">
        <v>6186</v>
      </c>
      <c r="E164" s="14">
        <v>91</v>
      </c>
      <c r="F164" s="14">
        <v>17</v>
      </c>
      <c r="G164" s="14">
        <v>9</v>
      </c>
      <c r="H164" s="14">
        <v>65.45</v>
      </c>
      <c r="I164" s="14">
        <f>'PIVOT TABLES'!$B$26</f>
        <v>60.283999999999999</v>
      </c>
      <c r="J164" s="14">
        <f>'PIVOT TABLES'!$B$27-'PIVOT TABLES'!$B$26</f>
        <v>30.142000000000003</v>
      </c>
      <c r="K164" s="14">
        <f>'PIVOT TABLES'!$B$28-'PIVOT TABLES'!$B$27</f>
        <v>30.141999999999996</v>
      </c>
      <c r="L164" s="14">
        <f>200-SUM(Table3[[#This Row],[D - LIGHT]:[D - VIGOROUS]])</f>
        <v>79.432000000000002</v>
      </c>
      <c r="M164" s="14">
        <f>'PIVOT TABLES'!$I$26</f>
        <v>65.603999999999999</v>
      </c>
      <c r="N164" s="14">
        <f>'PIVOT TABLES'!$I$27-'PIVOT TABLES'!$I$26</f>
        <v>32.802000000000007</v>
      </c>
      <c r="O164" s="14">
        <f>'PIVOT TABLES'!$I$28-'PIVOT TABLES'!$I$27</f>
        <v>32.801999999999992</v>
      </c>
      <c r="P164" s="14">
        <f>200-SUM(Table3[[#This Row],[M - LIGHT]:[M - VIGOROUS]])</f>
        <v>68.792000000000002</v>
      </c>
      <c r="Q164" s="14">
        <f>'PIVOT TABLES'!$P$26</f>
        <v>62.64</v>
      </c>
      <c r="R164" s="14">
        <f>'PIVOT TABLES'!$P$27-'PIVOT TABLES'!$P$26</f>
        <v>31.320000000000007</v>
      </c>
      <c r="S164" s="14">
        <f>'PIVOT TABLES'!$P$28-'PIVOT TABLES'!$P$27</f>
        <v>31.319999999999993</v>
      </c>
      <c r="T164" s="14">
        <f>200-SUM(Table3[[#This Row],[W - LIGHT]:[W - VIGOROUS]])</f>
        <v>74.72</v>
      </c>
      <c r="U164" s="14">
        <f>'PIVOT TABLES'!$W$26</f>
        <v>55.895999999999994</v>
      </c>
      <c r="V164" s="14">
        <f>'PIVOT TABLES'!$W$27-'PIVOT TABLES'!$W$26</f>
        <v>27.948</v>
      </c>
      <c r="W164" s="14">
        <f>'PIVOT TABLES'!$W$28-'PIVOT TABLES'!$W$27</f>
        <v>27.947999999999993</v>
      </c>
      <c r="X164" s="14">
        <f>200-SUM(Table3[[#This Row],[S - LIGHT]:[S - VIGOROUS]])</f>
        <v>88.208000000000013</v>
      </c>
    </row>
    <row r="165" spans="1:24" x14ac:dyDescent="0.25">
      <c r="A165" s="17" t="s">
        <v>5</v>
      </c>
      <c r="B165" s="13" t="str">
        <f t="shared" si="2"/>
        <v>Midfielder</v>
      </c>
      <c r="C165" s="7">
        <v>45233.453148148146</v>
      </c>
      <c r="D165" s="14">
        <v>5865</v>
      </c>
      <c r="E165" s="14">
        <v>86</v>
      </c>
      <c r="F165" s="14">
        <v>23</v>
      </c>
      <c r="G165" s="14">
        <v>11</v>
      </c>
      <c r="H165" s="14">
        <v>62.37</v>
      </c>
      <c r="I165" s="14">
        <f>'PIVOT TABLES'!$B$26</f>
        <v>60.283999999999999</v>
      </c>
      <c r="J165" s="14">
        <f>'PIVOT TABLES'!$B$27-'PIVOT TABLES'!$B$26</f>
        <v>30.142000000000003</v>
      </c>
      <c r="K165" s="14">
        <f>'PIVOT TABLES'!$B$28-'PIVOT TABLES'!$B$27</f>
        <v>30.141999999999996</v>
      </c>
      <c r="L165" s="14">
        <f>200-SUM(Table3[[#This Row],[D - LIGHT]:[D - VIGOROUS]])</f>
        <v>79.432000000000002</v>
      </c>
      <c r="M165" s="14">
        <f>'PIVOT TABLES'!$I$26</f>
        <v>65.603999999999999</v>
      </c>
      <c r="N165" s="14">
        <f>'PIVOT TABLES'!$I$27-'PIVOT TABLES'!$I$26</f>
        <v>32.802000000000007</v>
      </c>
      <c r="O165" s="14">
        <f>'PIVOT TABLES'!$I$28-'PIVOT TABLES'!$I$27</f>
        <v>32.801999999999992</v>
      </c>
      <c r="P165" s="14">
        <f>200-SUM(Table3[[#This Row],[M - LIGHT]:[M - VIGOROUS]])</f>
        <v>68.792000000000002</v>
      </c>
      <c r="Q165" s="14">
        <f>'PIVOT TABLES'!$P$26</f>
        <v>62.64</v>
      </c>
      <c r="R165" s="14">
        <f>'PIVOT TABLES'!$P$27-'PIVOT TABLES'!$P$26</f>
        <v>31.320000000000007</v>
      </c>
      <c r="S165" s="14">
        <f>'PIVOT TABLES'!$P$28-'PIVOT TABLES'!$P$27</f>
        <v>31.319999999999993</v>
      </c>
      <c r="T165" s="14">
        <f>200-SUM(Table3[[#This Row],[W - LIGHT]:[W - VIGOROUS]])</f>
        <v>74.72</v>
      </c>
      <c r="U165" s="14">
        <f>'PIVOT TABLES'!$W$26</f>
        <v>55.895999999999994</v>
      </c>
      <c r="V165" s="14">
        <f>'PIVOT TABLES'!$W$27-'PIVOT TABLES'!$W$26</f>
        <v>27.948</v>
      </c>
      <c r="W165" s="14">
        <f>'PIVOT TABLES'!$W$28-'PIVOT TABLES'!$W$27</f>
        <v>27.947999999999993</v>
      </c>
      <c r="X165" s="14">
        <f>200-SUM(Table3[[#This Row],[S - LIGHT]:[S - VIGOROUS]])</f>
        <v>88.208000000000013</v>
      </c>
    </row>
    <row r="166" spans="1:24" x14ac:dyDescent="0.25">
      <c r="A166" s="17" t="s">
        <v>6</v>
      </c>
      <c r="B166" s="13" t="str">
        <f t="shared" si="2"/>
        <v>Midfielder</v>
      </c>
      <c r="C166" s="7">
        <v>45233.453148148146</v>
      </c>
      <c r="D166" s="14">
        <v>1806</v>
      </c>
      <c r="E166" s="14">
        <v>10</v>
      </c>
      <c r="F166" s="14">
        <v>0</v>
      </c>
      <c r="G166" s="14">
        <v>6</v>
      </c>
      <c r="H166" s="14">
        <v>18.48</v>
      </c>
      <c r="I166" s="14">
        <f>'PIVOT TABLES'!$B$26</f>
        <v>60.283999999999999</v>
      </c>
      <c r="J166" s="14">
        <f>'PIVOT TABLES'!$B$27-'PIVOT TABLES'!$B$26</f>
        <v>30.142000000000003</v>
      </c>
      <c r="K166" s="14">
        <f>'PIVOT TABLES'!$B$28-'PIVOT TABLES'!$B$27</f>
        <v>30.141999999999996</v>
      </c>
      <c r="L166" s="14">
        <f>200-SUM(Table3[[#This Row],[D - LIGHT]:[D - VIGOROUS]])</f>
        <v>79.432000000000002</v>
      </c>
      <c r="M166" s="14">
        <f>'PIVOT TABLES'!$I$26</f>
        <v>65.603999999999999</v>
      </c>
      <c r="N166" s="14">
        <f>'PIVOT TABLES'!$I$27-'PIVOT TABLES'!$I$26</f>
        <v>32.802000000000007</v>
      </c>
      <c r="O166" s="14">
        <f>'PIVOT TABLES'!$I$28-'PIVOT TABLES'!$I$27</f>
        <v>32.801999999999992</v>
      </c>
      <c r="P166" s="14">
        <f>200-SUM(Table3[[#This Row],[M - LIGHT]:[M - VIGOROUS]])</f>
        <v>68.792000000000002</v>
      </c>
      <c r="Q166" s="14">
        <f>'PIVOT TABLES'!$P$26</f>
        <v>62.64</v>
      </c>
      <c r="R166" s="14">
        <f>'PIVOT TABLES'!$P$27-'PIVOT TABLES'!$P$26</f>
        <v>31.320000000000007</v>
      </c>
      <c r="S166" s="14">
        <f>'PIVOT TABLES'!$P$28-'PIVOT TABLES'!$P$27</f>
        <v>31.319999999999993</v>
      </c>
      <c r="T166" s="14">
        <f>200-SUM(Table3[[#This Row],[W - LIGHT]:[W - VIGOROUS]])</f>
        <v>74.72</v>
      </c>
      <c r="U166" s="14">
        <f>'PIVOT TABLES'!$W$26</f>
        <v>55.895999999999994</v>
      </c>
      <c r="V166" s="14">
        <f>'PIVOT TABLES'!$W$27-'PIVOT TABLES'!$W$26</f>
        <v>27.948</v>
      </c>
      <c r="W166" s="14">
        <f>'PIVOT TABLES'!$W$28-'PIVOT TABLES'!$W$27</f>
        <v>27.947999999999993</v>
      </c>
      <c r="X166" s="14">
        <f>200-SUM(Table3[[#This Row],[S - LIGHT]:[S - VIGOROUS]])</f>
        <v>88.208000000000013</v>
      </c>
    </row>
    <row r="167" spans="1:24" x14ac:dyDescent="0.25">
      <c r="A167" s="17" t="s">
        <v>62</v>
      </c>
      <c r="B167" s="13" t="str">
        <f t="shared" si="2"/>
        <v>Midfielder</v>
      </c>
      <c r="C167" s="7">
        <v>45233.453148148146</v>
      </c>
      <c r="D167" s="14">
        <v>4616</v>
      </c>
      <c r="E167" s="14">
        <v>22</v>
      </c>
      <c r="F167" s="14">
        <v>13</v>
      </c>
      <c r="G167" s="14">
        <v>14</v>
      </c>
      <c r="H167" s="14">
        <v>47.62</v>
      </c>
      <c r="I167" s="14">
        <f>'PIVOT TABLES'!$B$26</f>
        <v>60.283999999999999</v>
      </c>
      <c r="J167" s="14">
        <f>'PIVOT TABLES'!$B$27-'PIVOT TABLES'!$B$26</f>
        <v>30.142000000000003</v>
      </c>
      <c r="K167" s="14">
        <f>'PIVOT TABLES'!$B$28-'PIVOT TABLES'!$B$27</f>
        <v>30.141999999999996</v>
      </c>
      <c r="L167" s="14">
        <f>200-SUM(Table3[[#This Row],[D - LIGHT]:[D - VIGOROUS]])</f>
        <v>79.432000000000002</v>
      </c>
      <c r="M167" s="14">
        <f>'PIVOT TABLES'!$I$26</f>
        <v>65.603999999999999</v>
      </c>
      <c r="N167" s="14">
        <f>'PIVOT TABLES'!$I$27-'PIVOT TABLES'!$I$26</f>
        <v>32.802000000000007</v>
      </c>
      <c r="O167" s="14">
        <f>'PIVOT TABLES'!$I$28-'PIVOT TABLES'!$I$27</f>
        <v>32.801999999999992</v>
      </c>
      <c r="P167" s="14">
        <f>200-SUM(Table3[[#This Row],[M - LIGHT]:[M - VIGOROUS]])</f>
        <v>68.792000000000002</v>
      </c>
      <c r="Q167" s="14">
        <f>'PIVOT TABLES'!$P$26</f>
        <v>62.64</v>
      </c>
      <c r="R167" s="14">
        <f>'PIVOT TABLES'!$P$27-'PIVOT TABLES'!$P$26</f>
        <v>31.320000000000007</v>
      </c>
      <c r="S167" s="14">
        <f>'PIVOT TABLES'!$P$28-'PIVOT TABLES'!$P$27</f>
        <v>31.319999999999993</v>
      </c>
      <c r="T167" s="14">
        <f>200-SUM(Table3[[#This Row],[W - LIGHT]:[W - VIGOROUS]])</f>
        <v>74.72</v>
      </c>
      <c r="U167" s="14">
        <f>'PIVOT TABLES'!$W$26</f>
        <v>55.895999999999994</v>
      </c>
      <c r="V167" s="14">
        <f>'PIVOT TABLES'!$W$27-'PIVOT TABLES'!$W$26</f>
        <v>27.948</v>
      </c>
      <c r="W167" s="14">
        <f>'PIVOT TABLES'!$W$28-'PIVOT TABLES'!$W$27</f>
        <v>27.947999999999993</v>
      </c>
      <c r="X167" s="14">
        <f>200-SUM(Table3[[#This Row],[S - LIGHT]:[S - VIGOROUS]])</f>
        <v>88.208000000000013</v>
      </c>
    </row>
    <row r="168" spans="1:24" x14ac:dyDescent="0.25">
      <c r="A168" s="17" t="s">
        <v>63</v>
      </c>
      <c r="B168" s="13" t="str">
        <f t="shared" si="2"/>
        <v>Winger</v>
      </c>
      <c r="C168" s="7">
        <v>45233.453148148146</v>
      </c>
      <c r="D168" s="14">
        <v>5304</v>
      </c>
      <c r="E168" s="14">
        <v>155</v>
      </c>
      <c r="F168" s="14">
        <v>11</v>
      </c>
      <c r="G168" s="14">
        <v>13</v>
      </c>
      <c r="H168" s="14">
        <v>58.39</v>
      </c>
      <c r="I168" s="14">
        <f>'PIVOT TABLES'!$B$26</f>
        <v>60.283999999999999</v>
      </c>
      <c r="J168" s="14">
        <f>'PIVOT TABLES'!$B$27-'PIVOT TABLES'!$B$26</f>
        <v>30.142000000000003</v>
      </c>
      <c r="K168" s="14">
        <f>'PIVOT TABLES'!$B$28-'PIVOT TABLES'!$B$27</f>
        <v>30.141999999999996</v>
      </c>
      <c r="L168" s="14">
        <f>200-SUM(Table3[[#This Row],[D - LIGHT]:[D - VIGOROUS]])</f>
        <v>79.432000000000002</v>
      </c>
      <c r="M168" s="14">
        <f>'PIVOT TABLES'!$I$26</f>
        <v>65.603999999999999</v>
      </c>
      <c r="N168" s="14">
        <f>'PIVOT TABLES'!$I$27-'PIVOT TABLES'!$I$26</f>
        <v>32.802000000000007</v>
      </c>
      <c r="O168" s="14">
        <f>'PIVOT TABLES'!$I$28-'PIVOT TABLES'!$I$27</f>
        <v>32.801999999999992</v>
      </c>
      <c r="P168" s="14">
        <f>200-SUM(Table3[[#This Row],[M - LIGHT]:[M - VIGOROUS]])</f>
        <v>68.792000000000002</v>
      </c>
      <c r="Q168" s="14">
        <f>'PIVOT TABLES'!$P$26</f>
        <v>62.64</v>
      </c>
      <c r="R168" s="14">
        <f>'PIVOT TABLES'!$P$27-'PIVOT TABLES'!$P$26</f>
        <v>31.320000000000007</v>
      </c>
      <c r="S168" s="14">
        <f>'PIVOT TABLES'!$P$28-'PIVOT TABLES'!$P$27</f>
        <v>31.319999999999993</v>
      </c>
      <c r="T168" s="14">
        <f>200-SUM(Table3[[#This Row],[W - LIGHT]:[W - VIGOROUS]])</f>
        <v>74.72</v>
      </c>
      <c r="U168" s="14">
        <f>'PIVOT TABLES'!$W$26</f>
        <v>55.895999999999994</v>
      </c>
      <c r="V168" s="14">
        <f>'PIVOT TABLES'!$W$27-'PIVOT TABLES'!$W$26</f>
        <v>27.948</v>
      </c>
      <c r="W168" s="14">
        <f>'PIVOT TABLES'!$W$28-'PIVOT TABLES'!$W$27</f>
        <v>27.947999999999993</v>
      </c>
      <c r="X168" s="14">
        <f>200-SUM(Table3[[#This Row],[S - LIGHT]:[S - VIGOROUS]])</f>
        <v>88.208000000000013</v>
      </c>
    </row>
    <row r="169" spans="1:24" x14ac:dyDescent="0.25">
      <c r="A169" s="17" t="s">
        <v>64</v>
      </c>
      <c r="B169" s="13" t="str">
        <f t="shared" si="2"/>
        <v>Midfielder</v>
      </c>
      <c r="C169" s="7">
        <v>45233.453148148146</v>
      </c>
      <c r="D169" s="14">
        <v>6264</v>
      </c>
      <c r="E169" s="14">
        <v>131</v>
      </c>
      <c r="F169" s="14">
        <v>27</v>
      </c>
      <c r="G169" s="14">
        <v>10</v>
      </c>
      <c r="H169" s="14">
        <v>67.849999999999994</v>
      </c>
      <c r="I169" s="14">
        <f>'PIVOT TABLES'!$B$26</f>
        <v>60.283999999999999</v>
      </c>
      <c r="J169" s="14">
        <f>'PIVOT TABLES'!$B$27-'PIVOT TABLES'!$B$26</f>
        <v>30.142000000000003</v>
      </c>
      <c r="K169" s="14">
        <f>'PIVOT TABLES'!$B$28-'PIVOT TABLES'!$B$27</f>
        <v>30.141999999999996</v>
      </c>
      <c r="L169" s="14">
        <f>200-SUM(Table3[[#This Row],[D - LIGHT]:[D - VIGOROUS]])</f>
        <v>79.432000000000002</v>
      </c>
      <c r="M169" s="14">
        <f>'PIVOT TABLES'!$I$26</f>
        <v>65.603999999999999</v>
      </c>
      <c r="N169" s="14">
        <f>'PIVOT TABLES'!$I$27-'PIVOT TABLES'!$I$26</f>
        <v>32.802000000000007</v>
      </c>
      <c r="O169" s="14">
        <f>'PIVOT TABLES'!$I$28-'PIVOT TABLES'!$I$27</f>
        <v>32.801999999999992</v>
      </c>
      <c r="P169" s="14">
        <f>200-SUM(Table3[[#This Row],[M - LIGHT]:[M - VIGOROUS]])</f>
        <v>68.792000000000002</v>
      </c>
      <c r="Q169" s="14">
        <f>'PIVOT TABLES'!$P$26</f>
        <v>62.64</v>
      </c>
      <c r="R169" s="14">
        <f>'PIVOT TABLES'!$P$27-'PIVOT TABLES'!$P$26</f>
        <v>31.320000000000007</v>
      </c>
      <c r="S169" s="14">
        <f>'PIVOT TABLES'!$P$28-'PIVOT TABLES'!$P$27</f>
        <v>31.319999999999993</v>
      </c>
      <c r="T169" s="14">
        <f>200-SUM(Table3[[#This Row],[W - LIGHT]:[W - VIGOROUS]])</f>
        <v>74.72</v>
      </c>
      <c r="U169" s="14">
        <f>'PIVOT TABLES'!$W$26</f>
        <v>55.895999999999994</v>
      </c>
      <c r="V169" s="14">
        <f>'PIVOT TABLES'!$W$27-'PIVOT TABLES'!$W$26</f>
        <v>27.948</v>
      </c>
      <c r="W169" s="14">
        <f>'PIVOT TABLES'!$W$28-'PIVOT TABLES'!$W$27</f>
        <v>27.947999999999993</v>
      </c>
      <c r="X169" s="14">
        <f>200-SUM(Table3[[#This Row],[S - LIGHT]:[S - VIGOROUS]])</f>
        <v>88.208000000000013</v>
      </c>
    </row>
    <row r="170" spans="1:24" x14ac:dyDescent="0.25">
      <c r="A170" s="17" t="s">
        <v>65</v>
      </c>
      <c r="B170" s="13" t="str">
        <f t="shared" si="2"/>
        <v>Winger</v>
      </c>
      <c r="C170" s="7">
        <v>45233.453148148146</v>
      </c>
      <c r="D170" s="14">
        <v>6121</v>
      </c>
      <c r="E170" s="14">
        <v>198</v>
      </c>
      <c r="F170" s="14">
        <v>32</v>
      </c>
      <c r="G170" s="14">
        <v>22</v>
      </c>
      <c r="H170" s="14">
        <v>68.87</v>
      </c>
      <c r="I170" s="14">
        <f>'PIVOT TABLES'!$B$26</f>
        <v>60.283999999999999</v>
      </c>
      <c r="J170" s="14">
        <f>'PIVOT TABLES'!$B$27-'PIVOT TABLES'!$B$26</f>
        <v>30.142000000000003</v>
      </c>
      <c r="K170" s="14">
        <f>'PIVOT TABLES'!$B$28-'PIVOT TABLES'!$B$27</f>
        <v>30.141999999999996</v>
      </c>
      <c r="L170" s="14">
        <f>200-SUM(Table3[[#This Row],[D - LIGHT]:[D - VIGOROUS]])</f>
        <v>79.432000000000002</v>
      </c>
      <c r="M170" s="14">
        <f>'PIVOT TABLES'!$I$26</f>
        <v>65.603999999999999</v>
      </c>
      <c r="N170" s="14">
        <f>'PIVOT TABLES'!$I$27-'PIVOT TABLES'!$I$26</f>
        <v>32.802000000000007</v>
      </c>
      <c r="O170" s="14">
        <f>'PIVOT TABLES'!$I$28-'PIVOT TABLES'!$I$27</f>
        <v>32.801999999999992</v>
      </c>
      <c r="P170" s="14">
        <f>200-SUM(Table3[[#This Row],[M - LIGHT]:[M - VIGOROUS]])</f>
        <v>68.792000000000002</v>
      </c>
      <c r="Q170" s="14">
        <f>'PIVOT TABLES'!$P$26</f>
        <v>62.64</v>
      </c>
      <c r="R170" s="14">
        <f>'PIVOT TABLES'!$P$27-'PIVOT TABLES'!$P$26</f>
        <v>31.320000000000007</v>
      </c>
      <c r="S170" s="14">
        <f>'PIVOT TABLES'!$P$28-'PIVOT TABLES'!$P$27</f>
        <v>31.319999999999993</v>
      </c>
      <c r="T170" s="14">
        <f>200-SUM(Table3[[#This Row],[W - LIGHT]:[W - VIGOROUS]])</f>
        <v>74.72</v>
      </c>
      <c r="U170" s="14">
        <f>'PIVOT TABLES'!$W$26</f>
        <v>55.895999999999994</v>
      </c>
      <c r="V170" s="14">
        <f>'PIVOT TABLES'!$W$27-'PIVOT TABLES'!$W$26</f>
        <v>27.948</v>
      </c>
      <c r="W170" s="14">
        <f>'PIVOT TABLES'!$W$28-'PIVOT TABLES'!$W$27</f>
        <v>27.947999999999993</v>
      </c>
      <c r="X170" s="14">
        <f>200-SUM(Table3[[#This Row],[S - LIGHT]:[S - VIGOROUS]])</f>
        <v>88.208000000000013</v>
      </c>
    </row>
    <row r="171" spans="1:24" x14ac:dyDescent="0.25">
      <c r="A171" s="17" t="s">
        <v>66</v>
      </c>
      <c r="B171" s="13" t="str">
        <f t="shared" si="2"/>
        <v>Striker</v>
      </c>
      <c r="C171" s="7">
        <v>45233.453148148146</v>
      </c>
      <c r="D171" s="14">
        <v>4981</v>
      </c>
      <c r="E171" s="14">
        <v>61</v>
      </c>
      <c r="F171" s="14">
        <v>19</v>
      </c>
      <c r="G171" s="14">
        <v>8</v>
      </c>
      <c r="H171" s="14">
        <v>52.56</v>
      </c>
      <c r="I171" s="14">
        <f>'PIVOT TABLES'!$B$26</f>
        <v>60.283999999999999</v>
      </c>
      <c r="J171" s="14">
        <f>'PIVOT TABLES'!$B$27-'PIVOT TABLES'!$B$26</f>
        <v>30.142000000000003</v>
      </c>
      <c r="K171" s="14">
        <f>'PIVOT TABLES'!$B$28-'PIVOT TABLES'!$B$27</f>
        <v>30.141999999999996</v>
      </c>
      <c r="L171" s="14">
        <f>200-SUM(Table3[[#This Row],[D - LIGHT]:[D - VIGOROUS]])</f>
        <v>79.432000000000002</v>
      </c>
      <c r="M171" s="14">
        <f>'PIVOT TABLES'!$I$26</f>
        <v>65.603999999999999</v>
      </c>
      <c r="N171" s="14">
        <f>'PIVOT TABLES'!$I$27-'PIVOT TABLES'!$I$26</f>
        <v>32.802000000000007</v>
      </c>
      <c r="O171" s="14">
        <f>'PIVOT TABLES'!$I$28-'PIVOT TABLES'!$I$27</f>
        <v>32.801999999999992</v>
      </c>
      <c r="P171" s="14">
        <f>200-SUM(Table3[[#This Row],[M - LIGHT]:[M - VIGOROUS]])</f>
        <v>68.792000000000002</v>
      </c>
      <c r="Q171" s="14">
        <f>'PIVOT TABLES'!$P$26</f>
        <v>62.64</v>
      </c>
      <c r="R171" s="14">
        <f>'PIVOT TABLES'!$P$27-'PIVOT TABLES'!$P$26</f>
        <v>31.320000000000007</v>
      </c>
      <c r="S171" s="14">
        <f>'PIVOT TABLES'!$P$28-'PIVOT TABLES'!$P$27</f>
        <v>31.319999999999993</v>
      </c>
      <c r="T171" s="14">
        <f>200-SUM(Table3[[#This Row],[W - LIGHT]:[W - VIGOROUS]])</f>
        <v>74.72</v>
      </c>
      <c r="U171" s="14">
        <f>'PIVOT TABLES'!$W$26</f>
        <v>55.895999999999994</v>
      </c>
      <c r="V171" s="14">
        <f>'PIVOT TABLES'!$W$27-'PIVOT TABLES'!$W$26</f>
        <v>27.948</v>
      </c>
      <c r="W171" s="14">
        <f>'PIVOT TABLES'!$W$28-'PIVOT TABLES'!$W$27</f>
        <v>27.947999999999993</v>
      </c>
      <c r="X171" s="14">
        <f>200-SUM(Table3[[#This Row],[S - LIGHT]:[S - VIGOROUS]])</f>
        <v>88.208000000000013</v>
      </c>
    </row>
    <row r="172" spans="1:24" x14ac:dyDescent="0.25">
      <c r="A172" s="17" t="s">
        <v>7</v>
      </c>
      <c r="B172" s="13" t="str">
        <f t="shared" si="2"/>
        <v>Winger</v>
      </c>
      <c r="C172" s="7">
        <v>45233.453148148146</v>
      </c>
      <c r="D172" s="14">
        <v>5026</v>
      </c>
      <c r="E172" s="14">
        <v>0</v>
      </c>
      <c r="F172" s="14">
        <v>0</v>
      </c>
      <c r="G172" s="14">
        <v>0</v>
      </c>
      <c r="H172" s="14">
        <v>50.26</v>
      </c>
      <c r="I172" s="14">
        <f>'PIVOT TABLES'!$B$26</f>
        <v>60.283999999999999</v>
      </c>
      <c r="J172" s="14">
        <f>'PIVOT TABLES'!$B$27-'PIVOT TABLES'!$B$26</f>
        <v>30.142000000000003</v>
      </c>
      <c r="K172" s="14">
        <f>'PIVOT TABLES'!$B$28-'PIVOT TABLES'!$B$27</f>
        <v>30.141999999999996</v>
      </c>
      <c r="L172" s="14">
        <f>200-SUM(Table3[[#This Row],[D - LIGHT]:[D - VIGOROUS]])</f>
        <v>79.432000000000002</v>
      </c>
      <c r="M172" s="14">
        <f>'PIVOT TABLES'!$I$26</f>
        <v>65.603999999999999</v>
      </c>
      <c r="N172" s="14">
        <f>'PIVOT TABLES'!$I$27-'PIVOT TABLES'!$I$26</f>
        <v>32.802000000000007</v>
      </c>
      <c r="O172" s="14">
        <f>'PIVOT TABLES'!$I$28-'PIVOT TABLES'!$I$27</f>
        <v>32.801999999999992</v>
      </c>
      <c r="P172" s="14">
        <f>200-SUM(Table3[[#This Row],[M - LIGHT]:[M - VIGOROUS]])</f>
        <v>68.792000000000002</v>
      </c>
      <c r="Q172" s="14">
        <f>'PIVOT TABLES'!$P$26</f>
        <v>62.64</v>
      </c>
      <c r="R172" s="14">
        <f>'PIVOT TABLES'!$P$27-'PIVOT TABLES'!$P$26</f>
        <v>31.320000000000007</v>
      </c>
      <c r="S172" s="14">
        <f>'PIVOT TABLES'!$P$28-'PIVOT TABLES'!$P$27</f>
        <v>31.319999999999993</v>
      </c>
      <c r="T172" s="14">
        <f>200-SUM(Table3[[#This Row],[W - LIGHT]:[W - VIGOROUS]])</f>
        <v>74.72</v>
      </c>
      <c r="U172" s="14">
        <f>'PIVOT TABLES'!$W$26</f>
        <v>55.895999999999994</v>
      </c>
      <c r="V172" s="14">
        <f>'PIVOT TABLES'!$W$27-'PIVOT TABLES'!$W$26</f>
        <v>27.948</v>
      </c>
      <c r="W172" s="14">
        <f>'PIVOT TABLES'!$W$28-'PIVOT TABLES'!$W$27</f>
        <v>27.947999999999993</v>
      </c>
      <c r="X172" s="14">
        <f>200-SUM(Table3[[#This Row],[S - LIGHT]:[S - VIGOROUS]])</f>
        <v>88.208000000000013</v>
      </c>
    </row>
    <row r="173" spans="1:24" x14ac:dyDescent="0.25">
      <c r="A173" s="17" t="s">
        <v>8</v>
      </c>
      <c r="B173" s="13" t="str">
        <f t="shared" si="2"/>
        <v>Striker</v>
      </c>
      <c r="C173" s="7">
        <v>45233.453148148146</v>
      </c>
      <c r="D173" s="14">
        <v>5623</v>
      </c>
      <c r="E173" s="14">
        <v>168</v>
      </c>
      <c r="F173" s="14">
        <v>30</v>
      </c>
      <c r="G173" s="14">
        <v>22</v>
      </c>
      <c r="H173" s="14">
        <v>62.91</v>
      </c>
      <c r="I173" s="14">
        <f>'PIVOT TABLES'!$B$26</f>
        <v>60.283999999999999</v>
      </c>
      <c r="J173" s="14">
        <f>'PIVOT TABLES'!$B$27-'PIVOT TABLES'!$B$26</f>
        <v>30.142000000000003</v>
      </c>
      <c r="K173" s="14">
        <f>'PIVOT TABLES'!$B$28-'PIVOT TABLES'!$B$27</f>
        <v>30.141999999999996</v>
      </c>
      <c r="L173" s="14">
        <f>200-SUM(Table3[[#This Row],[D - LIGHT]:[D - VIGOROUS]])</f>
        <v>79.432000000000002</v>
      </c>
      <c r="M173" s="14">
        <f>'PIVOT TABLES'!$I$26</f>
        <v>65.603999999999999</v>
      </c>
      <c r="N173" s="14">
        <f>'PIVOT TABLES'!$I$27-'PIVOT TABLES'!$I$26</f>
        <v>32.802000000000007</v>
      </c>
      <c r="O173" s="14">
        <f>'PIVOT TABLES'!$I$28-'PIVOT TABLES'!$I$27</f>
        <v>32.801999999999992</v>
      </c>
      <c r="P173" s="14">
        <f>200-SUM(Table3[[#This Row],[M - LIGHT]:[M - VIGOROUS]])</f>
        <v>68.792000000000002</v>
      </c>
      <c r="Q173" s="14">
        <f>'PIVOT TABLES'!$P$26</f>
        <v>62.64</v>
      </c>
      <c r="R173" s="14">
        <f>'PIVOT TABLES'!$P$27-'PIVOT TABLES'!$P$26</f>
        <v>31.320000000000007</v>
      </c>
      <c r="S173" s="14">
        <f>'PIVOT TABLES'!$P$28-'PIVOT TABLES'!$P$27</f>
        <v>31.319999999999993</v>
      </c>
      <c r="T173" s="14">
        <f>200-SUM(Table3[[#This Row],[W - LIGHT]:[W - VIGOROUS]])</f>
        <v>74.72</v>
      </c>
      <c r="U173" s="14">
        <f>'PIVOT TABLES'!$W$26</f>
        <v>55.895999999999994</v>
      </c>
      <c r="V173" s="14">
        <f>'PIVOT TABLES'!$W$27-'PIVOT TABLES'!$W$26</f>
        <v>27.948</v>
      </c>
      <c r="W173" s="14">
        <f>'PIVOT TABLES'!$W$28-'PIVOT TABLES'!$W$27</f>
        <v>27.947999999999993</v>
      </c>
      <c r="X173" s="14">
        <f>200-SUM(Table3[[#This Row],[S - LIGHT]:[S - VIGOROUS]])</f>
        <v>88.208000000000013</v>
      </c>
    </row>
    <row r="174" spans="1:24" x14ac:dyDescent="0.25">
      <c r="A174" s="17" t="s">
        <v>67</v>
      </c>
      <c r="B174" s="13" t="str">
        <f t="shared" si="2"/>
        <v>Midfielder</v>
      </c>
      <c r="C174" s="7">
        <v>45233.453148148146</v>
      </c>
      <c r="D174" s="14">
        <v>3849</v>
      </c>
      <c r="E174" s="14">
        <v>6</v>
      </c>
      <c r="F174" s="14">
        <v>12</v>
      </c>
      <c r="G174" s="14">
        <v>9</v>
      </c>
      <c r="H174" s="14">
        <v>39.33</v>
      </c>
      <c r="I174" s="14">
        <f>'PIVOT TABLES'!$B$26</f>
        <v>60.283999999999999</v>
      </c>
      <c r="J174" s="14">
        <f>'PIVOT TABLES'!$B$27-'PIVOT TABLES'!$B$26</f>
        <v>30.142000000000003</v>
      </c>
      <c r="K174" s="14">
        <f>'PIVOT TABLES'!$B$28-'PIVOT TABLES'!$B$27</f>
        <v>30.141999999999996</v>
      </c>
      <c r="L174" s="14">
        <f>200-SUM(Table3[[#This Row],[D - LIGHT]:[D - VIGOROUS]])</f>
        <v>79.432000000000002</v>
      </c>
      <c r="M174" s="14">
        <f>'PIVOT TABLES'!$I$26</f>
        <v>65.603999999999999</v>
      </c>
      <c r="N174" s="14">
        <f>'PIVOT TABLES'!$I$27-'PIVOT TABLES'!$I$26</f>
        <v>32.802000000000007</v>
      </c>
      <c r="O174" s="14">
        <f>'PIVOT TABLES'!$I$28-'PIVOT TABLES'!$I$27</f>
        <v>32.801999999999992</v>
      </c>
      <c r="P174" s="14">
        <f>200-SUM(Table3[[#This Row],[M - LIGHT]:[M - VIGOROUS]])</f>
        <v>68.792000000000002</v>
      </c>
      <c r="Q174" s="14">
        <f>'PIVOT TABLES'!$P$26</f>
        <v>62.64</v>
      </c>
      <c r="R174" s="14">
        <f>'PIVOT TABLES'!$P$27-'PIVOT TABLES'!$P$26</f>
        <v>31.320000000000007</v>
      </c>
      <c r="S174" s="14">
        <f>'PIVOT TABLES'!$P$28-'PIVOT TABLES'!$P$27</f>
        <v>31.319999999999993</v>
      </c>
      <c r="T174" s="14">
        <f>200-SUM(Table3[[#This Row],[W - LIGHT]:[W - VIGOROUS]])</f>
        <v>74.72</v>
      </c>
      <c r="U174" s="14">
        <f>'PIVOT TABLES'!$W$26</f>
        <v>55.895999999999994</v>
      </c>
      <c r="V174" s="14">
        <f>'PIVOT TABLES'!$W$27-'PIVOT TABLES'!$W$26</f>
        <v>27.948</v>
      </c>
      <c r="W174" s="14">
        <f>'PIVOT TABLES'!$W$28-'PIVOT TABLES'!$W$27</f>
        <v>27.947999999999993</v>
      </c>
      <c r="X174" s="14">
        <f>200-SUM(Table3[[#This Row],[S - LIGHT]:[S - VIGOROUS]])</f>
        <v>88.208000000000013</v>
      </c>
    </row>
    <row r="175" spans="1:24" x14ac:dyDescent="0.25">
      <c r="A175" s="17" t="s">
        <v>68</v>
      </c>
      <c r="B175" s="13" t="str">
        <f t="shared" si="2"/>
        <v>####</v>
      </c>
      <c r="C175" s="7">
        <v>45233.453148148146</v>
      </c>
      <c r="D175" s="14">
        <v>5364</v>
      </c>
      <c r="E175" s="14">
        <v>22</v>
      </c>
      <c r="F175" s="14">
        <v>11</v>
      </c>
      <c r="G175" s="14">
        <v>9</v>
      </c>
      <c r="H175" s="14">
        <v>54.92</v>
      </c>
      <c r="I175" s="14">
        <f>'PIVOT TABLES'!$B$26</f>
        <v>60.283999999999999</v>
      </c>
      <c r="J175" s="14">
        <f>'PIVOT TABLES'!$B$27-'PIVOT TABLES'!$B$26</f>
        <v>30.142000000000003</v>
      </c>
      <c r="K175" s="14">
        <f>'PIVOT TABLES'!$B$28-'PIVOT TABLES'!$B$27</f>
        <v>30.141999999999996</v>
      </c>
      <c r="L175" s="14">
        <f>200-SUM(Table3[[#This Row],[D - LIGHT]:[D - VIGOROUS]])</f>
        <v>79.432000000000002</v>
      </c>
      <c r="M175" s="14">
        <f>'PIVOT TABLES'!$I$26</f>
        <v>65.603999999999999</v>
      </c>
      <c r="N175" s="14">
        <f>'PIVOT TABLES'!$I$27-'PIVOT TABLES'!$I$26</f>
        <v>32.802000000000007</v>
      </c>
      <c r="O175" s="14">
        <f>'PIVOT TABLES'!$I$28-'PIVOT TABLES'!$I$27</f>
        <v>32.801999999999992</v>
      </c>
      <c r="P175" s="14">
        <f>200-SUM(Table3[[#This Row],[M - LIGHT]:[M - VIGOROUS]])</f>
        <v>68.792000000000002</v>
      </c>
      <c r="Q175" s="14">
        <f>'PIVOT TABLES'!$P$26</f>
        <v>62.64</v>
      </c>
      <c r="R175" s="14">
        <f>'PIVOT TABLES'!$P$27-'PIVOT TABLES'!$P$26</f>
        <v>31.320000000000007</v>
      </c>
      <c r="S175" s="14">
        <f>'PIVOT TABLES'!$P$28-'PIVOT TABLES'!$P$27</f>
        <v>31.319999999999993</v>
      </c>
      <c r="T175" s="14">
        <f>200-SUM(Table3[[#This Row],[W - LIGHT]:[W - VIGOROUS]])</f>
        <v>74.72</v>
      </c>
      <c r="U175" s="14">
        <f>'PIVOT TABLES'!$W$26</f>
        <v>55.895999999999994</v>
      </c>
      <c r="V175" s="14">
        <f>'PIVOT TABLES'!$W$27-'PIVOT TABLES'!$W$26</f>
        <v>27.948</v>
      </c>
      <c r="W175" s="14">
        <f>'PIVOT TABLES'!$W$28-'PIVOT TABLES'!$W$27</f>
        <v>27.947999999999993</v>
      </c>
      <c r="X175" s="14">
        <f>200-SUM(Table3[[#This Row],[S - LIGHT]:[S - VIGOROUS]])</f>
        <v>88.208000000000013</v>
      </c>
    </row>
    <row r="176" spans="1:24" x14ac:dyDescent="0.25">
      <c r="A176" s="17" t="s">
        <v>9</v>
      </c>
      <c r="B176" s="13" t="str">
        <f t="shared" si="2"/>
        <v>Striker</v>
      </c>
      <c r="C176" s="7">
        <v>45233.453148148146</v>
      </c>
      <c r="D176" s="14">
        <v>4661</v>
      </c>
      <c r="E176" s="14">
        <v>123</v>
      </c>
      <c r="F176" s="14">
        <v>17</v>
      </c>
      <c r="G176" s="14">
        <v>10</v>
      </c>
      <c r="H176" s="14">
        <v>51.18</v>
      </c>
      <c r="I176" s="14">
        <f>'PIVOT TABLES'!$B$26</f>
        <v>60.283999999999999</v>
      </c>
      <c r="J176" s="14">
        <f>'PIVOT TABLES'!$B$27-'PIVOT TABLES'!$B$26</f>
        <v>30.142000000000003</v>
      </c>
      <c r="K176" s="14">
        <f>'PIVOT TABLES'!$B$28-'PIVOT TABLES'!$B$27</f>
        <v>30.141999999999996</v>
      </c>
      <c r="L176" s="14">
        <f>200-SUM(Table3[[#This Row],[D - LIGHT]:[D - VIGOROUS]])</f>
        <v>79.432000000000002</v>
      </c>
      <c r="M176" s="14">
        <f>'PIVOT TABLES'!$I$26</f>
        <v>65.603999999999999</v>
      </c>
      <c r="N176" s="14">
        <f>'PIVOT TABLES'!$I$27-'PIVOT TABLES'!$I$26</f>
        <v>32.802000000000007</v>
      </c>
      <c r="O176" s="14">
        <f>'PIVOT TABLES'!$I$28-'PIVOT TABLES'!$I$27</f>
        <v>32.801999999999992</v>
      </c>
      <c r="P176" s="14">
        <f>200-SUM(Table3[[#This Row],[M - LIGHT]:[M - VIGOROUS]])</f>
        <v>68.792000000000002</v>
      </c>
      <c r="Q176" s="14">
        <f>'PIVOT TABLES'!$P$26</f>
        <v>62.64</v>
      </c>
      <c r="R176" s="14">
        <f>'PIVOT TABLES'!$P$27-'PIVOT TABLES'!$P$26</f>
        <v>31.320000000000007</v>
      </c>
      <c r="S176" s="14">
        <f>'PIVOT TABLES'!$P$28-'PIVOT TABLES'!$P$27</f>
        <v>31.319999999999993</v>
      </c>
      <c r="T176" s="14">
        <f>200-SUM(Table3[[#This Row],[W - LIGHT]:[W - VIGOROUS]])</f>
        <v>74.72</v>
      </c>
      <c r="U176" s="14">
        <f>'PIVOT TABLES'!$W$26</f>
        <v>55.895999999999994</v>
      </c>
      <c r="V176" s="14">
        <f>'PIVOT TABLES'!$W$27-'PIVOT TABLES'!$W$26</f>
        <v>27.948</v>
      </c>
      <c r="W176" s="14">
        <f>'PIVOT TABLES'!$W$28-'PIVOT TABLES'!$W$27</f>
        <v>27.947999999999993</v>
      </c>
      <c r="X176" s="14">
        <f>200-SUM(Table3[[#This Row],[S - LIGHT]:[S - VIGOROUS]])</f>
        <v>88.208000000000013</v>
      </c>
    </row>
    <row r="177" spans="1:24" x14ac:dyDescent="0.25">
      <c r="A177" s="17" t="s">
        <v>69</v>
      </c>
      <c r="B177" s="13" t="str">
        <f t="shared" si="2"/>
        <v>Midfielder</v>
      </c>
      <c r="C177" s="7">
        <v>45233.453148148146</v>
      </c>
      <c r="D177" s="14">
        <v>6046</v>
      </c>
      <c r="E177" s="14">
        <v>41</v>
      </c>
      <c r="F177" s="14">
        <v>8</v>
      </c>
      <c r="G177" s="14">
        <v>8</v>
      </c>
      <c r="H177" s="14">
        <v>62.17</v>
      </c>
      <c r="I177" s="14">
        <f>'PIVOT TABLES'!$B$26</f>
        <v>60.283999999999999</v>
      </c>
      <c r="J177" s="14">
        <f>'PIVOT TABLES'!$B$27-'PIVOT TABLES'!$B$26</f>
        <v>30.142000000000003</v>
      </c>
      <c r="K177" s="14">
        <f>'PIVOT TABLES'!$B$28-'PIVOT TABLES'!$B$27</f>
        <v>30.141999999999996</v>
      </c>
      <c r="L177" s="14">
        <f>200-SUM(Table3[[#This Row],[D - LIGHT]:[D - VIGOROUS]])</f>
        <v>79.432000000000002</v>
      </c>
      <c r="M177" s="14">
        <f>'PIVOT TABLES'!$I$26</f>
        <v>65.603999999999999</v>
      </c>
      <c r="N177" s="14">
        <f>'PIVOT TABLES'!$I$27-'PIVOT TABLES'!$I$26</f>
        <v>32.802000000000007</v>
      </c>
      <c r="O177" s="14">
        <f>'PIVOT TABLES'!$I$28-'PIVOT TABLES'!$I$27</f>
        <v>32.801999999999992</v>
      </c>
      <c r="P177" s="14">
        <f>200-SUM(Table3[[#This Row],[M - LIGHT]:[M - VIGOROUS]])</f>
        <v>68.792000000000002</v>
      </c>
      <c r="Q177" s="14">
        <f>'PIVOT TABLES'!$P$26</f>
        <v>62.64</v>
      </c>
      <c r="R177" s="14">
        <f>'PIVOT TABLES'!$P$27-'PIVOT TABLES'!$P$26</f>
        <v>31.320000000000007</v>
      </c>
      <c r="S177" s="14">
        <f>'PIVOT TABLES'!$P$28-'PIVOT TABLES'!$P$27</f>
        <v>31.319999999999993</v>
      </c>
      <c r="T177" s="14">
        <f>200-SUM(Table3[[#This Row],[W - LIGHT]:[W - VIGOROUS]])</f>
        <v>74.72</v>
      </c>
      <c r="U177" s="14">
        <f>'PIVOT TABLES'!$W$26</f>
        <v>55.895999999999994</v>
      </c>
      <c r="V177" s="14">
        <f>'PIVOT TABLES'!$W$27-'PIVOT TABLES'!$W$26</f>
        <v>27.948</v>
      </c>
      <c r="W177" s="14">
        <f>'PIVOT TABLES'!$W$28-'PIVOT TABLES'!$W$27</f>
        <v>27.947999999999993</v>
      </c>
      <c r="X177" s="14">
        <f>200-SUM(Table3[[#This Row],[S - LIGHT]:[S - VIGOROUS]])</f>
        <v>88.208000000000013</v>
      </c>
    </row>
    <row r="178" spans="1:24" x14ac:dyDescent="0.25">
      <c r="A178" s="17" t="s">
        <v>70</v>
      </c>
      <c r="B178" s="13" t="str">
        <f t="shared" si="2"/>
        <v>Winger</v>
      </c>
      <c r="C178" s="7">
        <v>45234.610706018517</v>
      </c>
      <c r="D178" s="14">
        <v>8533</v>
      </c>
      <c r="E178" s="14">
        <v>75</v>
      </c>
      <c r="F178" s="14">
        <v>25</v>
      </c>
      <c r="G178" s="14">
        <v>27</v>
      </c>
      <c r="H178" s="14">
        <v>89.12</v>
      </c>
      <c r="I178" s="14">
        <f>'PIVOT TABLES'!$B$26</f>
        <v>60.283999999999999</v>
      </c>
      <c r="J178" s="14">
        <f>'PIVOT TABLES'!$B$27-'PIVOT TABLES'!$B$26</f>
        <v>30.142000000000003</v>
      </c>
      <c r="K178" s="14">
        <f>'PIVOT TABLES'!$B$28-'PIVOT TABLES'!$B$27</f>
        <v>30.141999999999996</v>
      </c>
      <c r="L178" s="14">
        <f>200-SUM(Table3[[#This Row],[D - LIGHT]:[D - VIGOROUS]])</f>
        <v>79.432000000000002</v>
      </c>
      <c r="M178" s="14">
        <f>'PIVOT TABLES'!$I$26</f>
        <v>65.603999999999999</v>
      </c>
      <c r="N178" s="14">
        <f>'PIVOT TABLES'!$I$27-'PIVOT TABLES'!$I$26</f>
        <v>32.802000000000007</v>
      </c>
      <c r="O178" s="14">
        <f>'PIVOT TABLES'!$I$28-'PIVOT TABLES'!$I$27</f>
        <v>32.801999999999992</v>
      </c>
      <c r="P178" s="14">
        <f>200-SUM(Table3[[#This Row],[M - LIGHT]:[M - VIGOROUS]])</f>
        <v>68.792000000000002</v>
      </c>
      <c r="Q178" s="14">
        <f>'PIVOT TABLES'!$P$26</f>
        <v>62.64</v>
      </c>
      <c r="R178" s="14">
        <f>'PIVOT TABLES'!$P$27-'PIVOT TABLES'!$P$26</f>
        <v>31.320000000000007</v>
      </c>
      <c r="S178" s="14">
        <f>'PIVOT TABLES'!$P$28-'PIVOT TABLES'!$P$27</f>
        <v>31.319999999999993</v>
      </c>
      <c r="T178" s="14">
        <f>200-SUM(Table3[[#This Row],[W - LIGHT]:[W - VIGOROUS]])</f>
        <v>74.72</v>
      </c>
      <c r="U178" s="14">
        <f>'PIVOT TABLES'!$W$26</f>
        <v>55.895999999999994</v>
      </c>
      <c r="V178" s="14">
        <f>'PIVOT TABLES'!$W$27-'PIVOT TABLES'!$W$26</f>
        <v>27.948</v>
      </c>
      <c r="W178" s="14">
        <f>'PIVOT TABLES'!$W$28-'PIVOT TABLES'!$W$27</f>
        <v>27.947999999999993</v>
      </c>
      <c r="X178" s="14">
        <f>200-SUM(Table3[[#This Row],[S - LIGHT]:[S - VIGOROUS]])</f>
        <v>88.208000000000013</v>
      </c>
    </row>
    <row r="179" spans="1:24" x14ac:dyDescent="0.25">
      <c r="A179" s="17" t="s">
        <v>53</v>
      </c>
      <c r="B179" s="13" t="str">
        <f t="shared" si="2"/>
        <v>Midfielder</v>
      </c>
      <c r="C179" s="7">
        <v>45234.610706018517</v>
      </c>
      <c r="D179" s="14">
        <v>13086</v>
      </c>
      <c r="E179" s="14">
        <v>66</v>
      </c>
      <c r="F179" s="14">
        <v>41</v>
      </c>
      <c r="G179" s="14">
        <v>51</v>
      </c>
      <c r="H179" s="14">
        <v>135.5</v>
      </c>
      <c r="I179" s="14">
        <f>'PIVOT TABLES'!$B$26</f>
        <v>60.283999999999999</v>
      </c>
      <c r="J179" s="14">
        <f>'PIVOT TABLES'!$B$27-'PIVOT TABLES'!$B$26</f>
        <v>30.142000000000003</v>
      </c>
      <c r="K179" s="14">
        <f>'PIVOT TABLES'!$B$28-'PIVOT TABLES'!$B$27</f>
        <v>30.141999999999996</v>
      </c>
      <c r="L179" s="14">
        <f>200-SUM(Table3[[#This Row],[D - LIGHT]:[D - VIGOROUS]])</f>
        <v>79.432000000000002</v>
      </c>
      <c r="M179" s="14">
        <f>'PIVOT TABLES'!$I$26</f>
        <v>65.603999999999999</v>
      </c>
      <c r="N179" s="14">
        <f>'PIVOT TABLES'!$I$27-'PIVOT TABLES'!$I$26</f>
        <v>32.802000000000007</v>
      </c>
      <c r="O179" s="14">
        <f>'PIVOT TABLES'!$I$28-'PIVOT TABLES'!$I$27</f>
        <v>32.801999999999992</v>
      </c>
      <c r="P179" s="14">
        <f>200-SUM(Table3[[#This Row],[M - LIGHT]:[M - VIGOROUS]])</f>
        <v>68.792000000000002</v>
      </c>
      <c r="Q179" s="14">
        <f>'PIVOT TABLES'!$P$26</f>
        <v>62.64</v>
      </c>
      <c r="R179" s="14">
        <f>'PIVOT TABLES'!$P$27-'PIVOT TABLES'!$P$26</f>
        <v>31.320000000000007</v>
      </c>
      <c r="S179" s="14">
        <f>'PIVOT TABLES'!$P$28-'PIVOT TABLES'!$P$27</f>
        <v>31.319999999999993</v>
      </c>
      <c r="T179" s="14">
        <f>200-SUM(Table3[[#This Row],[W - LIGHT]:[W - VIGOROUS]])</f>
        <v>74.72</v>
      </c>
      <c r="U179" s="14">
        <f>'PIVOT TABLES'!$W$26</f>
        <v>55.895999999999994</v>
      </c>
      <c r="V179" s="14">
        <f>'PIVOT TABLES'!$W$27-'PIVOT TABLES'!$W$26</f>
        <v>27.948</v>
      </c>
      <c r="W179" s="14">
        <f>'PIVOT TABLES'!$W$28-'PIVOT TABLES'!$W$27</f>
        <v>27.947999999999993</v>
      </c>
      <c r="X179" s="14">
        <f>200-SUM(Table3[[#This Row],[S - LIGHT]:[S - VIGOROUS]])</f>
        <v>88.208000000000013</v>
      </c>
    </row>
    <row r="180" spans="1:24" x14ac:dyDescent="0.25">
      <c r="A180" s="17" t="s">
        <v>56</v>
      </c>
      <c r="B180" s="13" t="str">
        <f t="shared" si="2"/>
        <v>Midfielder</v>
      </c>
      <c r="C180" s="7">
        <v>45234.610706018517</v>
      </c>
      <c r="D180" s="14">
        <v>9210</v>
      </c>
      <c r="E180" s="14">
        <v>103</v>
      </c>
      <c r="F180" s="14">
        <v>28</v>
      </c>
      <c r="G180" s="14">
        <v>20</v>
      </c>
      <c r="H180" s="14">
        <v>96.71</v>
      </c>
      <c r="I180" s="14">
        <f>'PIVOT TABLES'!$B$26</f>
        <v>60.283999999999999</v>
      </c>
      <c r="J180" s="14">
        <f>'PIVOT TABLES'!$B$27-'PIVOT TABLES'!$B$26</f>
        <v>30.142000000000003</v>
      </c>
      <c r="K180" s="14">
        <f>'PIVOT TABLES'!$B$28-'PIVOT TABLES'!$B$27</f>
        <v>30.141999999999996</v>
      </c>
      <c r="L180" s="14">
        <f>200-SUM(Table3[[#This Row],[D - LIGHT]:[D - VIGOROUS]])</f>
        <v>79.432000000000002</v>
      </c>
      <c r="M180" s="14">
        <f>'PIVOT TABLES'!$I$26</f>
        <v>65.603999999999999</v>
      </c>
      <c r="N180" s="14">
        <f>'PIVOT TABLES'!$I$27-'PIVOT TABLES'!$I$26</f>
        <v>32.802000000000007</v>
      </c>
      <c r="O180" s="14">
        <f>'PIVOT TABLES'!$I$28-'PIVOT TABLES'!$I$27</f>
        <v>32.801999999999992</v>
      </c>
      <c r="P180" s="14">
        <f>200-SUM(Table3[[#This Row],[M - LIGHT]:[M - VIGOROUS]])</f>
        <v>68.792000000000002</v>
      </c>
      <c r="Q180" s="14">
        <f>'PIVOT TABLES'!$P$26</f>
        <v>62.64</v>
      </c>
      <c r="R180" s="14">
        <f>'PIVOT TABLES'!$P$27-'PIVOT TABLES'!$P$26</f>
        <v>31.320000000000007</v>
      </c>
      <c r="S180" s="14">
        <f>'PIVOT TABLES'!$P$28-'PIVOT TABLES'!$P$27</f>
        <v>31.319999999999993</v>
      </c>
      <c r="T180" s="14">
        <f>200-SUM(Table3[[#This Row],[W - LIGHT]:[W - VIGOROUS]])</f>
        <v>74.72</v>
      </c>
      <c r="U180" s="14">
        <f>'PIVOT TABLES'!$W$26</f>
        <v>55.895999999999994</v>
      </c>
      <c r="V180" s="14">
        <f>'PIVOT TABLES'!$W$27-'PIVOT TABLES'!$W$26</f>
        <v>27.948</v>
      </c>
      <c r="W180" s="14">
        <f>'PIVOT TABLES'!$W$28-'PIVOT TABLES'!$W$27</f>
        <v>27.947999999999993</v>
      </c>
      <c r="X180" s="14">
        <f>200-SUM(Table3[[#This Row],[S - LIGHT]:[S - VIGOROUS]])</f>
        <v>88.208000000000013</v>
      </c>
    </row>
    <row r="181" spans="1:24" x14ac:dyDescent="0.25">
      <c r="A181" s="17" t="s">
        <v>2</v>
      </c>
      <c r="B181" s="13" t="str">
        <f t="shared" si="2"/>
        <v>Defender</v>
      </c>
      <c r="C181" s="7">
        <v>45234.610706018517</v>
      </c>
      <c r="D181" s="14">
        <v>12010</v>
      </c>
      <c r="E181" s="14">
        <v>288</v>
      </c>
      <c r="F181" s="14">
        <v>56</v>
      </c>
      <c r="G181" s="14">
        <v>44</v>
      </c>
      <c r="H181" s="14">
        <v>131.86000000000001</v>
      </c>
      <c r="I181" s="14">
        <f>'PIVOT TABLES'!$B$26</f>
        <v>60.283999999999999</v>
      </c>
      <c r="J181" s="14">
        <f>'PIVOT TABLES'!$B$27-'PIVOT TABLES'!$B$26</f>
        <v>30.142000000000003</v>
      </c>
      <c r="K181" s="14">
        <f>'PIVOT TABLES'!$B$28-'PIVOT TABLES'!$B$27</f>
        <v>30.141999999999996</v>
      </c>
      <c r="L181" s="14">
        <f>200-SUM(Table3[[#This Row],[D - LIGHT]:[D - VIGOROUS]])</f>
        <v>79.432000000000002</v>
      </c>
      <c r="M181" s="14">
        <f>'PIVOT TABLES'!$I$26</f>
        <v>65.603999999999999</v>
      </c>
      <c r="N181" s="14">
        <f>'PIVOT TABLES'!$I$27-'PIVOT TABLES'!$I$26</f>
        <v>32.802000000000007</v>
      </c>
      <c r="O181" s="14">
        <f>'PIVOT TABLES'!$I$28-'PIVOT TABLES'!$I$27</f>
        <v>32.801999999999992</v>
      </c>
      <c r="P181" s="14">
        <f>200-SUM(Table3[[#This Row],[M - LIGHT]:[M - VIGOROUS]])</f>
        <v>68.792000000000002</v>
      </c>
      <c r="Q181" s="14">
        <f>'PIVOT TABLES'!$P$26</f>
        <v>62.64</v>
      </c>
      <c r="R181" s="14">
        <f>'PIVOT TABLES'!$P$27-'PIVOT TABLES'!$P$26</f>
        <v>31.320000000000007</v>
      </c>
      <c r="S181" s="14">
        <f>'PIVOT TABLES'!$P$28-'PIVOT TABLES'!$P$27</f>
        <v>31.319999999999993</v>
      </c>
      <c r="T181" s="14">
        <f>200-SUM(Table3[[#This Row],[W - LIGHT]:[W - VIGOROUS]])</f>
        <v>74.72</v>
      </c>
      <c r="U181" s="14">
        <f>'PIVOT TABLES'!$W$26</f>
        <v>55.895999999999994</v>
      </c>
      <c r="V181" s="14">
        <f>'PIVOT TABLES'!$W$27-'PIVOT TABLES'!$W$26</f>
        <v>27.948</v>
      </c>
      <c r="W181" s="14">
        <f>'PIVOT TABLES'!$W$28-'PIVOT TABLES'!$W$27</f>
        <v>27.947999999999993</v>
      </c>
      <c r="X181" s="14">
        <f>200-SUM(Table3[[#This Row],[S - LIGHT]:[S - VIGOROUS]])</f>
        <v>88.208000000000013</v>
      </c>
    </row>
    <row r="182" spans="1:24" x14ac:dyDescent="0.25">
      <c r="A182" s="17" t="s">
        <v>58</v>
      </c>
      <c r="B182" s="13" t="str">
        <f t="shared" si="2"/>
        <v>Defender</v>
      </c>
      <c r="C182" s="7">
        <v>45234.610706018517</v>
      </c>
      <c r="D182" s="14">
        <v>12761</v>
      </c>
      <c r="E182" s="14">
        <v>191</v>
      </c>
      <c r="F182" s="14">
        <v>43</v>
      </c>
      <c r="G182" s="14">
        <v>34</v>
      </c>
      <c r="H182" s="14">
        <v>135.74</v>
      </c>
      <c r="I182" s="14">
        <f>'PIVOT TABLES'!$B$26</f>
        <v>60.283999999999999</v>
      </c>
      <c r="J182" s="14">
        <f>'PIVOT TABLES'!$B$27-'PIVOT TABLES'!$B$26</f>
        <v>30.142000000000003</v>
      </c>
      <c r="K182" s="14">
        <f>'PIVOT TABLES'!$B$28-'PIVOT TABLES'!$B$27</f>
        <v>30.141999999999996</v>
      </c>
      <c r="L182" s="14">
        <f>200-SUM(Table3[[#This Row],[D - LIGHT]:[D - VIGOROUS]])</f>
        <v>79.432000000000002</v>
      </c>
      <c r="M182" s="14">
        <f>'PIVOT TABLES'!$I$26</f>
        <v>65.603999999999999</v>
      </c>
      <c r="N182" s="14">
        <f>'PIVOT TABLES'!$I$27-'PIVOT TABLES'!$I$26</f>
        <v>32.802000000000007</v>
      </c>
      <c r="O182" s="14">
        <f>'PIVOT TABLES'!$I$28-'PIVOT TABLES'!$I$27</f>
        <v>32.801999999999992</v>
      </c>
      <c r="P182" s="14">
        <f>200-SUM(Table3[[#This Row],[M - LIGHT]:[M - VIGOROUS]])</f>
        <v>68.792000000000002</v>
      </c>
      <c r="Q182" s="14">
        <f>'PIVOT TABLES'!$P$26</f>
        <v>62.64</v>
      </c>
      <c r="R182" s="14">
        <f>'PIVOT TABLES'!$P$27-'PIVOT TABLES'!$P$26</f>
        <v>31.320000000000007</v>
      </c>
      <c r="S182" s="14">
        <f>'PIVOT TABLES'!$P$28-'PIVOT TABLES'!$P$27</f>
        <v>31.319999999999993</v>
      </c>
      <c r="T182" s="14">
        <f>200-SUM(Table3[[#This Row],[W - LIGHT]:[W - VIGOROUS]])</f>
        <v>74.72</v>
      </c>
      <c r="U182" s="14">
        <f>'PIVOT TABLES'!$W$26</f>
        <v>55.895999999999994</v>
      </c>
      <c r="V182" s="14">
        <f>'PIVOT TABLES'!$W$27-'PIVOT TABLES'!$W$26</f>
        <v>27.948</v>
      </c>
      <c r="W182" s="14">
        <f>'PIVOT TABLES'!$W$28-'PIVOT TABLES'!$W$27</f>
        <v>27.947999999999993</v>
      </c>
      <c r="X182" s="14">
        <f>200-SUM(Table3[[#This Row],[S - LIGHT]:[S - VIGOROUS]])</f>
        <v>88.208000000000013</v>
      </c>
    </row>
    <row r="183" spans="1:24" x14ac:dyDescent="0.25">
      <c r="A183" s="17" t="s">
        <v>60</v>
      </c>
      <c r="B183" s="13" t="str">
        <f t="shared" si="2"/>
        <v>Winger</v>
      </c>
      <c r="C183" s="7">
        <v>45234.610706018517</v>
      </c>
      <c r="D183" s="14">
        <v>14299</v>
      </c>
      <c r="E183" s="14">
        <v>337</v>
      </c>
      <c r="F183" s="14">
        <v>66</v>
      </c>
      <c r="G183" s="14">
        <v>43</v>
      </c>
      <c r="H183" s="14">
        <v>156.6</v>
      </c>
      <c r="I183" s="14">
        <f>'PIVOT TABLES'!$B$26</f>
        <v>60.283999999999999</v>
      </c>
      <c r="J183" s="14">
        <f>'PIVOT TABLES'!$B$27-'PIVOT TABLES'!$B$26</f>
        <v>30.142000000000003</v>
      </c>
      <c r="K183" s="14">
        <f>'PIVOT TABLES'!$B$28-'PIVOT TABLES'!$B$27</f>
        <v>30.141999999999996</v>
      </c>
      <c r="L183" s="14">
        <f>200-SUM(Table3[[#This Row],[D - LIGHT]:[D - VIGOROUS]])</f>
        <v>79.432000000000002</v>
      </c>
      <c r="M183" s="14">
        <f>'PIVOT TABLES'!$I$26</f>
        <v>65.603999999999999</v>
      </c>
      <c r="N183" s="14">
        <f>'PIVOT TABLES'!$I$27-'PIVOT TABLES'!$I$26</f>
        <v>32.802000000000007</v>
      </c>
      <c r="O183" s="14">
        <f>'PIVOT TABLES'!$I$28-'PIVOT TABLES'!$I$27</f>
        <v>32.801999999999992</v>
      </c>
      <c r="P183" s="14">
        <f>200-SUM(Table3[[#This Row],[M - LIGHT]:[M - VIGOROUS]])</f>
        <v>68.792000000000002</v>
      </c>
      <c r="Q183" s="14">
        <f>'PIVOT TABLES'!$P$26</f>
        <v>62.64</v>
      </c>
      <c r="R183" s="14">
        <f>'PIVOT TABLES'!$P$27-'PIVOT TABLES'!$P$26</f>
        <v>31.320000000000007</v>
      </c>
      <c r="S183" s="14">
        <f>'PIVOT TABLES'!$P$28-'PIVOT TABLES'!$P$27</f>
        <v>31.319999999999993</v>
      </c>
      <c r="T183" s="14">
        <f>200-SUM(Table3[[#This Row],[W - LIGHT]:[W - VIGOROUS]])</f>
        <v>74.72</v>
      </c>
      <c r="U183" s="14">
        <f>'PIVOT TABLES'!$W$26</f>
        <v>55.895999999999994</v>
      </c>
      <c r="V183" s="14">
        <f>'PIVOT TABLES'!$W$27-'PIVOT TABLES'!$W$26</f>
        <v>27.948</v>
      </c>
      <c r="W183" s="14">
        <f>'PIVOT TABLES'!$W$28-'PIVOT TABLES'!$W$27</f>
        <v>27.947999999999993</v>
      </c>
      <c r="X183" s="14">
        <f>200-SUM(Table3[[#This Row],[S - LIGHT]:[S - VIGOROUS]])</f>
        <v>88.208000000000013</v>
      </c>
    </row>
    <row r="184" spans="1:24" x14ac:dyDescent="0.25">
      <c r="A184" s="17" t="s">
        <v>61</v>
      </c>
      <c r="B184" s="13" t="str">
        <f t="shared" si="2"/>
        <v>####</v>
      </c>
      <c r="C184" s="7">
        <v>45234.610706018517</v>
      </c>
      <c r="D184" s="14">
        <v>11566</v>
      </c>
      <c r="E184" s="14">
        <v>205</v>
      </c>
      <c r="F184" s="14">
        <v>31</v>
      </c>
      <c r="G184" s="14">
        <v>27</v>
      </c>
      <c r="H184" s="14">
        <v>123.59</v>
      </c>
      <c r="I184" s="14">
        <f>'PIVOT TABLES'!$B$26</f>
        <v>60.283999999999999</v>
      </c>
      <c r="J184" s="14">
        <f>'PIVOT TABLES'!$B$27-'PIVOT TABLES'!$B$26</f>
        <v>30.142000000000003</v>
      </c>
      <c r="K184" s="14">
        <f>'PIVOT TABLES'!$B$28-'PIVOT TABLES'!$B$27</f>
        <v>30.141999999999996</v>
      </c>
      <c r="L184" s="14">
        <f>200-SUM(Table3[[#This Row],[D - LIGHT]:[D - VIGOROUS]])</f>
        <v>79.432000000000002</v>
      </c>
      <c r="M184" s="14">
        <f>'PIVOT TABLES'!$I$26</f>
        <v>65.603999999999999</v>
      </c>
      <c r="N184" s="14">
        <f>'PIVOT TABLES'!$I$27-'PIVOT TABLES'!$I$26</f>
        <v>32.802000000000007</v>
      </c>
      <c r="O184" s="14">
        <f>'PIVOT TABLES'!$I$28-'PIVOT TABLES'!$I$27</f>
        <v>32.801999999999992</v>
      </c>
      <c r="P184" s="14">
        <f>200-SUM(Table3[[#This Row],[M - LIGHT]:[M - VIGOROUS]])</f>
        <v>68.792000000000002</v>
      </c>
      <c r="Q184" s="14">
        <f>'PIVOT TABLES'!$P$26</f>
        <v>62.64</v>
      </c>
      <c r="R184" s="14">
        <f>'PIVOT TABLES'!$P$27-'PIVOT TABLES'!$P$26</f>
        <v>31.320000000000007</v>
      </c>
      <c r="S184" s="14">
        <f>'PIVOT TABLES'!$P$28-'PIVOT TABLES'!$P$27</f>
        <v>31.319999999999993</v>
      </c>
      <c r="T184" s="14">
        <f>200-SUM(Table3[[#This Row],[W - LIGHT]:[W - VIGOROUS]])</f>
        <v>74.72</v>
      </c>
      <c r="U184" s="14">
        <f>'PIVOT TABLES'!$W$26</f>
        <v>55.895999999999994</v>
      </c>
      <c r="V184" s="14">
        <f>'PIVOT TABLES'!$W$27-'PIVOT TABLES'!$W$26</f>
        <v>27.948</v>
      </c>
      <c r="W184" s="14">
        <f>'PIVOT TABLES'!$W$28-'PIVOT TABLES'!$W$27</f>
        <v>27.947999999999993</v>
      </c>
      <c r="X184" s="14">
        <f>200-SUM(Table3[[#This Row],[S - LIGHT]:[S - VIGOROUS]])</f>
        <v>88.208000000000013</v>
      </c>
    </row>
    <row r="185" spans="1:24" x14ac:dyDescent="0.25">
      <c r="A185" s="17" t="s">
        <v>71</v>
      </c>
      <c r="B185" s="13" t="str">
        <f t="shared" si="2"/>
        <v>Midfielder</v>
      </c>
      <c r="C185" s="7">
        <v>45234.610706018517</v>
      </c>
      <c r="D185" s="14">
        <v>9761</v>
      </c>
      <c r="E185" s="14">
        <v>51</v>
      </c>
      <c r="F185" s="14">
        <v>42</v>
      </c>
      <c r="G185" s="14">
        <v>20</v>
      </c>
      <c r="H185" s="14">
        <v>101.22</v>
      </c>
      <c r="I185" s="14">
        <f>'PIVOT TABLES'!$B$26</f>
        <v>60.283999999999999</v>
      </c>
      <c r="J185" s="14">
        <f>'PIVOT TABLES'!$B$27-'PIVOT TABLES'!$B$26</f>
        <v>30.142000000000003</v>
      </c>
      <c r="K185" s="14">
        <f>'PIVOT TABLES'!$B$28-'PIVOT TABLES'!$B$27</f>
        <v>30.141999999999996</v>
      </c>
      <c r="L185" s="14">
        <f>200-SUM(Table3[[#This Row],[D - LIGHT]:[D - VIGOROUS]])</f>
        <v>79.432000000000002</v>
      </c>
      <c r="M185" s="14">
        <f>'PIVOT TABLES'!$I$26</f>
        <v>65.603999999999999</v>
      </c>
      <c r="N185" s="14">
        <f>'PIVOT TABLES'!$I$27-'PIVOT TABLES'!$I$26</f>
        <v>32.802000000000007</v>
      </c>
      <c r="O185" s="14">
        <f>'PIVOT TABLES'!$I$28-'PIVOT TABLES'!$I$27</f>
        <v>32.801999999999992</v>
      </c>
      <c r="P185" s="14">
        <f>200-SUM(Table3[[#This Row],[M - LIGHT]:[M - VIGOROUS]])</f>
        <v>68.792000000000002</v>
      </c>
      <c r="Q185" s="14">
        <f>'PIVOT TABLES'!$P$26</f>
        <v>62.64</v>
      </c>
      <c r="R185" s="14">
        <f>'PIVOT TABLES'!$P$27-'PIVOT TABLES'!$P$26</f>
        <v>31.320000000000007</v>
      </c>
      <c r="S185" s="14">
        <f>'PIVOT TABLES'!$P$28-'PIVOT TABLES'!$P$27</f>
        <v>31.319999999999993</v>
      </c>
      <c r="T185" s="14">
        <f>200-SUM(Table3[[#This Row],[W - LIGHT]:[W - VIGOROUS]])</f>
        <v>74.72</v>
      </c>
      <c r="U185" s="14">
        <f>'PIVOT TABLES'!$W$26</f>
        <v>55.895999999999994</v>
      </c>
      <c r="V185" s="14">
        <f>'PIVOT TABLES'!$W$27-'PIVOT TABLES'!$W$26</f>
        <v>27.948</v>
      </c>
      <c r="W185" s="14">
        <f>'PIVOT TABLES'!$W$28-'PIVOT TABLES'!$W$27</f>
        <v>27.947999999999993</v>
      </c>
      <c r="X185" s="14">
        <f>200-SUM(Table3[[#This Row],[S - LIGHT]:[S - VIGOROUS]])</f>
        <v>88.208000000000013</v>
      </c>
    </row>
    <row r="186" spans="1:24" x14ac:dyDescent="0.25">
      <c r="A186" s="17" t="s">
        <v>5</v>
      </c>
      <c r="B186" s="13" t="str">
        <f t="shared" si="2"/>
        <v>Midfielder</v>
      </c>
      <c r="C186" s="7">
        <v>45234.610706018517</v>
      </c>
      <c r="D186" s="14">
        <v>7162</v>
      </c>
      <c r="E186" s="14">
        <v>180</v>
      </c>
      <c r="F186" s="14">
        <v>24</v>
      </c>
      <c r="G186" s="14">
        <v>20</v>
      </c>
      <c r="H186" s="14">
        <v>78.38</v>
      </c>
      <c r="I186" s="14">
        <f>'PIVOT TABLES'!$B$26</f>
        <v>60.283999999999999</v>
      </c>
      <c r="J186" s="14">
        <f>'PIVOT TABLES'!$B$27-'PIVOT TABLES'!$B$26</f>
        <v>30.142000000000003</v>
      </c>
      <c r="K186" s="14">
        <f>'PIVOT TABLES'!$B$28-'PIVOT TABLES'!$B$27</f>
        <v>30.141999999999996</v>
      </c>
      <c r="L186" s="14">
        <f>200-SUM(Table3[[#This Row],[D - LIGHT]:[D - VIGOROUS]])</f>
        <v>79.432000000000002</v>
      </c>
      <c r="M186" s="14">
        <f>'PIVOT TABLES'!$I$26</f>
        <v>65.603999999999999</v>
      </c>
      <c r="N186" s="14">
        <f>'PIVOT TABLES'!$I$27-'PIVOT TABLES'!$I$26</f>
        <v>32.802000000000007</v>
      </c>
      <c r="O186" s="14">
        <f>'PIVOT TABLES'!$I$28-'PIVOT TABLES'!$I$27</f>
        <v>32.801999999999992</v>
      </c>
      <c r="P186" s="14">
        <f>200-SUM(Table3[[#This Row],[M - LIGHT]:[M - VIGOROUS]])</f>
        <v>68.792000000000002</v>
      </c>
      <c r="Q186" s="14">
        <f>'PIVOT TABLES'!$P$26</f>
        <v>62.64</v>
      </c>
      <c r="R186" s="14">
        <f>'PIVOT TABLES'!$P$27-'PIVOT TABLES'!$P$26</f>
        <v>31.320000000000007</v>
      </c>
      <c r="S186" s="14">
        <f>'PIVOT TABLES'!$P$28-'PIVOT TABLES'!$P$27</f>
        <v>31.319999999999993</v>
      </c>
      <c r="T186" s="14">
        <f>200-SUM(Table3[[#This Row],[W - LIGHT]:[W - VIGOROUS]])</f>
        <v>74.72</v>
      </c>
      <c r="U186" s="14">
        <f>'PIVOT TABLES'!$W$26</f>
        <v>55.895999999999994</v>
      </c>
      <c r="V186" s="14">
        <f>'PIVOT TABLES'!$W$27-'PIVOT TABLES'!$W$26</f>
        <v>27.948</v>
      </c>
      <c r="W186" s="14">
        <f>'PIVOT TABLES'!$W$28-'PIVOT TABLES'!$W$27</f>
        <v>27.947999999999993</v>
      </c>
      <c r="X186" s="14">
        <f>200-SUM(Table3[[#This Row],[S - LIGHT]:[S - VIGOROUS]])</f>
        <v>88.208000000000013</v>
      </c>
    </row>
    <row r="187" spans="1:24" x14ac:dyDescent="0.25">
      <c r="A187" s="17" t="s">
        <v>62</v>
      </c>
      <c r="B187" s="13" t="str">
        <f t="shared" si="2"/>
        <v>Midfielder</v>
      </c>
      <c r="C187" s="7">
        <v>45234.610706018517</v>
      </c>
      <c r="D187" s="14">
        <v>5459</v>
      </c>
      <c r="E187" s="14">
        <v>0</v>
      </c>
      <c r="F187" s="14">
        <v>9</v>
      </c>
      <c r="G187" s="14">
        <v>10</v>
      </c>
      <c r="H187" s="14">
        <v>55.15</v>
      </c>
      <c r="I187" s="14">
        <f>'PIVOT TABLES'!$B$26</f>
        <v>60.283999999999999</v>
      </c>
      <c r="J187" s="14">
        <f>'PIVOT TABLES'!$B$27-'PIVOT TABLES'!$B$26</f>
        <v>30.142000000000003</v>
      </c>
      <c r="K187" s="14">
        <f>'PIVOT TABLES'!$B$28-'PIVOT TABLES'!$B$27</f>
        <v>30.141999999999996</v>
      </c>
      <c r="L187" s="14">
        <f>200-SUM(Table3[[#This Row],[D - LIGHT]:[D - VIGOROUS]])</f>
        <v>79.432000000000002</v>
      </c>
      <c r="M187" s="14">
        <f>'PIVOT TABLES'!$I$26</f>
        <v>65.603999999999999</v>
      </c>
      <c r="N187" s="14">
        <f>'PIVOT TABLES'!$I$27-'PIVOT TABLES'!$I$26</f>
        <v>32.802000000000007</v>
      </c>
      <c r="O187" s="14">
        <f>'PIVOT TABLES'!$I$28-'PIVOT TABLES'!$I$27</f>
        <v>32.801999999999992</v>
      </c>
      <c r="P187" s="14">
        <f>200-SUM(Table3[[#This Row],[M - LIGHT]:[M - VIGOROUS]])</f>
        <v>68.792000000000002</v>
      </c>
      <c r="Q187" s="14">
        <f>'PIVOT TABLES'!$P$26</f>
        <v>62.64</v>
      </c>
      <c r="R187" s="14">
        <f>'PIVOT TABLES'!$P$27-'PIVOT TABLES'!$P$26</f>
        <v>31.320000000000007</v>
      </c>
      <c r="S187" s="14">
        <f>'PIVOT TABLES'!$P$28-'PIVOT TABLES'!$P$27</f>
        <v>31.319999999999993</v>
      </c>
      <c r="T187" s="14">
        <f>200-SUM(Table3[[#This Row],[W - LIGHT]:[W - VIGOROUS]])</f>
        <v>74.72</v>
      </c>
      <c r="U187" s="14">
        <f>'PIVOT TABLES'!$W$26</f>
        <v>55.895999999999994</v>
      </c>
      <c r="V187" s="14">
        <f>'PIVOT TABLES'!$W$27-'PIVOT TABLES'!$W$26</f>
        <v>27.948</v>
      </c>
      <c r="W187" s="14">
        <f>'PIVOT TABLES'!$W$28-'PIVOT TABLES'!$W$27</f>
        <v>27.947999999999993</v>
      </c>
      <c r="X187" s="14">
        <f>200-SUM(Table3[[#This Row],[S - LIGHT]:[S - VIGOROUS]])</f>
        <v>88.208000000000013</v>
      </c>
    </row>
    <row r="188" spans="1:24" x14ac:dyDescent="0.25">
      <c r="A188" s="17" t="s">
        <v>63</v>
      </c>
      <c r="B188" s="13" t="str">
        <f t="shared" si="2"/>
        <v>Winger</v>
      </c>
      <c r="C188" s="7">
        <v>45234.610706018517</v>
      </c>
      <c r="D188" s="14">
        <v>5476</v>
      </c>
      <c r="E188" s="14">
        <v>0</v>
      </c>
      <c r="F188" s="14">
        <v>18</v>
      </c>
      <c r="G188" s="14">
        <v>10</v>
      </c>
      <c r="H188" s="14">
        <v>55.68</v>
      </c>
      <c r="I188" s="14">
        <f>'PIVOT TABLES'!$B$26</f>
        <v>60.283999999999999</v>
      </c>
      <c r="J188" s="14">
        <f>'PIVOT TABLES'!$B$27-'PIVOT TABLES'!$B$26</f>
        <v>30.142000000000003</v>
      </c>
      <c r="K188" s="14">
        <f>'PIVOT TABLES'!$B$28-'PIVOT TABLES'!$B$27</f>
        <v>30.141999999999996</v>
      </c>
      <c r="L188" s="14">
        <f>200-SUM(Table3[[#This Row],[D - LIGHT]:[D - VIGOROUS]])</f>
        <v>79.432000000000002</v>
      </c>
      <c r="M188" s="14">
        <f>'PIVOT TABLES'!$I$26</f>
        <v>65.603999999999999</v>
      </c>
      <c r="N188" s="14">
        <f>'PIVOT TABLES'!$I$27-'PIVOT TABLES'!$I$26</f>
        <v>32.802000000000007</v>
      </c>
      <c r="O188" s="14">
        <f>'PIVOT TABLES'!$I$28-'PIVOT TABLES'!$I$27</f>
        <v>32.801999999999992</v>
      </c>
      <c r="P188" s="14">
        <f>200-SUM(Table3[[#This Row],[M - LIGHT]:[M - VIGOROUS]])</f>
        <v>68.792000000000002</v>
      </c>
      <c r="Q188" s="14">
        <f>'PIVOT TABLES'!$P$26</f>
        <v>62.64</v>
      </c>
      <c r="R188" s="14">
        <f>'PIVOT TABLES'!$P$27-'PIVOT TABLES'!$P$26</f>
        <v>31.320000000000007</v>
      </c>
      <c r="S188" s="14">
        <f>'PIVOT TABLES'!$P$28-'PIVOT TABLES'!$P$27</f>
        <v>31.319999999999993</v>
      </c>
      <c r="T188" s="14">
        <f>200-SUM(Table3[[#This Row],[W - LIGHT]:[W - VIGOROUS]])</f>
        <v>74.72</v>
      </c>
      <c r="U188" s="14">
        <f>'PIVOT TABLES'!$W$26</f>
        <v>55.895999999999994</v>
      </c>
      <c r="V188" s="14">
        <f>'PIVOT TABLES'!$W$27-'PIVOT TABLES'!$W$26</f>
        <v>27.948</v>
      </c>
      <c r="W188" s="14">
        <f>'PIVOT TABLES'!$W$28-'PIVOT TABLES'!$W$27</f>
        <v>27.947999999999993</v>
      </c>
      <c r="X188" s="14">
        <f>200-SUM(Table3[[#This Row],[S - LIGHT]:[S - VIGOROUS]])</f>
        <v>88.208000000000013</v>
      </c>
    </row>
    <row r="189" spans="1:24" x14ac:dyDescent="0.25">
      <c r="A189" s="17" t="s">
        <v>64</v>
      </c>
      <c r="B189" s="13" t="str">
        <f t="shared" si="2"/>
        <v>Midfielder</v>
      </c>
      <c r="C189" s="7">
        <v>45234.610706018517</v>
      </c>
      <c r="D189" s="14">
        <v>13887</v>
      </c>
      <c r="E189" s="14">
        <v>140</v>
      </c>
      <c r="F189" s="14">
        <v>55</v>
      </c>
      <c r="G189" s="14">
        <v>46</v>
      </c>
      <c r="H189" s="14">
        <v>146.19</v>
      </c>
      <c r="I189" s="14">
        <f>'PIVOT TABLES'!$B$26</f>
        <v>60.283999999999999</v>
      </c>
      <c r="J189" s="14">
        <f>'PIVOT TABLES'!$B$27-'PIVOT TABLES'!$B$26</f>
        <v>30.142000000000003</v>
      </c>
      <c r="K189" s="14">
        <f>'PIVOT TABLES'!$B$28-'PIVOT TABLES'!$B$27</f>
        <v>30.141999999999996</v>
      </c>
      <c r="L189" s="14">
        <f>200-SUM(Table3[[#This Row],[D - LIGHT]:[D - VIGOROUS]])</f>
        <v>79.432000000000002</v>
      </c>
      <c r="M189" s="14">
        <f>'PIVOT TABLES'!$I$26</f>
        <v>65.603999999999999</v>
      </c>
      <c r="N189" s="14">
        <f>'PIVOT TABLES'!$I$27-'PIVOT TABLES'!$I$26</f>
        <v>32.802000000000007</v>
      </c>
      <c r="O189" s="14">
        <f>'PIVOT TABLES'!$I$28-'PIVOT TABLES'!$I$27</f>
        <v>32.801999999999992</v>
      </c>
      <c r="P189" s="14">
        <f>200-SUM(Table3[[#This Row],[M - LIGHT]:[M - VIGOROUS]])</f>
        <v>68.792000000000002</v>
      </c>
      <c r="Q189" s="14">
        <f>'PIVOT TABLES'!$P$26</f>
        <v>62.64</v>
      </c>
      <c r="R189" s="14">
        <f>'PIVOT TABLES'!$P$27-'PIVOT TABLES'!$P$26</f>
        <v>31.320000000000007</v>
      </c>
      <c r="S189" s="14">
        <f>'PIVOT TABLES'!$P$28-'PIVOT TABLES'!$P$27</f>
        <v>31.319999999999993</v>
      </c>
      <c r="T189" s="14">
        <f>200-SUM(Table3[[#This Row],[W - LIGHT]:[W - VIGOROUS]])</f>
        <v>74.72</v>
      </c>
      <c r="U189" s="14">
        <f>'PIVOT TABLES'!$W$26</f>
        <v>55.895999999999994</v>
      </c>
      <c r="V189" s="14">
        <f>'PIVOT TABLES'!$W$27-'PIVOT TABLES'!$W$26</f>
        <v>27.948</v>
      </c>
      <c r="W189" s="14">
        <f>'PIVOT TABLES'!$W$28-'PIVOT TABLES'!$W$27</f>
        <v>27.947999999999993</v>
      </c>
      <c r="X189" s="14">
        <f>200-SUM(Table3[[#This Row],[S - LIGHT]:[S - VIGOROUS]])</f>
        <v>88.208000000000013</v>
      </c>
    </row>
    <row r="190" spans="1:24" x14ac:dyDescent="0.25">
      <c r="A190" s="17" t="s">
        <v>65</v>
      </c>
      <c r="B190" s="13" t="str">
        <f t="shared" si="2"/>
        <v>Winger</v>
      </c>
      <c r="C190" s="7">
        <v>45234.610706018517</v>
      </c>
      <c r="D190" s="14">
        <v>6570</v>
      </c>
      <c r="E190" s="14">
        <v>64</v>
      </c>
      <c r="F190" s="14">
        <v>24</v>
      </c>
      <c r="G190" s="14">
        <v>8</v>
      </c>
      <c r="H190" s="14">
        <v>68.739999999999995</v>
      </c>
      <c r="I190" s="14">
        <f>'PIVOT TABLES'!$B$26</f>
        <v>60.283999999999999</v>
      </c>
      <c r="J190" s="14">
        <f>'PIVOT TABLES'!$B$27-'PIVOT TABLES'!$B$26</f>
        <v>30.142000000000003</v>
      </c>
      <c r="K190" s="14">
        <f>'PIVOT TABLES'!$B$28-'PIVOT TABLES'!$B$27</f>
        <v>30.141999999999996</v>
      </c>
      <c r="L190" s="14">
        <f>200-SUM(Table3[[#This Row],[D - LIGHT]:[D - VIGOROUS]])</f>
        <v>79.432000000000002</v>
      </c>
      <c r="M190" s="14">
        <f>'PIVOT TABLES'!$I$26</f>
        <v>65.603999999999999</v>
      </c>
      <c r="N190" s="14">
        <f>'PIVOT TABLES'!$I$27-'PIVOT TABLES'!$I$26</f>
        <v>32.802000000000007</v>
      </c>
      <c r="O190" s="14">
        <f>'PIVOT TABLES'!$I$28-'PIVOT TABLES'!$I$27</f>
        <v>32.801999999999992</v>
      </c>
      <c r="P190" s="14">
        <f>200-SUM(Table3[[#This Row],[M - LIGHT]:[M - VIGOROUS]])</f>
        <v>68.792000000000002</v>
      </c>
      <c r="Q190" s="14">
        <f>'PIVOT TABLES'!$P$26</f>
        <v>62.64</v>
      </c>
      <c r="R190" s="14">
        <f>'PIVOT TABLES'!$P$27-'PIVOT TABLES'!$P$26</f>
        <v>31.320000000000007</v>
      </c>
      <c r="S190" s="14">
        <f>'PIVOT TABLES'!$P$28-'PIVOT TABLES'!$P$27</f>
        <v>31.319999999999993</v>
      </c>
      <c r="T190" s="14">
        <f>200-SUM(Table3[[#This Row],[W - LIGHT]:[W - VIGOROUS]])</f>
        <v>74.72</v>
      </c>
      <c r="U190" s="14">
        <f>'PIVOT TABLES'!$W$26</f>
        <v>55.895999999999994</v>
      </c>
      <c r="V190" s="14">
        <f>'PIVOT TABLES'!$W$27-'PIVOT TABLES'!$W$26</f>
        <v>27.948</v>
      </c>
      <c r="W190" s="14">
        <f>'PIVOT TABLES'!$W$28-'PIVOT TABLES'!$W$27</f>
        <v>27.947999999999993</v>
      </c>
      <c r="X190" s="14">
        <f>200-SUM(Table3[[#This Row],[S - LIGHT]:[S - VIGOROUS]])</f>
        <v>88.208000000000013</v>
      </c>
    </row>
    <row r="191" spans="1:24" x14ac:dyDescent="0.25">
      <c r="A191" s="17" t="s">
        <v>66</v>
      </c>
      <c r="B191" s="13" t="str">
        <f t="shared" si="2"/>
        <v>Striker</v>
      </c>
      <c r="C191" s="7">
        <v>45234.610706018517</v>
      </c>
      <c r="D191" s="14">
        <v>12979</v>
      </c>
      <c r="E191" s="14">
        <v>167</v>
      </c>
      <c r="F191" s="14">
        <v>72</v>
      </c>
      <c r="G191" s="14">
        <v>62</v>
      </c>
      <c r="H191" s="14">
        <v>138.91999999999999</v>
      </c>
      <c r="I191" s="14">
        <f>'PIVOT TABLES'!$B$26</f>
        <v>60.283999999999999</v>
      </c>
      <c r="J191" s="14">
        <f>'PIVOT TABLES'!$B$27-'PIVOT TABLES'!$B$26</f>
        <v>30.142000000000003</v>
      </c>
      <c r="K191" s="14">
        <f>'PIVOT TABLES'!$B$28-'PIVOT TABLES'!$B$27</f>
        <v>30.141999999999996</v>
      </c>
      <c r="L191" s="14">
        <f>200-SUM(Table3[[#This Row],[D - LIGHT]:[D - VIGOROUS]])</f>
        <v>79.432000000000002</v>
      </c>
      <c r="M191" s="14">
        <f>'PIVOT TABLES'!$I$26</f>
        <v>65.603999999999999</v>
      </c>
      <c r="N191" s="14">
        <f>'PIVOT TABLES'!$I$27-'PIVOT TABLES'!$I$26</f>
        <v>32.802000000000007</v>
      </c>
      <c r="O191" s="14">
        <f>'PIVOT TABLES'!$I$28-'PIVOT TABLES'!$I$27</f>
        <v>32.801999999999992</v>
      </c>
      <c r="P191" s="14">
        <f>200-SUM(Table3[[#This Row],[M - LIGHT]:[M - VIGOROUS]])</f>
        <v>68.792000000000002</v>
      </c>
      <c r="Q191" s="14">
        <f>'PIVOT TABLES'!$P$26</f>
        <v>62.64</v>
      </c>
      <c r="R191" s="14">
        <f>'PIVOT TABLES'!$P$27-'PIVOT TABLES'!$P$26</f>
        <v>31.320000000000007</v>
      </c>
      <c r="S191" s="14">
        <f>'PIVOT TABLES'!$P$28-'PIVOT TABLES'!$P$27</f>
        <v>31.319999999999993</v>
      </c>
      <c r="T191" s="14">
        <f>200-SUM(Table3[[#This Row],[W - LIGHT]:[W - VIGOROUS]])</f>
        <v>74.72</v>
      </c>
      <c r="U191" s="14">
        <f>'PIVOT TABLES'!$W$26</f>
        <v>55.895999999999994</v>
      </c>
      <c r="V191" s="14">
        <f>'PIVOT TABLES'!$W$27-'PIVOT TABLES'!$W$26</f>
        <v>27.948</v>
      </c>
      <c r="W191" s="14">
        <f>'PIVOT TABLES'!$W$28-'PIVOT TABLES'!$W$27</f>
        <v>27.947999999999993</v>
      </c>
      <c r="X191" s="14">
        <f>200-SUM(Table3[[#This Row],[S - LIGHT]:[S - VIGOROUS]])</f>
        <v>88.208000000000013</v>
      </c>
    </row>
    <row r="192" spans="1:24" x14ac:dyDescent="0.25">
      <c r="A192" s="17" t="s">
        <v>8</v>
      </c>
      <c r="B192" s="13" t="str">
        <f t="shared" si="2"/>
        <v>Striker</v>
      </c>
      <c r="C192" s="7">
        <v>45234.610706018517</v>
      </c>
      <c r="D192" s="14">
        <v>9465</v>
      </c>
      <c r="E192" s="14">
        <v>298</v>
      </c>
      <c r="F192" s="14">
        <v>44</v>
      </c>
      <c r="G192" s="14">
        <v>40</v>
      </c>
      <c r="H192" s="14">
        <v>106.15</v>
      </c>
      <c r="I192" s="14">
        <f>'PIVOT TABLES'!$B$26</f>
        <v>60.283999999999999</v>
      </c>
      <c r="J192" s="14">
        <f>'PIVOT TABLES'!$B$27-'PIVOT TABLES'!$B$26</f>
        <v>30.142000000000003</v>
      </c>
      <c r="K192" s="14">
        <f>'PIVOT TABLES'!$B$28-'PIVOT TABLES'!$B$27</f>
        <v>30.141999999999996</v>
      </c>
      <c r="L192" s="14">
        <f>200-SUM(Table3[[#This Row],[D - LIGHT]:[D - VIGOROUS]])</f>
        <v>79.432000000000002</v>
      </c>
      <c r="M192" s="14">
        <f>'PIVOT TABLES'!$I$26</f>
        <v>65.603999999999999</v>
      </c>
      <c r="N192" s="14">
        <f>'PIVOT TABLES'!$I$27-'PIVOT TABLES'!$I$26</f>
        <v>32.802000000000007</v>
      </c>
      <c r="O192" s="14">
        <f>'PIVOT TABLES'!$I$28-'PIVOT TABLES'!$I$27</f>
        <v>32.801999999999992</v>
      </c>
      <c r="P192" s="14">
        <f>200-SUM(Table3[[#This Row],[M - LIGHT]:[M - VIGOROUS]])</f>
        <v>68.792000000000002</v>
      </c>
      <c r="Q192" s="14">
        <f>'PIVOT TABLES'!$P$26</f>
        <v>62.64</v>
      </c>
      <c r="R192" s="14">
        <f>'PIVOT TABLES'!$P$27-'PIVOT TABLES'!$P$26</f>
        <v>31.320000000000007</v>
      </c>
      <c r="S192" s="14">
        <f>'PIVOT TABLES'!$P$28-'PIVOT TABLES'!$P$27</f>
        <v>31.319999999999993</v>
      </c>
      <c r="T192" s="14">
        <f>200-SUM(Table3[[#This Row],[W - LIGHT]:[W - VIGOROUS]])</f>
        <v>74.72</v>
      </c>
      <c r="U192" s="14">
        <f>'PIVOT TABLES'!$W$26</f>
        <v>55.895999999999994</v>
      </c>
      <c r="V192" s="14">
        <f>'PIVOT TABLES'!$W$27-'PIVOT TABLES'!$W$26</f>
        <v>27.948</v>
      </c>
      <c r="W192" s="14">
        <f>'PIVOT TABLES'!$W$28-'PIVOT TABLES'!$W$27</f>
        <v>27.947999999999993</v>
      </c>
      <c r="X192" s="14">
        <f>200-SUM(Table3[[#This Row],[S - LIGHT]:[S - VIGOROUS]])</f>
        <v>88.208000000000013</v>
      </c>
    </row>
    <row r="193" spans="1:24" x14ac:dyDescent="0.25">
      <c r="A193" s="17" t="s">
        <v>9</v>
      </c>
      <c r="B193" s="13" t="str">
        <f t="shared" si="2"/>
        <v>Striker</v>
      </c>
      <c r="C193" s="7">
        <v>45234.610706018517</v>
      </c>
      <c r="D193" s="14">
        <v>6629</v>
      </c>
      <c r="E193" s="14">
        <v>4</v>
      </c>
      <c r="F193" s="14">
        <v>26</v>
      </c>
      <c r="G193" s="14">
        <v>28</v>
      </c>
      <c r="H193" s="14">
        <v>68.010000000000005</v>
      </c>
      <c r="I193" s="14">
        <f>'PIVOT TABLES'!$B$26</f>
        <v>60.283999999999999</v>
      </c>
      <c r="J193" s="14">
        <f>'PIVOT TABLES'!$B$27-'PIVOT TABLES'!$B$26</f>
        <v>30.142000000000003</v>
      </c>
      <c r="K193" s="14">
        <f>'PIVOT TABLES'!$B$28-'PIVOT TABLES'!$B$27</f>
        <v>30.141999999999996</v>
      </c>
      <c r="L193" s="14">
        <f>200-SUM(Table3[[#This Row],[D - LIGHT]:[D - VIGOROUS]])</f>
        <v>79.432000000000002</v>
      </c>
      <c r="M193" s="14">
        <f>'PIVOT TABLES'!$I$26</f>
        <v>65.603999999999999</v>
      </c>
      <c r="N193" s="14">
        <f>'PIVOT TABLES'!$I$27-'PIVOT TABLES'!$I$26</f>
        <v>32.802000000000007</v>
      </c>
      <c r="O193" s="14">
        <f>'PIVOT TABLES'!$I$28-'PIVOT TABLES'!$I$27</f>
        <v>32.801999999999992</v>
      </c>
      <c r="P193" s="14">
        <f>200-SUM(Table3[[#This Row],[M - LIGHT]:[M - VIGOROUS]])</f>
        <v>68.792000000000002</v>
      </c>
      <c r="Q193" s="14">
        <f>'PIVOT TABLES'!$P$26</f>
        <v>62.64</v>
      </c>
      <c r="R193" s="14">
        <f>'PIVOT TABLES'!$P$27-'PIVOT TABLES'!$P$26</f>
        <v>31.320000000000007</v>
      </c>
      <c r="S193" s="14">
        <f>'PIVOT TABLES'!$P$28-'PIVOT TABLES'!$P$27</f>
        <v>31.319999999999993</v>
      </c>
      <c r="T193" s="14">
        <f>200-SUM(Table3[[#This Row],[W - LIGHT]:[W - VIGOROUS]])</f>
        <v>74.72</v>
      </c>
      <c r="U193" s="14">
        <f>'PIVOT TABLES'!$W$26</f>
        <v>55.895999999999994</v>
      </c>
      <c r="V193" s="14">
        <f>'PIVOT TABLES'!$W$27-'PIVOT TABLES'!$W$26</f>
        <v>27.948</v>
      </c>
      <c r="W193" s="14">
        <f>'PIVOT TABLES'!$W$28-'PIVOT TABLES'!$W$27</f>
        <v>27.947999999999993</v>
      </c>
      <c r="X193" s="14">
        <f>200-SUM(Table3[[#This Row],[S - LIGHT]:[S - VIGOROUS]])</f>
        <v>88.208000000000013</v>
      </c>
    </row>
    <row r="194" spans="1:24" x14ac:dyDescent="0.25">
      <c r="A194" s="17" t="s">
        <v>69</v>
      </c>
      <c r="B194" s="13" t="str">
        <f t="shared" si="2"/>
        <v>Midfielder</v>
      </c>
      <c r="C194" s="7">
        <v>45234.610706018517</v>
      </c>
      <c r="D194" s="14">
        <v>6976</v>
      </c>
      <c r="E194" s="14">
        <v>11</v>
      </c>
      <c r="F194" s="14">
        <v>23</v>
      </c>
      <c r="G194" s="14">
        <v>18</v>
      </c>
      <c r="H194" s="14">
        <v>71.37</v>
      </c>
      <c r="I194" s="14">
        <f>'PIVOT TABLES'!$B$26</f>
        <v>60.283999999999999</v>
      </c>
      <c r="J194" s="14">
        <f>'PIVOT TABLES'!$B$27-'PIVOT TABLES'!$B$26</f>
        <v>30.142000000000003</v>
      </c>
      <c r="K194" s="14">
        <f>'PIVOT TABLES'!$B$28-'PIVOT TABLES'!$B$27</f>
        <v>30.141999999999996</v>
      </c>
      <c r="L194" s="14">
        <f>200-SUM(Table3[[#This Row],[D - LIGHT]:[D - VIGOROUS]])</f>
        <v>79.432000000000002</v>
      </c>
      <c r="M194" s="14">
        <f>'PIVOT TABLES'!$I$26</f>
        <v>65.603999999999999</v>
      </c>
      <c r="N194" s="14">
        <f>'PIVOT TABLES'!$I$27-'PIVOT TABLES'!$I$26</f>
        <v>32.802000000000007</v>
      </c>
      <c r="O194" s="14">
        <f>'PIVOT TABLES'!$I$28-'PIVOT TABLES'!$I$27</f>
        <v>32.801999999999992</v>
      </c>
      <c r="P194" s="14">
        <f>200-SUM(Table3[[#This Row],[M - LIGHT]:[M - VIGOROUS]])</f>
        <v>68.792000000000002</v>
      </c>
      <c r="Q194" s="14">
        <f>'PIVOT TABLES'!$P$26</f>
        <v>62.64</v>
      </c>
      <c r="R194" s="14">
        <f>'PIVOT TABLES'!$P$27-'PIVOT TABLES'!$P$26</f>
        <v>31.320000000000007</v>
      </c>
      <c r="S194" s="14">
        <f>'PIVOT TABLES'!$P$28-'PIVOT TABLES'!$P$27</f>
        <v>31.319999999999993</v>
      </c>
      <c r="T194" s="14">
        <f>200-SUM(Table3[[#This Row],[W - LIGHT]:[W - VIGOROUS]])</f>
        <v>74.72</v>
      </c>
      <c r="U194" s="14">
        <f>'PIVOT TABLES'!$W$26</f>
        <v>55.895999999999994</v>
      </c>
      <c r="V194" s="14">
        <f>'PIVOT TABLES'!$W$27-'PIVOT TABLES'!$W$26</f>
        <v>27.948</v>
      </c>
      <c r="W194" s="14">
        <f>'PIVOT TABLES'!$W$28-'PIVOT TABLES'!$W$27</f>
        <v>27.947999999999993</v>
      </c>
      <c r="X194" s="14">
        <f>200-SUM(Table3[[#This Row],[S - LIGHT]:[S - VIGOROUS]])</f>
        <v>88.208000000000013</v>
      </c>
    </row>
    <row r="195" spans="1:24" x14ac:dyDescent="0.25">
      <c r="A195" s="17" t="s">
        <v>70</v>
      </c>
      <c r="B195" s="13" t="str">
        <f t="shared" ref="B195:B258" si="3">IF(A195="Sihle Gum","Defender",IF(A195="Kenny Langa","Defender",IF(A195="Tshepang Makara","Defender",IF(A195="Tshepiso Mahlangu","Defender",IF(A195="Neo Ramashala","Defender",IF(A195="Keabetswe Nkogatse","Defender",IF(A195="Kaketso Harold Majadibodu","Defender",IF(A195="Samuel Julies","Midfielder",IF(A195="Frank Mpedi","Midfielder",IF(A195="Sapholwethu Kelepu","Midfielder",IF(A195="Manelisi Sithole","Midfielder",IF(A195="Thabiso Mokoena","Midfielder",IF(A195="Khomotso Marebane","Midfielder",IF(A195="Tebogo Mohlamonyane","Midfielder",IF(A195="Thulani Zandamela","Midfielder",IF(A195="Mdevulana Camagu","Midfielder",IF(A195="Promise Mkhuma","Midfielder",IF(A195="Essien Makwarimba","Midfielder",IF(A195="Ayanda Mvambi","Winger",IF(A195="Delano Abrahams","Winger",IF(A195="Thokozani Sekotlong","Winger",IF(A195="Maselaelo Seanego","Winger",IF(A195="Lesedi Motha","Winger",IF(A195="Malekgene Mampuru","Winger",IF(A195="Matome Rangata","Winger",IF(A195="Thabang Sibanyoni","Striker",IF(A195="Tebogo Makungo","Striker",IF(A195="Neo Dikgale","Striker",IF(A195="Kamohelo Pheeane","Striker",IF(A195="Athenkosi Tonisi","Striker",IF(A195="Jesse Francis","Striker","####")))))))))))))))))))))))))))))))</f>
        <v>Winger</v>
      </c>
      <c r="C195" s="7">
        <v>45247.404849537037</v>
      </c>
      <c r="D195" s="14">
        <v>10476</v>
      </c>
      <c r="E195" s="14">
        <v>101</v>
      </c>
      <c r="F195" s="14">
        <v>27</v>
      </c>
      <c r="G195" s="14">
        <v>29</v>
      </c>
      <c r="H195" s="14">
        <v>109.45</v>
      </c>
      <c r="I195" s="14">
        <f>'PIVOT TABLES'!$B$26</f>
        <v>60.283999999999999</v>
      </c>
      <c r="J195" s="14">
        <f>'PIVOT TABLES'!$B$27-'PIVOT TABLES'!$B$26</f>
        <v>30.142000000000003</v>
      </c>
      <c r="K195" s="14">
        <f>'PIVOT TABLES'!$B$28-'PIVOT TABLES'!$B$27</f>
        <v>30.141999999999996</v>
      </c>
      <c r="L195" s="14">
        <f>200-SUM(Table3[[#This Row],[D - LIGHT]:[D - VIGOROUS]])</f>
        <v>79.432000000000002</v>
      </c>
      <c r="M195" s="14">
        <f>'PIVOT TABLES'!$I$26</f>
        <v>65.603999999999999</v>
      </c>
      <c r="N195" s="14">
        <f>'PIVOT TABLES'!$I$27-'PIVOT TABLES'!$I$26</f>
        <v>32.802000000000007</v>
      </c>
      <c r="O195" s="14">
        <f>'PIVOT TABLES'!$I$28-'PIVOT TABLES'!$I$27</f>
        <v>32.801999999999992</v>
      </c>
      <c r="P195" s="14">
        <f>200-SUM(Table3[[#This Row],[M - LIGHT]:[M - VIGOROUS]])</f>
        <v>68.792000000000002</v>
      </c>
      <c r="Q195" s="14">
        <f>'PIVOT TABLES'!$P$26</f>
        <v>62.64</v>
      </c>
      <c r="R195" s="14">
        <f>'PIVOT TABLES'!$P$27-'PIVOT TABLES'!$P$26</f>
        <v>31.320000000000007</v>
      </c>
      <c r="S195" s="14">
        <f>'PIVOT TABLES'!$P$28-'PIVOT TABLES'!$P$27</f>
        <v>31.319999999999993</v>
      </c>
      <c r="T195" s="14">
        <f>200-SUM(Table3[[#This Row],[W - LIGHT]:[W - VIGOROUS]])</f>
        <v>74.72</v>
      </c>
      <c r="U195" s="14">
        <f>'PIVOT TABLES'!$W$26</f>
        <v>55.895999999999994</v>
      </c>
      <c r="V195" s="14">
        <f>'PIVOT TABLES'!$W$27-'PIVOT TABLES'!$W$26</f>
        <v>27.948</v>
      </c>
      <c r="W195" s="14">
        <f>'PIVOT TABLES'!$W$28-'PIVOT TABLES'!$W$27</f>
        <v>27.947999999999993</v>
      </c>
      <c r="X195" s="14">
        <f>200-SUM(Table3[[#This Row],[S - LIGHT]:[S - VIGOROUS]])</f>
        <v>88.208000000000013</v>
      </c>
    </row>
    <row r="196" spans="1:24" x14ac:dyDescent="0.25">
      <c r="A196" s="17" t="s">
        <v>53</v>
      </c>
      <c r="B196" s="13" t="str">
        <f t="shared" si="3"/>
        <v>Midfielder</v>
      </c>
      <c r="C196" s="7">
        <v>45247.404849537037</v>
      </c>
      <c r="D196" s="14">
        <v>11443</v>
      </c>
      <c r="E196" s="14">
        <v>177</v>
      </c>
      <c r="F196" s="14">
        <v>40</v>
      </c>
      <c r="G196" s="14">
        <v>24</v>
      </c>
      <c r="H196" s="14">
        <v>121.82</v>
      </c>
      <c r="I196" s="14">
        <f>'PIVOT TABLES'!$B$26</f>
        <v>60.283999999999999</v>
      </c>
      <c r="J196" s="14">
        <f>'PIVOT TABLES'!$B$27-'PIVOT TABLES'!$B$26</f>
        <v>30.142000000000003</v>
      </c>
      <c r="K196" s="14">
        <f>'PIVOT TABLES'!$B$28-'PIVOT TABLES'!$B$27</f>
        <v>30.141999999999996</v>
      </c>
      <c r="L196" s="14">
        <f>200-SUM(Table3[[#This Row],[D - LIGHT]:[D - VIGOROUS]])</f>
        <v>79.432000000000002</v>
      </c>
      <c r="M196" s="14">
        <f>'PIVOT TABLES'!$I$26</f>
        <v>65.603999999999999</v>
      </c>
      <c r="N196" s="14">
        <f>'PIVOT TABLES'!$I$27-'PIVOT TABLES'!$I$26</f>
        <v>32.802000000000007</v>
      </c>
      <c r="O196" s="14">
        <f>'PIVOT TABLES'!$I$28-'PIVOT TABLES'!$I$27</f>
        <v>32.801999999999992</v>
      </c>
      <c r="P196" s="14">
        <f>200-SUM(Table3[[#This Row],[M - LIGHT]:[M - VIGOROUS]])</f>
        <v>68.792000000000002</v>
      </c>
      <c r="Q196" s="14">
        <f>'PIVOT TABLES'!$P$26</f>
        <v>62.64</v>
      </c>
      <c r="R196" s="14">
        <f>'PIVOT TABLES'!$P$27-'PIVOT TABLES'!$P$26</f>
        <v>31.320000000000007</v>
      </c>
      <c r="S196" s="14">
        <f>'PIVOT TABLES'!$P$28-'PIVOT TABLES'!$P$27</f>
        <v>31.319999999999993</v>
      </c>
      <c r="T196" s="14">
        <f>200-SUM(Table3[[#This Row],[W - LIGHT]:[W - VIGOROUS]])</f>
        <v>74.72</v>
      </c>
      <c r="U196" s="14">
        <f>'PIVOT TABLES'!$W$26</f>
        <v>55.895999999999994</v>
      </c>
      <c r="V196" s="14">
        <f>'PIVOT TABLES'!$W$27-'PIVOT TABLES'!$W$26</f>
        <v>27.948</v>
      </c>
      <c r="W196" s="14">
        <f>'PIVOT TABLES'!$W$28-'PIVOT TABLES'!$W$27</f>
        <v>27.947999999999993</v>
      </c>
      <c r="X196" s="14">
        <f>200-SUM(Table3[[#This Row],[S - LIGHT]:[S - VIGOROUS]])</f>
        <v>88.208000000000013</v>
      </c>
    </row>
    <row r="197" spans="1:24" x14ac:dyDescent="0.25">
      <c r="A197" s="17" t="s">
        <v>55</v>
      </c>
      <c r="B197" s="13" t="str">
        <f t="shared" si="3"/>
        <v>Striker</v>
      </c>
      <c r="C197" s="7">
        <v>45247.404849537037</v>
      </c>
      <c r="D197" s="14">
        <v>1949</v>
      </c>
      <c r="E197" s="14">
        <v>0</v>
      </c>
      <c r="F197" s="14">
        <v>0</v>
      </c>
      <c r="G197" s="14">
        <v>0</v>
      </c>
      <c r="H197" s="14">
        <v>19.489999999999998</v>
      </c>
      <c r="I197" s="14">
        <f>'PIVOT TABLES'!$B$26</f>
        <v>60.283999999999999</v>
      </c>
      <c r="J197" s="14">
        <f>'PIVOT TABLES'!$B$27-'PIVOT TABLES'!$B$26</f>
        <v>30.142000000000003</v>
      </c>
      <c r="K197" s="14">
        <f>'PIVOT TABLES'!$B$28-'PIVOT TABLES'!$B$27</f>
        <v>30.141999999999996</v>
      </c>
      <c r="L197" s="14">
        <f>200-SUM(Table3[[#This Row],[D - LIGHT]:[D - VIGOROUS]])</f>
        <v>79.432000000000002</v>
      </c>
      <c r="M197" s="14">
        <f>'PIVOT TABLES'!$I$26</f>
        <v>65.603999999999999</v>
      </c>
      <c r="N197" s="14">
        <f>'PIVOT TABLES'!$I$27-'PIVOT TABLES'!$I$26</f>
        <v>32.802000000000007</v>
      </c>
      <c r="O197" s="14">
        <f>'PIVOT TABLES'!$I$28-'PIVOT TABLES'!$I$27</f>
        <v>32.801999999999992</v>
      </c>
      <c r="P197" s="14">
        <f>200-SUM(Table3[[#This Row],[M - LIGHT]:[M - VIGOROUS]])</f>
        <v>68.792000000000002</v>
      </c>
      <c r="Q197" s="14">
        <f>'PIVOT TABLES'!$P$26</f>
        <v>62.64</v>
      </c>
      <c r="R197" s="14">
        <f>'PIVOT TABLES'!$P$27-'PIVOT TABLES'!$P$26</f>
        <v>31.320000000000007</v>
      </c>
      <c r="S197" s="14">
        <f>'PIVOT TABLES'!$P$28-'PIVOT TABLES'!$P$27</f>
        <v>31.319999999999993</v>
      </c>
      <c r="T197" s="14">
        <f>200-SUM(Table3[[#This Row],[W - LIGHT]:[W - VIGOROUS]])</f>
        <v>74.72</v>
      </c>
      <c r="U197" s="14">
        <f>'PIVOT TABLES'!$W$26</f>
        <v>55.895999999999994</v>
      </c>
      <c r="V197" s="14">
        <f>'PIVOT TABLES'!$W$27-'PIVOT TABLES'!$W$26</f>
        <v>27.948</v>
      </c>
      <c r="W197" s="14">
        <f>'PIVOT TABLES'!$W$28-'PIVOT TABLES'!$W$27</f>
        <v>27.947999999999993</v>
      </c>
      <c r="X197" s="14">
        <f>200-SUM(Table3[[#This Row],[S - LIGHT]:[S - VIGOROUS]])</f>
        <v>88.208000000000013</v>
      </c>
    </row>
    <row r="198" spans="1:24" x14ac:dyDescent="0.25">
      <c r="A198" s="17" t="s">
        <v>1</v>
      </c>
      <c r="B198" s="13" t="str">
        <f t="shared" si="3"/>
        <v>Defender</v>
      </c>
      <c r="C198" s="7">
        <v>45247.404849537037</v>
      </c>
      <c r="D198" s="14">
        <v>9164</v>
      </c>
      <c r="E198" s="14">
        <v>42</v>
      </c>
      <c r="F198" s="14">
        <v>26</v>
      </c>
      <c r="G198" s="14">
        <v>23</v>
      </c>
      <c r="H198" s="14">
        <v>94.4</v>
      </c>
      <c r="I198" s="14">
        <f>'PIVOT TABLES'!$B$26</f>
        <v>60.283999999999999</v>
      </c>
      <c r="J198" s="14">
        <f>'PIVOT TABLES'!$B$27-'PIVOT TABLES'!$B$26</f>
        <v>30.142000000000003</v>
      </c>
      <c r="K198" s="14">
        <f>'PIVOT TABLES'!$B$28-'PIVOT TABLES'!$B$27</f>
        <v>30.141999999999996</v>
      </c>
      <c r="L198" s="14">
        <f>200-SUM(Table3[[#This Row],[D - LIGHT]:[D - VIGOROUS]])</f>
        <v>79.432000000000002</v>
      </c>
      <c r="M198" s="14">
        <f>'PIVOT TABLES'!$I$26</f>
        <v>65.603999999999999</v>
      </c>
      <c r="N198" s="14">
        <f>'PIVOT TABLES'!$I$27-'PIVOT TABLES'!$I$26</f>
        <v>32.802000000000007</v>
      </c>
      <c r="O198" s="14">
        <f>'PIVOT TABLES'!$I$28-'PIVOT TABLES'!$I$27</f>
        <v>32.801999999999992</v>
      </c>
      <c r="P198" s="14">
        <f>200-SUM(Table3[[#This Row],[M - LIGHT]:[M - VIGOROUS]])</f>
        <v>68.792000000000002</v>
      </c>
      <c r="Q198" s="14">
        <f>'PIVOT TABLES'!$P$26</f>
        <v>62.64</v>
      </c>
      <c r="R198" s="14">
        <f>'PIVOT TABLES'!$P$27-'PIVOT TABLES'!$P$26</f>
        <v>31.320000000000007</v>
      </c>
      <c r="S198" s="14">
        <f>'PIVOT TABLES'!$P$28-'PIVOT TABLES'!$P$27</f>
        <v>31.319999999999993</v>
      </c>
      <c r="T198" s="14">
        <f>200-SUM(Table3[[#This Row],[W - LIGHT]:[W - VIGOROUS]])</f>
        <v>74.72</v>
      </c>
      <c r="U198" s="14">
        <f>'PIVOT TABLES'!$W$26</f>
        <v>55.895999999999994</v>
      </c>
      <c r="V198" s="14">
        <f>'PIVOT TABLES'!$W$27-'PIVOT TABLES'!$W$26</f>
        <v>27.948</v>
      </c>
      <c r="W198" s="14">
        <f>'PIVOT TABLES'!$W$28-'PIVOT TABLES'!$W$27</f>
        <v>27.947999999999993</v>
      </c>
      <c r="X198" s="14">
        <f>200-SUM(Table3[[#This Row],[S - LIGHT]:[S - VIGOROUS]])</f>
        <v>88.208000000000013</v>
      </c>
    </row>
    <row r="199" spans="1:24" x14ac:dyDescent="0.25">
      <c r="A199" s="17" t="s">
        <v>56</v>
      </c>
      <c r="B199" s="13" t="str">
        <f t="shared" si="3"/>
        <v>Midfielder</v>
      </c>
      <c r="C199" s="7">
        <v>45247.404849537037</v>
      </c>
      <c r="D199" s="14">
        <v>12454</v>
      </c>
      <c r="E199" s="14">
        <v>77</v>
      </c>
      <c r="F199" s="14">
        <v>14</v>
      </c>
      <c r="G199" s="14">
        <v>18</v>
      </c>
      <c r="H199" s="14">
        <v>127.77</v>
      </c>
      <c r="I199" s="14">
        <f>'PIVOT TABLES'!$B$26</f>
        <v>60.283999999999999</v>
      </c>
      <c r="J199" s="14">
        <f>'PIVOT TABLES'!$B$27-'PIVOT TABLES'!$B$26</f>
        <v>30.142000000000003</v>
      </c>
      <c r="K199" s="14">
        <f>'PIVOT TABLES'!$B$28-'PIVOT TABLES'!$B$27</f>
        <v>30.141999999999996</v>
      </c>
      <c r="L199" s="14">
        <f>200-SUM(Table3[[#This Row],[D - LIGHT]:[D - VIGOROUS]])</f>
        <v>79.432000000000002</v>
      </c>
      <c r="M199" s="14">
        <f>'PIVOT TABLES'!$I$26</f>
        <v>65.603999999999999</v>
      </c>
      <c r="N199" s="14">
        <f>'PIVOT TABLES'!$I$27-'PIVOT TABLES'!$I$26</f>
        <v>32.802000000000007</v>
      </c>
      <c r="O199" s="14">
        <f>'PIVOT TABLES'!$I$28-'PIVOT TABLES'!$I$27</f>
        <v>32.801999999999992</v>
      </c>
      <c r="P199" s="14">
        <f>200-SUM(Table3[[#This Row],[M - LIGHT]:[M - VIGOROUS]])</f>
        <v>68.792000000000002</v>
      </c>
      <c r="Q199" s="14">
        <f>'PIVOT TABLES'!$P$26</f>
        <v>62.64</v>
      </c>
      <c r="R199" s="14">
        <f>'PIVOT TABLES'!$P$27-'PIVOT TABLES'!$P$26</f>
        <v>31.320000000000007</v>
      </c>
      <c r="S199" s="14">
        <f>'PIVOT TABLES'!$P$28-'PIVOT TABLES'!$P$27</f>
        <v>31.319999999999993</v>
      </c>
      <c r="T199" s="14">
        <f>200-SUM(Table3[[#This Row],[W - LIGHT]:[W - VIGOROUS]])</f>
        <v>74.72</v>
      </c>
      <c r="U199" s="14">
        <f>'PIVOT TABLES'!$W$26</f>
        <v>55.895999999999994</v>
      </c>
      <c r="V199" s="14">
        <f>'PIVOT TABLES'!$W$27-'PIVOT TABLES'!$W$26</f>
        <v>27.948</v>
      </c>
      <c r="W199" s="14">
        <f>'PIVOT TABLES'!$W$28-'PIVOT TABLES'!$W$27</f>
        <v>27.947999999999993</v>
      </c>
      <c r="X199" s="14">
        <f>200-SUM(Table3[[#This Row],[S - LIGHT]:[S - VIGOROUS]])</f>
        <v>88.208000000000013</v>
      </c>
    </row>
    <row r="200" spans="1:24" x14ac:dyDescent="0.25">
      <c r="A200" s="17" t="s">
        <v>2</v>
      </c>
      <c r="B200" s="13" t="str">
        <f t="shared" si="3"/>
        <v>Defender</v>
      </c>
      <c r="C200" s="7">
        <v>45247.404849537037</v>
      </c>
      <c r="D200" s="14">
        <v>5941</v>
      </c>
      <c r="E200" s="14">
        <v>135</v>
      </c>
      <c r="F200" s="14">
        <v>35</v>
      </c>
      <c r="G200" s="14">
        <v>20</v>
      </c>
      <c r="H200" s="14">
        <v>65.260000000000005</v>
      </c>
      <c r="I200" s="14">
        <f>'PIVOT TABLES'!$B$26</f>
        <v>60.283999999999999</v>
      </c>
      <c r="J200" s="14">
        <f>'PIVOT TABLES'!$B$27-'PIVOT TABLES'!$B$26</f>
        <v>30.142000000000003</v>
      </c>
      <c r="K200" s="14">
        <f>'PIVOT TABLES'!$B$28-'PIVOT TABLES'!$B$27</f>
        <v>30.141999999999996</v>
      </c>
      <c r="L200" s="14">
        <f>200-SUM(Table3[[#This Row],[D - LIGHT]:[D - VIGOROUS]])</f>
        <v>79.432000000000002</v>
      </c>
      <c r="M200" s="14">
        <f>'PIVOT TABLES'!$I$26</f>
        <v>65.603999999999999</v>
      </c>
      <c r="N200" s="14">
        <f>'PIVOT TABLES'!$I$27-'PIVOT TABLES'!$I$26</f>
        <v>32.802000000000007</v>
      </c>
      <c r="O200" s="14">
        <f>'PIVOT TABLES'!$I$28-'PIVOT TABLES'!$I$27</f>
        <v>32.801999999999992</v>
      </c>
      <c r="P200" s="14">
        <f>200-SUM(Table3[[#This Row],[M - LIGHT]:[M - VIGOROUS]])</f>
        <v>68.792000000000002</v>
      </c>
      <c r="Q200" s="14">
        <f>'PIVOT TABLES'!$P$26</f>
        <v>62.64</v>
      </c>
      <c r="R200" s="14">
        <f>'PIVOT TABLES'!$P$27-'PIVOT TABLES'!$P$26</f>
        <v>31.320000000000007</v>
      </c>
      <c r="S200" s="14">
        <f>'PIVOT TABLES'!$P$28-'PIVOT TABLES'!$P$27</f>
        <v>31.319999999999993</v>
      </c>
      <c r="T200" s="14">
        <f>200-SUM(Table3[[#This Row],[W - LIGHT]:[W - VIGOROUS]])</f>
        <v>74.72</v>
      </c>
      <c r="U200" s="14">
        <f>'PIVOT TABLES'!$W$26</f>
        <v>55.895999999999994</v>
      </c>
      <c r="V200" s="14">
        <f>'PIVOT TABLES'!$W$27-'PIVOT TABLES'!$W$26</f>
        <v>27.948</v>
      </c>
      <c r="W200" s="14">
        <f>'PIVOT TABLES'!$W$28-'PIVOT TABLES'!$W$27</f>
        <v>27.947999999999993</v>
      </c>
      <c r="X200" s="14">
        <f>200-SUM(Table3[[#This Row],[S - LIGHT]:[S - VIGOROUS]])</f>
        <v>88.208000000000013</v>
      </c>
    </row>
    <row r="201" spans="1:24" x14ac:dyDescent="0.25">
      <c r="A201" s="17" t="s">
        <v>58</v>
      </c>
      <c r="B201" s="13" t="str">
        <f t="shared" si="3"/>
        <v>Defender</v>
      </c>
      <c r="C201" s="7">
        <v>45247.404849537037</v>
      </c>
      <c r="D201" s="14">
        <v>10882</v>
      </c>
      <c r="E201" s="14">
        <v>266</v>
      </c>
      <c r="F201" s="14">
        <v>34</v>
      </c>
      <c r="G201" s="14">
        <v>31</v>
      </c>
      <c r="H201" s="14">
        <v>118.78</v>
      </c>
      <c r="I201" s="14">
        <f>'PIVOT TABLES'!$B$26</f>
        <v>60.283999999999999</v>
      </c>
      <c r="J201" s="14">
        <f>'PIVOT TABLES'!$B$27-'PIVOT TABLES'!$B$26</f>
        <v>30.142000000000003</v>
      </c>
      <c r="K201" s="14">
        <f>'PIVOT TABLES'!$B$28-'PIVOT TABLES'!$B$27</f>
        <v>30.141999999999996</v>
      </c>
      <c r="L201" s="14">
        <f>200-SUM(Table3[[#This Row],[D - LIGHT]:[D - VIGOROUS]])</f>
        <v>79.432000000000002</v>
      </c>
      <c r="M201" s="14">
        <f>'PIVOT TABLES'!$I$26</f>
        <v>65.603999999999999</v>
      </c>
      <c r="N201" s="14">
        <f>'PIVOT TABLES'!$I$27-'PIVOT TABLES'!$I$26</f>
        <v>32.802000000000007</v>
      </c>
      <c r="O201" s="14">
        <f>'PIVOT TABLES'!$I$28-'PIVOT TABLES'!$I$27</f>
        <v>32.801999999999992</v>
      </c>
      <c r="P201" s="14">
        <f>200-SUM(Table3[[#This Row],[M - LIGHT]:[M - VIGOROUS]])</f>
        <v>68.792000000000002</v>
      </c>
      <c r="Q201" s="14">
        <f>'PIVOT TABLES'!$P$26</f>
        <v>62.64</v>
      </c>
      <c r="R201" s="14">
        <f>'PIVOT TABLES'!$P$27-'PIVOT TABLES'!$P$26</f>
        <v>31.320000000000007</v>
      </c>
      <c r="S201" s="14">
        <f>'PIVOT TABLES'!$P$28-'PIVOT TABLES'!$P$27</f>
        <v>31.319999999999993</v>
      </c>
      <c r="T201" s="14">
        <f>200-SUM(Table3[[#This Row],[W - LIGHT]:[W - VIGOROUS]])</f>
        <v>74.72</v>
      </c>
      <c r="U201" s="14">
        <f>'PIVOT TABLES'!$W$26</f>
        <v>55.895999999999994</v>
      </c>
      <c r="V201" s="14">
        <f>'PIVOT TABLES'!$W$27-'PIVOT TABLES'!$W$26</f>
        <v>27.948</v>
      </c>
      <c r="W201" s="14">
        <f>'PIVOT TABLES'!$W$28-'PIVOT TABLES'!$W$27</f>
        <v>27.947999999999993</v>
      </c>
      <c r="X201" s="14">
        <f>200-SUM(Table3[[#This Row],[S - LIGHT]:[S - VIGOROUS]])</f>
        <v>88.208000000000013</v>
      </c>
    </row>
    <row r="202" spans="1:24" x14ac:dyDescent="0.25">
      <c r="A202" s="17" t="s">
        <v>3</v>
      </c>
      <c r="B202" s="13" t="str">
        <f t="shared" si="3"/>
        <v>Defender</v>
      </c>
      <c r="C202" s="7">
        <v>45247.404849537037</v>
      </c>
      <c r="D202" s="14">
        <v>10540</v>
      </c>
      <c r="E202" s="14">
        <v>189</v>
      </c>
      <c r="F202" s="14">
        <v>32</v>
      </c>
      <c r="G202" s="14">
        <v>30</v>
      </c>
      <c r="H202" s="14">
        <v>112.95</v>
      </c>
      <c r="I202" s="14">
        <f>'PIVOT TABLES'!$B$26</f>
        <v>60.283999999999999</v>
      </c>
      <c r="J202" s="14">
        <f>'PIVOT TABLES'!$B$27-'PIVOT TABLES'!$B$26</f>
        <v>30.142000000000003</v>
      </c>
      <c r="K202" s="14">
        <f>'PIVOT TABLES'!$B$28-'PIVOT TABLES'!$B$27</f>
        <v>30.141999999999996</v>
      </c>
      <c r="L202" s="14">
        <f>200-SUM(Table3[[#This Row],[D - LIGHT]:[D - VIGOROUS]])</f>
        <v>79.432000000000002</v>
      </c>
      <c r="M202" s="14">
        <f>'PIVOT TABLES'!$I$26</f>
        <v>65.603999999999999</v>
      </c>
      <c r="N202" s="14">
        <f>'PIVOT TABLES'!$I$27-'PIVOT TABLES'!$I$26</f>
        <v>32.802000000000007</v>
      </c>
      <c r="O202" s="14">
        <f>'PIVOT TABLES'!$I$28-'PIVOT TABLES'!$I$27</f>
        <v>32.801999999999992</v>
      </c>
      <c r="P202" s="14">
        <f>200-SUM(Table3[[#This Row],[M - LIGHT]:[M - VIGOROUS]])</f>
        <v>68.792000000000002</v>
      </c>
      <c r="Q202" s="14">
        <f>'PIVOT TABLES'!$P$26</f>
        <v>62.64</v>
      </c>
      <c r="R202" s="14">
        <f>'PIVOT TABLES'!$P$27-'PIVOT TABLES'!$P$26</f>
        <v>31.320000000000007</v>
      </c>
      <c r="S202" s="14">
        <f>'PIVOT TABLES'!$P$28-'PIVOT TABLES'!$P$27</f>
        <v>31.319999999999993</v>
      </c>
      <c r="T202" s="14">
        <f>200-SUM(Table3[[#This Row],[W - LIGHT]:[W - VIGOROUS]])</f>
        <v>74.72</v>
      </c>
      <c r="U202" s="14">
        <f>'PIVOT TABLES'!$W$26</f>
        <v>55.895999999999994</v>
      </c>
      <c r="V202" s="14">
        <f>'PIVOT TABLES'!$W$27-'PIVOT TABLES'!$W$26</f>
        <v>27.948</v>
      </c>
      <c r="W202" s="14">
        <f>'PIVOT TABLES'!$W$28-'PIVOT TABLES'!$W$27</f>
        <v>27.947999999999993</v>
      </c>
      <c r="X202" s="14">
        <f>200-SUM(Table3[[#This Row],[S - LIGHT]:[S - VIGOROUS]])</f>
        <v>88.208000000000013</v>
      </c>
    </row>
    <row r="203" spans="1:24" x14ac:dyDescent="0.25">
      <c r="A203" s="17" t="s">
        <v>4</v>
      </c>
      <c r="B203" s="13" t="str">
        <f t="shared" si="3"/>
        <v>Midfielder</v>
      </c>
      <c r="C203" s="7">
        <v>45247.404849537037</v>
      </c>
      <c r="D203" s="14">
        <v>7078</v>
      </c>
      <c r="E203" s="14">
        <v>16</v>
      </c>
      <c r="F203" s="14">
        <v>21</v>
      </c>
      <c r="G203" s="14">
        <v>14</v>
      </c>
      <c r="H203" s="14">
        <v>72.38</v>
      </c>
      <c r="I203" s="14">
        <f>'PIVOT TABLES'!$B$26</f>
        <v>60.283999999999999</v>
      </c>
      <c r="J203" s="14">
        <f>'PIVOT TABLES'!$B$27-'PIVOT TABLES'!$B$26</f>
        <v>30.142000000000003</v>
      </c>
      <c r="K203" s="14">
        <f>'PIVOT TABLES'!$B$28-'PIVOT TABLES'!$B$27</f>
        <v>30.141999999999996</v>
      </c>
      <c r="L203" s="14">
        <f>200-SUM(Table3[[#This Row],[D - LIGHT]:[D - VIGOROUS]])</f>
        <v>79.432000000000002</v>
      </c>
      <c r="M203" s="14">
        <f>'PIVOT TABLES'!$I$26</f>
        <v>65.603999999999999</v>
      </c>
      <c r="N203" s="14">
        <f>'PIVOT TABLES'!$I$27-'PIVOT TABLES'!$I$26</f>
        <v>32.802000000000007</v>
      </c>
      <c r="O203" s="14">
        <f>'PIVOT TABLES'!$I$28-'PIVOT TABLES'!$I$27</f>
        <v>32.801999999999992</v>
      </c>
      <c r="P203" s="14">
        <f>200-SUM(Table3[[#This Row],[M - LIGHT]:[M - VIGOROUS]])</f>
        <v>68.792000000000002</v>
      </c>
      <c r="Q203" s="14">
        <f>'PIVOT TABLES'!$P$26</f>
        <v>62.64</v>
      </c>
      <c r="R203" s="14">
        <f>'PIVOT TABLES'!$P$27-'PIVOT TABLES'!$P$26</f>
        <v>31.320000000000007</v>
      </c>
      <c r="S203" s="14">
        <f>'PIVOT TABLES'!$P$28-'PIVOT TABLES'!$P$27</f>
        <v>31.319999999999993</v>
      </c>
      <c r="T203" s="14">
        <f>200-SUM(Table3[[#This Row],[W - LIGHT]:[W - VIGOROUS]])</f>
        <v>74.72</v>
      </c>
      <c r="U203" s="14">
        <f>'PIVOT TABLES'!$W$26</f>
        <v>55.895999999999994</v>
      </c>
      <c r="V203" s="14">
        <f>'PIVOT TABLES'!$W$27-'PIVOT TABLES'!$W$26</f>
        <v>27.948</v>
      </c>
      <c r="W203" s="14">
        <f>'PIVOT TABLES'!$W$28-'PIVOT TABLES'!$W$27</f>
        <v>27.947999999999993</v>
      </c>
      <c r="X203" s="14">
        <f>200-SUM(Table3[[#This Row],[S - LIGHT]:[S - VIGOROUS]])</f>
        <v>88.208000000000013</v>
      </c>
    </row>
    <row r="204" spans="1:24" x14ac:dyDescent="0.25">
      <c r="A204" s="17" t="s">
        <v>60</v>
      </c>
      <c r="B204" s="13" t="str">
        <f t="shared" si="3"/>
        <v>Winger</v>
      </c>
      <c r="C204" s="7">
        <v>45247.404849537037</v>
      </c>
      <c r="D204" s="14">
        <v>7549</v>
      </c>
      <c r="E204" s="14">
        <v>151</v>
      </c>
      <c r="F204" s="14">
        <v>27</v>
      </c>
      <c r="G204" s="14">
        <v>19</v>
      </c>
      <c r="H204" s="14">
        <v>81.48</v>
      </c>
      <c r="I204" s="14">
        <f>'PIVOT TABLES'!$B$26</f>
        <v>60.283999999999999</v>
      </c>
      <c r="J204" s="14">
        <f>'PIVOT TABLES'!$B$27-'PIVOT TABLES'!$B$26</f>
        <v>30.142000000000003</v>
      </c>
      <c r="K204" s="14">
        <f>'PIVOT TABLES'!$B$28-'PIVOT TABLES'!$B$27</f>
        <v>30.141999999999996</v>
      </c>
      <c r="L204" s="14">
        <f>200-SUM(Table3[[#This Row],[D - LIGHT]:[D - VIGOROUS]])</f>
        <v>79.432000000000002</v>
      </c>
      <c r="M204" s="14">
        <f>'PIVOT TABLES'!$I$26</f>
        <v>65.603999999999999</v>
      </c>
      <c r="N204" s="14">
        <f>'PIVOT TABLES'!$I$27-'PIVOT TABLES'!$I$26</f>
        <v>32.802000000000007</v>
      </c>
      <c r="O204" s="14">
        <f>'PIVOT TABLES'!$I$28-'PIVOT TABLES'!$I$27</f>
        <v>32.801999999999992</v>
      </c>
      <c r="P204" s="14">
        <f>200-SUM(Table3[[#This Row],[M - LIGHT]:[M - VIGOROUS]])</f>
        <v>68.792000000000002</v>
      </c>
      <c r="Q204" s="14">
        <f>'PIVOT TABLES'!$P$26</f>
        <v>62.64</v>
      </c>
      <c r="R204" s="14">
        <f>'PIVOT TABLES'!$P$27-'PIVOT TABLES'!$P$26</f>
        <v>31.320000000000007</v>
      </c>
      <c r="S204" s="14">
        <f>'PIVOT TABLES'!$P$28-'PIVOT TABLES'!$P$27</f>
        <v>31.319999999999993</v>
      </c>
      <c r="T204" s="14">
        <f>200-SUM(Table3[[#This Row],[W - LIGHT]:[W - VIGOROUS]])</f>
        <v>74.72</v>
      </c>
      <c r="U204" s="14">
        <f>'PIVOT TABLES'!$W$26</f>
        <v>55.895999999999994</v>
      </c>
      <c r="V204" s="14">
        <f>'PIVOT TABLES'!$W$27-'PIVOT TABLES'!$W$26</f>
        <v>27.948</v>
      </c>
      <c r="W204" s="14">
        <f>'PIVOT TABLES'!$W$28-'PIVOT TABLES'!$W$27</f>
        <v>27.947999999999993</v>
      </c>
      <c r="X204" s="14">
        <f>200-SUM(Table3[[#This Row],[S - LIGHT]:[S - VIGOROUS]])</f>
        <v>88.208000000000013</v>
      </c>
    </row>
    <row r="205" spans="1:24" x14ac:dyDescent="0.25">
      <c r="A205" s="17" t="s">
        <v>61</v>
      </c>
      <c r="B205" s="13" t="str">
        <f t="shared" si="3"/>
        <v>####</v>
      </c>
      <c r="C205" s="7">
        <v>45247.404849537037</v>
      </c>
      <c r="D205" s="14">
        <v>10272</v>
      </c>
      <c r="E205" s="14">
        <v>182</v>
      </c>
      <c r="F205" s="14">
        <v>25</v>
      </c>
      <c r="G205" s="14">
        <v>23</v>
      </c>
      <c r="H205" s="14">
        <v>109.64</v>
      </c>
      <c r="I205" s="14">
        <f>'PIVOT TABLES'!$B$26</f>
        <v>60.283999999999999</v>
      </c>
      <c r="J205" s="14">
        <f>'PIVOT TABLES'!$B$27-'PIVOT TABLES'!$B$26</f>
        <v>30.142000000000003</v>
      </c>
      <c r="K205" s="14">
        <f>'PIVOT TABLES'!$B$28-'PIVOT TABLES'!$B$27</f>
        <v>30.141999999999996</v>
      </c>
      <c r="L205" s="14">
        <f>200-SUM(Table3[[#This Row],[D - LIGHT]:[D - VIGOROUS]])</f>
        <v>79.432000000000002</v>
      </c>
      <c r="M205" s="14">
        <f>'PIVOT TABLES'!$I$26</f>
        <v>65.603999999999999</v>
      </c>
      <c r="N205" s="14">
        <f>'PIVOT TABLES'!$I$27-'PIVOT TABLES'!$I$26</f>
        <v>32.802000000000007</v>
      </c>
      <c r="O205" s="14">
        <f>'PIVOT TABLES'!$I$28-'PIVOT TABLES'!$I$27</f>
        <v>32.801999999999992</v>
      </c>
      <c r="P205" s="14">
        <f>200-SUM(Table3[[#This Row],[M - LIGHT]:[M - VIGOROUS]])</f>
        <v>68.792000000000002</v>
      </c>
      <c r="Q205" s="14">
        <f>'PIVOT TABLES'!$P$26</f>
        <v>62.64</v>
      </c>
      <c r="R205" s="14">
        <f>'PIVOT TABLES'!$P$27-'PIVOT TABLES'!$P$26</f>
        <v>31.320000000000007</v>
      </c>
      <c r="S205" s="14">
        <f>'PIVOT TABLES'!$P$28-'PIVOT TABLES'!$P$27</f>
        <v>31.319999999999993</v>
      </c>
      <c r="T205" s="14">
        <f>200-SUM(Table3[[#This Row],[W - LIGHT]:[W - VIGOROUS]])</f>
        <v>74.72</v>
      </c>
      <c r="U205" s="14">
        <f>'PIVOT TABLES'!$W$26</f>
        <v>55.895999999999994</v>
      </c>
      <c r="V205" s="14">
        <f>'PIVOT TABLES'!$W$27-'PIVOT TABLES'!$W$26</f>
        <v>27.948</v>
      </c>
      <c r="W205" s="14">
        <f>'PIVOT TABLES'!$W$28-'PIVOT TABLES'!$W$27</f>
        <v>27.947999999999993</v>
      </c>
      <c r="X205" s="14">
        <f>200-SUM(Table3[[#This Row],[S - LIGHT]:[S - VIGOROUS]])</f>
        <v>88.208000000000013</v>
      </c>
    </row>
    <row r="206" spans="1:24" x14ac:dyDescent="0.25">
      <c r="A206" s="17" t="s">
        <v>5</v>
      </c>
      <c r="B206" s="13" t="str">
        <f t="shared" si="3"/>
        <v>Midfielder</v>
      </c>
      <c r="C206" s="7">
        <v>45247.404849537037</v>
      </c>
      <c r="D206" s="14">
        <v>1650</v>
      </c>
      <c r="E206" s="14">
        <v>0</v>
      </c>
      <c r="F206" s="14">
        <v>0</v>
      </c>
      <c r="G206" s="14">
        <v>0</v>
      </c>
      <c r="H206" s="14">
        <v>16.5</v>
      </c>
      <c r="I206" s="14">
        <f>'PIVOT TABLES'!$B$26</f>
        <v>60.283999999999999</v>
      </c>
      <c r="J206" s="14">
        <f>'PIVOT TABLES'!$B$27-'PIVOT TABLES'!$B$26</f>
        <v>30.142000000000003</v>
      </c>
      <c r="K206" s="14">
        <f>'PIVOT TABLES'!$B$28-'PIVOT TABLES'!$B$27</f>
        <v>30.141999999999996</v>
      </c>
      <c r="L206" s="14">
        <f>200-SUM(Table3[[#This Row],[D - LIGHT]:[D - VIGOROUS]])</f>
        <v>79.432000000000002</v>
      </c>
      <c r="M206" s="14">
        <f>'PIVOT TABLES'!$I$26</f>
        <v>65.603999999999999</v>
      </c>
      <c r="N206" s="14">
        <f>'PIVOT TABLES'!$I$27-'PIVOT TABLES'!$I$26</f>
        <v>32.802000000000007</v>
      </c>
      <c r="O206" s="14">
        <f>'PIVOT TABLES'!$I$28-'PIVOT TABLES'!$I$27</f>
        <v>32.801999999999992</v>
      </c>
      <c r="P206" s="14">
        <f>200-SUM(Table3[[#This Row],[M - LIGHT]:[M - VIGOROUS]])</f>
        <v>68.792000000000002</v>
      </c>
      <c r="Q206" s="14">
        <f>'PIVOT TABLES'!$P$26</f>
        <v>62.64</v>
      </c>
      <c r="R206" s="14">
        <f>'PIVOT TABLES'!$P$27-'PIVOT TABLES'!$P$26</f>
        <v>31.320000000000007</v>
      </c>
      <c r="S206" s="14">
        <f>'PIVOT TABLES'!$P$28-'PIVOT TABLES'!$P$27</f>
        <v>31.319999999999993</v>
      </c>
      <c r="T206" s="14">
        <f>200-SUM(Table3[[#This Row],[W - LIGHT]:[W - VIGOROUS]])</f>
        <v>74.72</v>
      </c>
      <c r="U206" s="14">
        <f>'PIVOT TABLES'!$W$26</f>
        <v>55.895999999999994</v>
      </c>
      <c r="V206" s="14">
        <f>'PIVOT TABLES'!$W$27-'PIVOT TABLES'!$W$26</f>
        <v>27.948</v>
      </c>
      <c r="W206" s="14">
        <f>'PIVOT TABLES'!$W$28-'PIVOT TABLES'!$W$27</f>
        <v>27.947999999999993</v>
      </c>
      <c r="X206" s="14">
        <f>200-SUM(Table3[[#This Row],[S - LIGHT]:[S - VIGOROUS]])</f>
        <v>88.208000000000013</v>
      </c>
    </row>
    <row r="207" spans="1:24" x14ac:dyDescent="0.25">
      <c r="A207" s="17" t="s">
        <v>6</v>
      </c>
      <c r="B207" s="13" t="str">
        <f t="shared" si="3"/>
        <v>Midfielder</v>
      </c>
      <c r="C207" s="7">
        <v>45247.404849537037</v>
      </c>
      <c r="D207" s="14">
        <v>11650</v>
      </c>
      <c r="E207" s="14">
        <v>384</v>
      </c>
      <c r="F207" s="14">
        <v>50</v>
      </c>
      <c r="G207" s="14">
        <v>39</v>
      </c>
      <c r="H207" s="14">
        <v>130.80000000000001</v>
      </c>
      <c r="I207" s="14">
        <f>'PIVOT TABLES'!$B$26</f>
        <v>60.283999999999999</v>
      </c>
      <c r="J207" s="14">
        <f>'PIVOT TABLES'!$B$27-'PIVOT TABLES'!$B$26</f>
        <v>30.142000000000003</v>
      </c>
      <c r="K207" s="14">
        <f>'PIVOT TABLES'!$B$28-'PIVOT TABLES'!$B$27</f>
        <v>30.141999999999996</v>
      </c>
      <c r="L207" s="14">
        <f>200-SUM(Table3[[#This Row],[D - LIGHT]:[D - VIGOROUS]])</f>
        <v>79.432000000000002</v>
      </c>
      <c r="M207" s="14">
        <f>'PIVOT TABLES'!$I$26</f>
        <v>65.603999999999999</v>
      </c>
      <c r="N207" s="14">
        <f>'PIVOT TABLES'!$I$27-'PIVOT TABLES'!$I$26</f>
        <v>32.802000000000007</v>
      </c>
      <c r="O207" s="14">
        <f>'PIVOT TABLES'!$I$28-'PIVOT TABLES'!$I$27</f>
        <v>32.801999999999992</v>
      </c>
      <c r="P207" s="14">
        <f>200-SUM(Table3[[#This Row],[M - LIGHT]:[M - VIGOROUS]])</f>
        <v>68.792000000000002</v>
      </c>
      <c r="Q207" s="14">
        <f>'PIVOT TABLES'!$P$26</f>
        <v>62.64</v>
      </c>
      <c r="R207" s="14">
        <f>'PIVOT TABLES'!$P$27-'PIVOT TABLES'!$P$26</f>
        <v>31.320000000000007</v>
      </c>
      <c r="S207" s="14">
        <f>'PIVOT TABLES'!$P$28-'PIVOT TABLES'!$P$27</f>
        <v>31.319999999999993</v>
      </c>
      <c r="T207" s="14">
        <f>200-SUM(Table3[[#This Row],[W - LIGHT]:[W - VIGOROUS]])</f>
        <v>74.72</v>
      </c>
      <c r="U207" s="14">
        <f>'PIVOT TABLES'!$W$26</f>
        <v>55.895999999999994</v>
      </c>
      <c r="V207" s="14">
        <f>'PIVOT TABLES'!$W$27-'PIVOT TABLES'!$W$26</f>
        <v>27.948</v>
      </c>
      <c r="W207" s="14">
        <f>'PIVOT TABLES'!$W$28-'PIVOT TABLES'!$W$27</f>
        <v>27.947999999999993</v>
      </c>
      <c r="X207" s="14">
        <f>200-SUM(Table3[[#This Row],[S - LIGHT]:[S - VIGOROUS]])</f>
        <v>88.208000000000013</v>
      </c>
    </row>
    <row r="208" spans="1:24" x14ac:dyDescent="0.25">
      <c r="A208" s="17" t="s">
        <v>62</v>
      </c>
      <c r="B208" s="13" t="str">
        <f t="shared" si="3"/>
        <v>Midfielder</v>
      </c>
      <c r="C208" s="7">
        <v>45247.404849537037</v>
      </c>
      <c r="D208" s="14">
        <v>10793</v>
      </c>
      <c r="E208" s="14">
        <v>52</v>
      </c>
      <c r="F208" s="14">
        <v>27</v>
      </c>
      <c r="G208" s="14">
        <v>16</v>
      </c>
      <c r="H208" s="14">
        <v>110.89</v>
      </c>
      <c r="I208" s="14">
        <f>'PIVOT TABLES'!$B$26</f>
        <v>60.283999999999999</v>
      </c>
      <c r="J208" s="14">
        <f>'PIVOT TABLES'!$B$27-'PIVOT TABLES'!$B$26</f>
        <v>30.142000000000003</v>
      </c>
      <c r="K208" s="14">
        <f>'PIVOT TABLES'!$B$28-'PIVOT TABLES'!$B$27</f>
        <v>30.141999999999996</v>
      </c>
      <c r="L208" s="14">
        <f>200-SUM(Table3[[#This Row],[D - LIGHT]:[D - VIGOROUS]])</f>
        <v>79.432000000000002</v>
      </c>
      <c r="M208" s="14">
        <f>'PIVOT TABLES'!$I$26</f>
        <v>65.603999999999999</v>
      </c>
      <c r="N208" s="14">
        <f>'PIVOT TABLES'!$I$27-'PIVOT TABLES'!$I$26</f>
        <v>32.802000000000007</v>
      </c>
      <c r="O208" s="14">
        <f>'PIVOT TABLES'!$I$28-'PIVOT TABLES'!$I$27</f>
        <v>32.801999999999992</v>
      </c>
      <c r="P208" s="14">
        <f>200-SUM(Table3[[#This Row],[M - LIGHT]:[M - VIGOROUS]])</f>
        <v>68.792000000000002</v>
      </c>
      <c r="Q208" s="14">
        <f>'PIVOT TABLES'!$P$26</f>
        <v>62.64</v>
      </c>
      <c r="R208" s="14">
        <f>'PIVOT TABLES'!$P$27-'PIVOT TABLES'!$P$26</f>
        <v>31.320000000000007</v>
      </c>
      <c r="S208" s="14">
        <f>'PIVOT TABLES'!$P$28-'PIVOT TABLES'!$P$27</f>
        <v>31.319999999999993</v>
      </c>
      <c r="T208" s="14">
        <f>200-SUM(Table3[[#This Row],[W - LIGHT]:[W - VIGOROUS]])</f>
        <v>74.72</v>
      </c>
      <c r="U208" s="14">
        <f>'PIVOT TABLES'!$W$26</f>
        <v>55.895999999999994</v>
      </c>
      <c r="V208" s="14">
        <f>'PIVOT TABLES'!$W$27-'PIVOT TABLES'!$W$26</f>
        <v>27.948</v>
      </c>
      <c r="W208" s="14">
        <f>'PIVOT TABLES'!$W$28-'PIVOT TABLES'!$W$27</f>
        <v>27.947999999999993</v>
      </c>
      <c r="X208" s="14">
        <f>200-SUM(Table3[[#This Row],[S - LIGHT]:[S - VIGOROUS]])</f>
        <v>88.208000000000013</v>
      </c>
    </row>
    <row r="209" spans="1:24" x14ac:dyDescent="0.25">
      <c r="A209" s="17" t="s">
        <v>64</v>
      </c>
      <c r="B209" s="13" t="str">
        <f t="shared" si="3"/>
        <v>Midfielder</v>
      </c>
      <c r="C209" s="7">
        <v>45247.404849537037</v>
      </c>
      <c r="D209" s="14">
        <v>11723</v>
      </c>
      <c r="E209" s="14">
        <v>177</v>
      </c>
      <c r="F209" s="14">
        <v>36</v>
      </c>
      <c r="G209" s="14">
        <v>26</v>
      </c>
      <c r="H209" s="14">
        <v>124.5</v>
      </c>
      <c r="I209" s="14">
        <f>'PIVOT TABLES'!$B$26</f>
        <v>60.283999999999999</v>
      </c>
      <c r="J209" s="14">
        <f>'PIVOT TABLES'!$B$27-'PIVOT TABLES'!$B$26</f>
        <v>30.142000000000003</v>
      </c>
      <c r="K209" s="14">
        <f>'PIVOT TABLES'!$B$28-'PIVOT TABLES'!$B$27</f>
        <v>30.141999999999996</v>
      </c>
      <c r="L209" s="14">
        <f>200-SUM(Table3[[#This Row],[D - LIGHT]:[D - VIGOROUS]])</f>
        <v>79.432000000000002</v>
      </c>
      <c r="M209" s="14">
        <f>'PIVOT TABLES'!$I$26</f>
        <v>65.603999999999999</v>
      </c>
      <c r="N209" s="14">
        <f>'PIVOT TABLES'!$I$27-'PIVOT TABLES'!$I$26</f>
        <v>32.802000000000007</v>
      </c>
      <c r="O209" s="14">
        <f>'PIVOT TABLES'!$I$28-'PIVOT TABLES'!$I$27</f>
        <v>32.801999999999992</v>
      </c>
      <c r="P209" s="14">
        <f>200-SUM(Table3[[#This Row],[M - LIGHT]:[M - VIGOROUS]])</f>
        <v>68.792000000000002</v>
      </c>
      <c r="Q209" s="14">
        <f>'PIVOT TABLES'!$P$26</f>
        <v>62.64</v>
      </c>
      <c r="R209" s="14">
        <f>'PIVOT TABLES'!$P$27-'PIVOT TABLES'!$P$26</f>
        <v>31.320000000000007</v>
      </c>
      <c r="S209" s="14">
        <f>'PIVOT TABLES'!$P$28-'PIVOT TABLES'!$P$27</f>
        <v>31.319999999999993</v>
      </c>
      <c r="T209" s="14">
        <f>200-SUM(Table3[[#This Row],[W - LIGHT]:[W - VIGOROUS]])</f>
        <v>74.72</v>
      </c>
      <c r="U209" s="14">
        <f>'PIVOT TABLES'!$W$26</f>
        <v>55.895999999999994</v>
      </c>
      <c r="V209" s="14">
        <f>'PIVOT TABLES'!$W$27-'PIVOT TABLES'!$W$26</f>
        <v>27.948</v>
      </c>
      <c r="W209" s="14">
        <f>'PIVOT TABLES'!$W$28-'PIVOT TABLES'!$W$27</f>
        <v>27.947999999999993</v>
      </c>
      <c r="X209" s="14">
        <f>200-SUM(Table3[[#This Row],[S - LIGHT]:[S - VIGOROUS]])</f>
        <v>88.208000000000013</v>
      </c>
    </row>
    <row r="210" spans="1:24" x14ac:dyDescent="0.25">
      <c r="A210" s="17" t="s">
        <v>65</v>
      </c>
      <c r="B210" s="13" t="str">
        <f t="shared" si="3"/>
        <v>Winger</v>
      </c>
      <c r="C210" s="7">
        <v>45247.404849537037</v>
      </c>
      <c r="D210" s="14">
        <v>10478</v>
      </c>
      <c r="E210" s="14">
        <v>358</v>
      </c>
      <c r="F210" s="14">
        <v>34</v>
      </c>
      <c r="G210" s="14">
        <v>26</v>
      </c>
      <c r="H210" s="14">
        <v>117.4</v>
      </c>
      <c r="I210" s="14">
        <f>'PIVOT TABLES'!$B$26</f>
        <v>60.283999999999999</v>
      </c>
      <c r="J210" s="14">
        <f>'PIVOT TABLES'!$B$27-'PIVOT TABLES'!$B$26</f>
        <v>30.142000000000003</v>
      </c>
      <c r="K210" s="14">
        <f>'PIVOT TABLES'!$B$28-'PIVOT TABLES'!$B$27</f>
        <v>30.141999999999996</v>
      </c>
      <c r="L210" s="14">
        <f>200-SUM(Table3[[#This Row],[D - LIGHT]:[D - VIGOROUS]])</f>
        <v>79.432000000000002</v>
      </c>
      <c r="M210" s="14">
        <f>'PIVOT TABLES'!$I$26</f>
        <v>65.603999999999999</v>
      </c>
      <c r="N210" s="14">
        <f>'PIVOT TABLES'!$I$27-'PIVOT TABLES'!$I$26</f>
        <v>32.802000000000007</v>
      </c>
      <c r="O210" s="14">
        <f>'PIVOT TABLES'!$I$28-'PIVOT TABLES'!$I$27</f>
        <v>32.801999999999992</v>
      </c>
      <c r="P210" s="14">
        <f>200-SUM(Table3[[#This Row],[M - LIGHT]:[M - VIGOROUS]])</f>
        <v>68.792000000000002</v>
      </c>
      <c r="Q210" s="14">
        <f>'PIVOT TABLES'!$P$26</f>
        <v>62.64</v>
      </c>
      <c r="R210" s="14">
        <f>'PIVOT TABLES'!$P$27-'PIVOT TABLES'!$P$26</f>
        <v>31.320000000000007</v>
      </c>
      <c r="S210" s="14">
        <f>'PIVOT TABLES'!$P$28-'PIVOT TABLES'!$P$27</f>
        <v>31.319999999999993</v>
      </c>
      <c r="T210" s="14">
        <f>200-SUM(Table3[[#This Row],[W - LIGHT]:[W - VIGOROUS]])</f>
        <v>74.72</v>
      </c>
      <c r="U210" s="14">
        <f>'PIVOT TABLES'!$W$26</f>
        <v>55.895999999999994</v>
      </c>
      <c r="V210" s="14">
        <f>'PIVOT TABLES'!$W$27-'PIVOT TABLES'!$W$26</f>
        <v>27.948</v>
      </c>
      <c r="W210" s="14">
        <f>'PIVOT TABLES'!$W$28-'PIVOT TABLES'!$W$27</f>
        <v>27.947999999999993</v>
      </c>
      <c r="X210" s="14">
        <f>200-SUM(Table3[[#This Row],[S - LIGHT]:[S - VIGOROUS]])</f>
        <v>88.208000000000013</v>
      </c>
    </row>
    <row r="211" spans="1:24" x14ac:dyDescent="0.25">
      <c r="A211" s="17" t="s">
        <v>7</v>
      </c>
      <c r="B211" s="13" t="str">
        <f t="shared" si="3"/>
        <v>Winger</v>
      </c>
      <c r="C211" s="7">
        <v>45247.404849537037</v>
      </c>
      <c r="D211" s="14">
        <v>6943</v>
      </c>
      <c r="E211" s="14">
        <v>130</v>
      </c>
      <c r="F211" s="14">
        <v>15</v>
      </c>
      <c r="G211" s="14">
        <v>13</v>
      </c>
      <c r="H211" s="14">
        <v>74.19</v>
      </c>
      <c r="I211" s="14">
        <f>'PIVOT TABLES'!$B$26</f>
        <v>60.283999999999999</v>
      </c>
      <c r="J211" s="14">
        <f>'PIVOT TABLES'!$B$27-'PIVOT TABLES'!$B$26</f>
        <v>30.142000000000003</v>
      </c>
      <c r="K211" s="14">
        <f>'PIVOT TABLES'!$B$28-'PIVOT TABLES'!$B$27</f>
        <v>30.141999999999996</v>
      </c>
      <c r="L211" s="14">
        <f>200-SUM(Table3[[#This Row],[D - LIGHT]:[D - VIGOROUS]])</f>
        <v>79.432000000000002</v>
      </c>
      <c r="M211" s="14">
        <f>'PIVOT TABLES'!$I$26</f>
        <v>65.603999999999999</v>
      </c>
      <c r="N211" s="14">
        <f>'PIVOT TABLES'!$I$27-'PIVOT TABLES'!$I$26</f>
        <v>32.802000000000007</v>
      </c>
      <c r="O211" s="14">
        <f>'PIVOT TABLES'!$I$28-'PIVOT TABLES'!$I$27</f>
        <v>32.801999999999992</v>
      </c>
      <c r="P211" s="14">
        <f>200-SUM(Table3[[#This Row],[M - LIGHT]:[M - VIGOROUS]])</f>
        <v>68.792000000000002</v>
      </c>
      <c r="Q211" s="14">
        <f>'PIVOT TABLES'!$P$26</f>
        <v>62.64</v>
      </c>
      <c r="R211" s="14">
        <f>'PIVOT TABLES'!$P$27-'PIVOT TABLES'!$P$26</f>
        <v>31.320000000000007</v>
      </c>
      <c r="S211" s="14">
        <f>'PIVOT TABLES'!$P$28-'PIVOT TABLES'!$P$27</f>
        <v>31.319999999999993</v>
      </c>
      <c r="T211" s="14">
        <f>200-SUM(Table3[[#This Row],[W - LIGHT]:[W - VIGOROUS]])</f>
        <v>74.72</v>
      </c>
      <c r="U211" s="14">
        <f>'PIVOT TABLES'!$W$26</f>
        <v>55.895999999999994</v>
      </c>
      <c r="V211" s="14">
        <f>'PIVOT TABLES'!$W$27-'PIVOT TABLES'!$W$26</f>
        <v>27.948</v>
      </c>
      <c r="W211" s="14">
        <f>'PIVOT TABLES'!$W$28-'PIVOT TABLES'!$W$27</f>
        <v>27.947999999999993</v>
      </c>
      <c r="X211" s="14">
        <f>200-SUM(Table3[[#This Row],[S - LIGHT]:[S - VIGOROUS]])</f>
        <v>88.208000000000013</v>
      </c>
    </row>
    <row r="212" spans="1:24" x14ac:dyDescent="0.25">
      <c r="A212" s="17" t="s">
        <v>8</v>
      </c>
      <c r="B212" s="13" t="str">
        <f t="shared" si="3"/>
        <v>Striker</v>
      </c>
      <c r="C212" s="7">
        <v>45247.404849537037</v>
      </c>
      <c r="D212" s="14">
        <v>9754</v>
      </c>
      <c r="E212" s="14">
        <v>305</v>
      </c>
      <c r="F212" s="14">
        <v>51</v>
      </c>
      <c r="G212" s="14">
        <v>45</v>
      </c>
      <c r="H212" s="14">
        <v>109.63</v>
      </c>
      <c r="I212" s="14">
        <f>'PIVOT TABLES'!$B$26</f>
        <v>60.283999999999999</v>
      </c>
      <c r="J212" s="14">
        <f>'PIVOT TABLES'!$B$27-'PIVOT TABLES'!$B$26</f>
        <v>30.142000000000003</v>
      </c>
      <c r="K212" s="14">
        <f>'PIVOT TABLES'!$B$28-'PIVOT TABLES'!$B$27</f>
        <v>30.141999999999996</v>
      </c>
      <c r="L212" s="14">
        <f>200-SUM(Table3[[#This Row],[D - LIGHT]:[D - VIGOROUS]])</f>
        <v>79.432000000000002</v>
      </c>
      <c r="M212" s="14">
        <f>'PIVOT TABLES'!$I$26</f>
        <v>65.603999999999999</v>
      </c>
      <c r="N212" s="14">
        <f>'PIVOT TABLES'!$I$27-'PIVOT TABLES'!$I$26</f>
        <v>32.802000000000007</v>
      </c>
      <c r="O212" s="14">
        <f>'PIVOT TABLES'!$I$28-'PIVOT TABLES'!$I$27</f>
        <v>32.801999999999992</v>
      </c>
      <c r="P212" s="14">
        <f>200-SUM(Table3[[#This Row],[M - LIGHT]:[M - VIGOROUS]])</f>
        <v>68.792000000000002</v>
      </c>
      <c r="Q212" s="14">
        <f>'PIVOT TABLES'!$P$26</f>
        <v>62.64</v>
      </c>
      <c r="R212" s="14">
        <f>'PIVOT TABLES'!$P$27-'PIVOT TABLES'!$P$26</f>
        <v>31.320000000000007</v>
      </c>
      <c r="S212" s="14">
        <f>'PIVOT TABLES'!$P$28-'PIVOT TABLES'!$P$27</f>
        <v>31.319999999999993</v>
      </c>
      <c r="T212" s="14">
        <f>200-SUM(Table3[[#This Row],[W - LIGHT]:[W - VIGOROUS]])</f>
        <v>74.72</v>
      </c>
      <c r="U212" s="14">
        <f>'PIVOT TABLES'!$W$26</f>
        <v>55.895999999999994</v>
      </c>
      <c r="V212" s="14">
        <f>'PIVOT TABLES'!$W$27-'PIVOT TABLES'!$W$26</f>
        <v>27.948</v>
      </c>
      <c r="W212" s="14">
        <f>'PIVOT TABLES'!$W$28-'PIVOT TABLES'!$W$27</f>
        <v>27.947999999999993</v>
      </c>
      <c r="X212" s="14">
        <f>200-SUM(Table3[[#This Row],[S - LIGHT]:[S - VIGOROUS]])</f>
        <v>88.208000000000013</v>
      </c>
    </row>
    <row r="213" spans="1:24" x14ac:dyDescent="0.25">
      <c r="A213" s="17" t="s">
        <v>67</v>
      </c>
      <c r="B213" s="13" t="str">
        <f t="shared" si="3"/>
        <v>Midfielder</v>
      </c>
      <c r="C213" s="7">
        <v>45247.404849537037</v>
      </c>
      <c r="D213" s="14">
        <v>11213</v>
      </c>
      <c r="E213" s="14">
        <v>63</v>
      </c>
      <c r="F213" s="14">
        <v>54</v>
      </c>
      <c r="G213" s="14">
        <v>38</v>
      </c>
      <c r="H213" s="14">
        <v>116.94</v>
      </c>
      <c r="I213" s="14">
        <f>'PIVOT TABLES'!$B$26</f>
        <v>60.283999999999999</v>
      </c>
      <c r="J213" s="14">
        <f>'PIVOT TABLES'!$B$27-'PIVOT TABLES'!$B$26</f>
        <v>30.142000000000003</v>
      </c>
      <c r="K213" s="14">
        <f>'PIVOT TABLES'!$B$28-'PIVOT TABLES'!$B$27</f>
        <v>30.141999999999996</v>
      </c>
      <c r="L213" s="14">
        <f>200-SUM(Table3[[#This Row],[D - LIGHT]:[D - VIGOROUS]])</f>
        <v>79.432000000000002</v>
      </c>
      <c r="M213" s="14">
        <f>'PIVOT TABLES'!$I$26</f>
        <v>65.603999999999999</v>
      </c>
      <c r="N213" s="14">
        <f>'PIVOT TABLES'!$I$27-'PIVOT TABLES'!$I$26</f>
        <v>32.802000000000007</v>
      </c>
      <c r="O213" s="14">
        <f>'PIVOT TABLES'!$I$28-'PIVOT TABLES'!$I$27</f>
        <v>32.801999999999992</v>
      </c>
      <c r="P213" s="14">
        <f>200-SUM(Table3[[#This Row],[M - LIGHT]:[M - VIGOROUS]])</f>
        <v>68.792000000000002</v>
      </c>
      <c r="Q213" s="14">
        <f>'PIVOT TABLES'!$P$26</f>
        <v>62.64</v>
      </c>
      <c r="R213" s="14">
        <f>'PIVOT TABLES'!$P$27-'PIVOT TABLES'!$P$26</f>
        <v>31.320000000000007</v>
      </c>
      <c r="S213" s="14">
        <f>'PIVOT TABLES'!$P$28-'PIVOT TABLES'!$P$27</f>
        <v>31.319999999999993</v>
      </c>
      <c r="T213" s="14">
        <f>200-SUM(Table3[[#This Row],[W - LIGHT]:[W - VIGOROUS]])</f>
        <v>74.72</v>
      </c>
      <c r="U213" s="14">
        <f>'PIVOT TABLES'!$W$26</f>
        <v>55.895999999999994</v>
      </c>
      <c r="V213" s="14">
        <f>'PIVOT TABLES'!$W$27-'PIVOT TABLES'!$W$26</f>
        <v>27.948</v>
      </c>
      <c r="W213" s="14">
        <f>'PIVOT TABLES'!$W$28-'PIVOT TABLES'!$W$27</f>
        <v>27.947999999999993</v>
      </c>
      <c r="X213" s="14">
        <f>200-SUM(Table3[[#This Row],[S - LIGHT]:[S - VIGOROUS]])</f>
        <v>88.208000000000013</v>
      </c>
    </row>
    <row r="214" spans="1:24" x14ac:dyDescent="0.25">
      <c r="A214" s="17" t="s">
        <v>68</v>
      </c>
      <c r="B214" s="13" t="str">
        <f t="shared" si="3"/>
        <v>####</v>
      </c>
      <c r="C214" s="7">
        <v>45247.404849537037</v>
      </c>
      <c r="D214" s="14">
        <v>9149</v>
      </c>
      <c r="E214" s="14">
        <v>81</v>
      </c>
      <c r="F214" s="14">
        <v>31</v>
      </c>
      <c r="G214" s="14">
        <v>18</v>
      </c>
      <c r="H214" s="14">
        <v>95.52</v>
      </c>
      <c r="I214" s="14">
        <f>'PIVOT TABLES'!$B$26</f>
        <v>60.283999999999999</v>
      </c>
      <c r="J214" s="14">
        <f>'PIVOT TABLES'!$B$27-'PIVOT TABLES'!$B$26</f>
        <v>30.142000000000003</v>
      </c>
      <c r="K214" s="14">
        <f>'PIVOT TABLES'!$B$28-'PIVOT TABLES'!$B$27</f>
        <v>30.141999999999996</v>
      </c>
      <c r="L214" s="14">
        <f>200-SUM(Table3[[#This Row],[D - LIGHT]:[D - VIGOROUS]])</f>
        <v>79.432000000000002</v>
      </c>
      <c r="M214" s="14">
        <f>'PIVOT TABLES'!$I$26</f>
        <v>65.603999999999999</v>
      </c>
      <c r="N214" s="14">
        <f>'PIVOT TABLES'!$I$27-'PIVOT TABLES'!$I$26</f>
        <v>32.802000000000007</v>
      </c>
      <c r="O214" s="14">
        <f>'PIVOT TABLES'!$I$28-'PIVOT TABLES'!$I$27</f>
        <v>32.801999999999992</v>
      </c>
      <c r="P214" s="14">
        <f>200-SUM(Table3[[#This Row],[M - LIGHT]:[M - VIGOROUS]])</f>
        <v>68.792000000000002</v>
      </c>
      <c r="Q214" s="14">
        <f>'PIVOT TABLES'!$P$26</f>
        <v>62.64</v>
      </c>
      <c r="R214" s="14">
        <f>'PIVOT TABLES'!$P$27-'PIVOT TABLES'!$P$26</f>
        <v>31.320000000000007</v>
      </c>
      <c r="S214" s="14">
        <f>'PIVOT TABLES'!$P$28-'PIVOT TABLES'!$P$27</f>
        <v>31.319999999999993</v>
      </c>
      <c r="T214" s="14">
        <f>200-SUM(Table3[[#This Row],[W - LIGHT]:[W - VIGOROUS]])</f>
        <v>74.72</v>
      </c>
      <c r="U214" s="14">
        <f>'PIVOT TABLES'!$W$26</f>
        <v>55.895999999999994</v>
      </c>
      <c r="V214" s="14">
        <f>'PIVOT TABLES'!$W$27-'PIVOT TABLES'!$W$26</f>
        <v>27.948</v>
      </c>
      <c r="W214" s="14">
        <f>'PIVOT TABLES'!$W$28-'PIVOT TABLES'!$W$27</f>
        <v>27.947999999999993</v>
      </c>
      <c r="X214" s="14">
        <f>200-SUM(Table3[[#This Row],[S - LIGHT]:[S - VIGOROUS]])</f>
        <v>88.208000000000013</v>
      </c>
    </row>
    <row r="215" spans="1:24" x14ac:dyDescent="0.25">
      <c r="A215" s="17" t="s">
        <v>9</v>
      </c>
      <c r="B215" s="13" t="str">
        <f t="shared" si="3"/>
        <v>Striker</v>
      </c>
      <c r="C215" s="7">
        <v>45247.404849537037</v>
      </c>
      <c r="D215" s="14">
        <v>10978</v>
      </c>
      <c r="E215" s="14">
        <v>244</v>
      </c>
      <c r="F215" s="14">
        <v>52</v>
      </c>
      <c r="G215" s="14">
        <v>41</v>
      </c>
      <c r="H215" s="14">
        <v>120</v>
      </c>
      <c r="I215" s="14">
        <f>'PIVOT TABLES'!$B$26</f>
        <v>60.283999999999999</v>
      </c>
      <c r="J215" s="14">
        <f>'PIVOT TABLES'!$B$27-'PIVOT TABLES'!$B$26</f>
        <v>30.142000000000003</v>
      </c>
      <c r="K215" s="14">
        <f>'PIVOT TABLES'!$B$28-'PIVOT TABLES'!$B$27</f>
        <v>30.141999999999996</v>
      </c>
      <c r="L215" s="14">
        <f>200-SUM(Table3[[#This Row],[D - LIGHT]:[D - VIGOROUS]])</f>
        <v>79.432000000000002</v>
      </c>
      <c r="M215" s="14">
        <f>'PIVOT TABLES'!$I$26</f>
        <v>65.603999999999999</v>
      </c>
      <c r="N215" s="14">
        <f>'PIVOT TABLES'!$I$27-'PIVOT TABLES'!$I$26</f>
        <v>32.802000000000007</v>
      </c>
      <c r="O215" s="14">
        <f>'PIVOT TABLES'!$I$28-'PIVOT TABLES'!$I$27</f>
        <v>32.801999999999992</v>
      </c>
      <c r="P215" s="14">
        <f>200-SUM(Table3[[#This Row],[M - LIGHT]:[M - VIGOROUS]])</f>
        <v>68.792000000000002</v>
      </c>
      <c r="Q215" s="14">
        <f>'PIVOT TABLES'!$P$26</f>
        <v>62.64</v>
      </c>
      <c r="R215" s="14">
        <f>'PIVOT TABLES'!$P$27-'PIVOT TABLES'!$P$26</f>
        <v>31.320000000000007</v>
      </c>
      <c r="S215" s="14">
        <f>'PIVOT TABLES'!$P$28-'PIVOT TABLES'!$P$27</f>
        <v>31.319999999999993</v>
      </c>
      <c r="T215" s="14">
        <f>200-SUM(Table3[[#This Row],[W - LIGHT]:[W - VIGOROUS]])</f>
        <v>74.72</v>
      </c>
      <c r="U215" s="14">
        <f>'PIVOT TABLES'!$W$26</f>
        <v>55.895999999999994</v>
      </c>
      <c r="V215" s="14">
        <f>'PIVOT TABLES'!$W$27-'PIVOT TABLES'!$W$26</f>
        <v>27.948</v>
      </c>
      <c r="W215" s="14">
        <f>'PIVOT TABLES'!$W$28-'PIVOT TABLES'!$W$27</f>
        <v>27.947999999999993</v>
      </c>
      <c r="X215" s="14">
        <f>200-SUM(Table3[[#This Row],[S - LIGHT]:[S - VIGOROUS]])</f>
        <v>88.208000000000013</v>
      </c>
    </row>
    <row r="216" spans="1:24" x14ac:dyDescent="0.25">
      <c r="A216" s="17" t="s">
        <v>69</v>
      </c>
      <c r="B216" s="13" t="str">
        <f t="shared" si="3"/>
        <v>Midfielder</v>
      </c>
      <c r="C216" s="7">
        <v>45247.404849537037</v>
      </c>
      <c r="D216" s="14">
        <v>5888</v>
      </c>
      <c r="E216" s="14">
        <v>136</v>
      </c>
      <c r="F216" s="14">
        <v>18</v>
      </c>
      <c r="G216" s="14">
        <v>14</v>
      </c>
      <c r="H216" s="14">
        <v>63.96</v>
      </c>
      <c r="I216" s="14">
        <f>'PIVOT TABLES'!$B$26</f>
        <v>60.283999999999999</v>
      </c>
      <c r="J216" s="14">
        <f>'PIVOT TABLES'!$B$27-'PIVOT TABLES'!$B$26</f>
        <v>30.142000000000003</v>
      </c>
      <c r="K216" s="14">
        <f>'PIVOT TABLES'!$B$28-'PIVOT TABLES'!$B$27</f>
        <v>30.141999999999996</v>
      </c>
      <c r="L216" s="14">
        <f>200-SUM(Table3[[#This Row],[D - LIGHT]:[D - VIGOROUS]])</f>
        <v>79.432000000000002</v>
      </c>
      <c r="M216" s="14">
        <f>'PIVOT TABLES'!$I$26</f>
        <v>65.603999999999999</v>
      </c>
      <c r="N216" s="14">
        <f>'PIVOT TABLES'!$I$27-'PIVOT TABLES'!$I$26</f>
        <v>32.802000000000007</v>
      </c>
      <c r="O216" s="14">
        <f>'PIVOT TABLES'!$I$28-'PIVOT TABLES'!$I$27</f>
        <v>32.801999999999992</v>
      </c>
      <c r="P216" s="14">
        <f>200-SUM(Table3[[#This Row],[M - LIGHT]:[M - VIGOROUS]])</f>
        <v>68.792000000000002</v>
      </c>
      <c r="Q216" s="14">
        <f>'PIVOT TABLES'!$P$26</f>
        <v>62.64</v>
      </c>
      <c r="R216" s="14">
        <f>'PIVOT TABLES'!$P$27-'PIVOT TABLES'!$P$26</f>
        <v>31.320000000000007</v>
      </c>
      <c r="S216" s="14">
        <f>'PIVOT TABLES'!$P$28-'PIVOT TABLES'!$P$27</f>
        <v>31.319999999999993</v>
      </c>
      <c r="T216" s="14">
        <f>200-SUM(Table3[[#This Row],[W - LIGHT]:[W - VIGOROUS]])</f>
        <v>74.72</v>
      </c>
      <c r="U216" s="14">
        <f>'PIVOT TABLES'!$W$26</f>
        <v>55.895999999999994</v>
      </c>
      <c r="V216" s="14">
        <f>'PIVOT TABLES'!$W$27-'PIVOT TABLES'!$W$26</f>
        <v>27.948</v>
      </c>
      <c r="W216" s="14">
        <f>'PIVOT TABLES'!$W$28-'PIVOT TABLES'!$W$27</f>
        <v>27.947999999999993</v>
      </c>
      <c r="X216" s="14">
        <f>200-SUM(Table3[[#This Row],[S - LIGHT]:[S - VIGOROUS]])</f>
        <v>88.208000000000013</v>
      </c>
    </row>
    <row r="217" spans="1:24" x14ac:dyDescent="0.25">
      <c r="A217" s="13" t="s">
        <v>70</v>
      </c>
      <c r="B217" s="13" t="str">
        <f t="shared" si="3"/>
        <v>Winger</v>
      </c>
      <c r="C217" s="7">
        <v>45247.404849537037</v>
      </c>
      <c r="D217" s="14">
        <v>10476</v>
      </c>
      <c r="E217" s="14">
        <v>101</v>
      </c>
      <c r="F217" s="14">
        <v>27</v>
      </c>
      <c r="G217" s="14">
        <v>29</v>
      </c>
      <c r="H217" s="14">
        <v>109.45</v>
      </c>
      <c r="I217" s="14">
        <f>'PIVOT TABLES'!$B$26</f>
        <v>60.283999999999999</v>
      </c>
      <c r="J217" s="14">
        <f>'PIVOT TABLES'!$B$27-'PIVOT TABLES'!$B$26</f>
        <v>30.142000000000003</v>
      </c>
      <c r="K217" s="14">
        <f>'PIVOT TABLES'!$B$28-'PIVOT TABLES'!$B$27</f>
        <v>30.141999999999996</v>
      </c>
      <c r="L217" s="14">
        <f>200-SUM(Table3[[#This Row],[D - LIGHT]:[D - VIGOROUS]])</f>
        <v>79.432000000000002</v>
      </c>
      <c r="M217" s="14">
        <f>'PIVOT TABLES'!$I$26</f>
        <v>65.603999999999999</v>
      </c>
      <c r="N217" s="14">
        <f>'PIVOT TABLES'!$I$27-'PIVOT TABLES'!$I$26</f>
        <v>32.802000000000007</v>
      </c>
      <c r="O217" s="14">
        <f>'PIVOT TABLES'!$I$28-'PIVOT TABLES'!$I$27</f>
        <v>32.801999999999992</v>
      </c>
      <c r="P217" s="14">
        <f>200-SUM(Table3[[#This Row],[M - LIGHT]:[M - VIGOROUS]])</f>
        <v>68.792000000000002</v>
      </c>
      <c r="Q217" s="14">
        <f>'PIVOT TABLES'!$P$26</f>
        <v>62.64</v>
      </c>
      <c r="R217" s="14">
        <f>'PIVOT TABLES'!$P$27-'PIVOT TABLES'!$P$26</f>
        <v>31.320000000000007</v>
      </c>
      <c r="S217" s="14">
        <f>'PIVOT TABLES'!$P$28-'PIVOT TABLES'!$P$27</f>
        <v>31.319999999999993</v>
      </c>
      <c r="T217" s="14">
        <f>200-SUM(Table3[[#This Row],[W - LIGHT]:[W - VIGOROUS]])</f>
        <v>74.72</v>
      </c>
      <c r="U217" s="14">
        <f>'PIVOT TABLES'!$W$26</f>
        <v>55.895999999999994</v>
      </c>
      <c r="V217" s="14">
        <f>'PIVOT TABLES'!$W$27-'PIVOT TABLES'!$W$26</f>
        <v>27.948</v>
      </c>
      <c r="W217" s="14">
        <f>'PIVOT TABLES'!$W$28-'PIVOT TABLES'!$W$27</f>
        <v>27.947999999999993</v>
      </c>
      <c r="X217" s="14">
        <f>200-SUM(Table3[[#This Row],[S - LIGHT]:[S - VIGOROUS]])</f>
        <v>88.208000000000013</v>
      </c>
    </row>
    <row r="218" spans="1:24" x14ac:dyDescent="0.25">
      <c r="A218" s="13" t="s">
        <v>53</v>
      </c>
      <c r="B218" s="13" t="str">
        <f t="shared" si="3"/>
        <v>Midfielder</v>
      </c>
      <c r="C218" s="7">
        <v>45247.404849537037</v>
      </c>
      <c r="D218" s="14">
        <v>11443</v>
      </c>
      <c r="E218" s="14">
        <v>177</v>
      </c>
      <c r="F218" s="14">
        <v>40</v>
      </c>
      <c r="G218" s="14">
        <v>24</v>
      </c>
      <c r="H218" s="14">
        <v>121.82</v>
      </c>
      <c r="I218" s="14">
        <f>'PIVOT TABLES'!$B$26</f>
        <v>60.283999999999999</v>
      </c>
      <c r="J218" s="14">
        <f>'PIVOT TABLES'!$B$27-'PIVOT TABLES'!$B$26</f>
        <v>30.142000000000003</v>
      </c>
      <c r="K218" s="14">
        <f>'PIVOT TABLES'!$B$28-'PIVOT TABLES'!$B$27</f>
        <v>30.141999999999996</v>
      </c>
      <c r="L218" s="14">
        <f>200-SUM(Table3[[#This Row],[D - LIGHT]:[D - VIGOROUS]])</f>
        <v>79.432000000000002</v>
      </c>
      <c r="M218" s="14">
        <f>'PIVOT TABLES'!$I$26</f>
        <v>65.603999999999999</v>
      </c>
      <c r="N218" s="14">
        <f>'PIVOT TABLES'!$I$27-'PIVOT TABLES'!$I$26</f>
        <v>32.802000000000007</v>
      </c>
      <c r="O218" s="14">
        <f>'PIVOT TABLES'!$I$28-'PIVOT TABLES'!$I$27</f>
        <v>32.801999999999992</v>
      </c>
      <c r="P218" s="14">
        <f>200-SUM(Table3[[#This Row],[M - LIGHT]:[M - VIGOROUS]])</f>
        <v>68.792000000000002</v>
      </c>
      <c r="Q218" s="14">
        <f>'PIVOT TABLES'!$P$26</f>
        <v>62.64</v>
      </c>
      <c r="R218" s="14">
        <f>'PIVOT TABLES'!$P$27-'PIVOT TABLES'!$P$26</f>
        <v>31.320000000000007</v>
      </c>
      <c r="S218" s="14">
        <f>'PIVOT TABLES'!$P$28-'PIVOT TABLES'!$P$27</f>
        <v>31.319999999999993</v>
      </c>
      <c r="T218" s="14">
        <f>200-SUM(Table3[[#This Row],[W - LIGHT]:[W - VIGOROUS]])</f>
        <v>74.72</v>
      </c>
      <c r="U218" s="14">
        <f>'PIVOT TABLES'!$W$26</f>
        <v>55.895999999999994</v>
      </c>
      <c r="V218" s="14">
        <f>'PIVOT TABLES'!$W$27-'PIVOT TABLES'!$W$26</f>
        <v>27.948</v>
      </c>
      <c r="W218" s="14">
        <f>'PIVOT TABLES'!$W$28-'PIVOT TABLES'!$W$27</f>
        <v>27.947999999999993</v>
      </c>
      <c r="X218" s="14">
        <f>200-SUM(Table3[[#This Row],[S - LIGHT]:[S - VIGOROUS]])</f>
        <v>88.208000000000013</v>
      </c>
    </row>
    <row r="219" spans="1:24" x14ac:dyDescent="0.25">
      <c r="A219" s="13" t="s">
        <v>55</v>
      </c>
      <c r="B219" s="13" t="str">
        <f t="shared" si="3"/>
        <v>Striker</v>
      </c>
      <c r="C219" s="7">
        <v>45247.404849537037</v>
      </c>
      <c r="D219" s="14">
        <v>1949</v>
      </c>
      <c r="E219" s="14">
        <v>0</v>
      </c>
      <c r="F219" s="14">
        <v>0</v>
      </c>
      <c r="G219" s="14">
        <v>0</v>
      </c>
      <c r="H219" s="14">
        <v>19.489999999999998</v>
      </c>
      <c r="I219" s="14">
        <f>'PIVOT TABLES'!$B$26</f>
        <v>60.283999999999999</v>
      </c>
      <c r="J219" s="14">
        <f>'PIVOT TABLES'!$B$27-'PIVOT TABLES'!$B$26</f>
        <v>30.142000000000003</v>
      </c>
      <c r="K219" s="14">
        <f>'PIVOT TABLES'!$B$28-'PIVOT TABLES'!$B$27</f>
        <v>30.141999999999996</v>
      </c>
      <c r="L219" s="14">
        <f>200-SUM(Table3[[#This Row],[D - LIGHT]:[D - VIGOROUS]])</f>
        <v>79.432000000000002</v>
      </c>
      <c r="M219" s="14">
        <f>'PIVOT TABLES'!$I$26</f>
        <v>65.603999999999999</v>
      </c>
      <c r="N219" s="14">
        <f>'PIVOT TABLES'!$I$27-'PIVOT TABLES'!$I$26</f>
        <v>32.802000000000007</v>
      </c>
      <c r="O219" s="14">
        <f>'PIVOT TABLES'!$I$28-'PIVOT TABLES'!$I$27</f>
        <v>32.801999999999992</v>
      </c>
      <c r="P219" s="14">
        <f>200-SUM(Table3[[#This Row],[M - LIGHT]:[M - VIGOROUS]])</f>
        <v>68.792000000000002</v>
      </c>
      <c r="Q219" s="14">
        <f>'PIVOT TABLES'!$P$26</f>
        <v>62.64</v>
      </c>
      <c r="R219" s="14">
        <f>'PIVOT TABLES'!$P$27-'PIVOT TABLES'!$P$26</f>
        <v>31.320000000000007</v>
      </c>
      <c r="S219" s="14">
        <f>'PIVOT TABLES'!$P$28-'PIVOT TABLES'!$P$27</f>
        <v>31.319999999999993</v>
      </c>
      <c r="T219" s="14">
        <f>200-SUM(Table3[[#This Row],[W - LIGHT]:[W - VIGOROUS]])</f>
        <v>74.72</v>
      </c>
      <c r="U219" s="14">
        <f>'PIVOT TABLES'!$W$26</f>
        <v>55.895999999999994</v>
      </c>
      <c r="V219" s="14">
        <f>'PIVOT TABLES'!$W$27-'PIVOT TABLES'!$W$26</f>
        <v>27.948</v>
      </c>
      <c r="W219" s="14">
        <f>'PIVOT TABLES'!$W$28-'PIVOT TABLES'!$W$27</f>
        <v>27.947999999999993</v>
      </c>
      <c r="X219" s="14">
        <f>200-SUM(Table3[[#This Row],[S - LIGHT]:[S - VIGOROUS]])</f>
        <v>88.208000000000013</v>
      </c>
    </row>
    <row r="220" spans="1:24" x14ac:dyDescent="0.25">
      <c r="A220" s="13" t="s">
        <v>1</v>
      </c>
      <c r="B220" s="13" t="str">
        <f t="shared" si="3"/>
        <v>Defender</v>
      </c>
      <c r="C220" s="7">
        <v>45247.404849537037</v>
      </c>
      <c r="D220" s="14">
        <v>9164</v>
      </c>
      <c r="E220" s="14">
        <v>42</v>
      </c>
      <c r="F220" s="14">
        <v>26</v>
      </c>
      <c r="G220" s="14">
        <v>23</v>
      </c>
      <c r="H220" s="14">
        <v>94.4</v>
      </c>
      <c r="I220" s="14">
        <f>'PIVOT TABLES'!$B$26</f>
        <v>60.283999999999999</v>
      </c>
      <c r="J220" s="14">
        <f>'PIVOT TABLES'!$B$27-'PIVOT TABLES'!$B$26</f>
        <v>30.142000000000003</v>
      </c>
      <c r="K220" s="14">
        <f>'PIVOT TABLES'!$B$28-'PIVOT TABLES'!$B$27</f>
        <v>30.141999999999996</v>
      </c>
      <c r="L220" s="14">
        <f>200-SUM(Table3[[#This Row],[D - LIGHT]:[D - VIGOROUS]])</f>
        <v>79.432000000000002</v>
      </c>
      <c r="M220" s="14">
        <f>'PIVOT TABLES'!$I$26</f>
        <v>65.603999999999999</v>
      </c>
      <c r="N220" s="14">
        <f>'PIVOT TABLES'!$I$27-'PIVOT TABLES'!$I$26</f>
        <v>32.802000000000007</v>
      </c>
      <c r="O220" s="14">
        <f>'PIVOT TABLES'!$I$28-'PIVOT TABLES'!$I$27</f>
        <v>32.801999999999992</v>
      </c>
      <c r="P220" s="14">
        <f>200-SUM(Table3[[#This Row],[M - LIGHT]:[M - VIGOROUS]])</f>
        <v>68.792000000000002</v>
      </c>
      <c r="Q220" s="14">
        <f>'PIVOT TABLES'!$P$26</f>
        <v>62.64</v>
      </c>
      <c r="R220" s="14">
        <f>'PIVOT TABLES'!$P$27-'PIVOT TABLES'!$P$26</f>
        <v>31.320000000000007</v>
      </c>
      <c r="S220" s="14">
        <f>'PIVOT TABLES'!$P$28-'PIVOT TABLES'!$P$27</f>
        <v>31.319999999999993</v>
      </c>
      <c r="T220" s="14">
        <f>200-SUM(Table3[[#This Row],[W - LIGHT]:[W - VIGOROUS]])</f>
        <v>74.72</v>
      </c>
      <c r="U220" s="14">
        <f>'PIVOT TABLES'!$W$26</f>
        <v>55.895999999999994</v>
      </c>
      <c r="V220" s="14">
        <f>'PIVOT TABLES'!$W$27-'PIVOT TABLES'!$W$26</f>
        <v>27.948</v>
      </c>
      <c r="W220" s="14">
        <f>'PIVOT TABLES'!$W$28-'PIVOT TABLES'!$W$27</f>
        <v>27.947999999999993</v>
      </c>
      <c r="X220" s="14">
        <f>200-SUM(Table3[[#This Row],[S - LIGHT]:[S - VIGOROUS]])</f>
        <v>88.208000000000013</v>
      </c>
    </row>
    <row r="221" spans="1:24" x14ac:dyDescent="0.25">
      <c r="A221" s="13" t="s">
        <v>56</v>
      </c>
      <c r="B221" s="13" t="str">
        <f t="shared" si="3"/>
        <v>Midfielder</v>
      </c>
      <c r="C221" s="7">
        <v>45247.404849537037</v>
      </c>
      <c r="D221" s="14">
        <v>12454</v>
      </c>
      <c r="E221" s="14">
        <v>77</v>
      </c>
      <c r="F221" s="14">
        <v>14</v>
      </c>
      <c r="G221" s="14">
        <v>18</v>
      </c>
      <c r="H221" s="14">
        <v>127.77</v>
      </c>
      <c r="I221" s="14">
        <f>'PIVOT TABLES'!$B$26</f>
        <v>60.283999999999999</v>
      </c>
      <c r="J221" s="14">
        <f>'PIVOT TABLES'!$B$27-'PIVOT TABLES'!$B$26</f>
        <v>30.142000000000003</v>
      </c>
      <c r="K221" s="14">
        <f>'PIVOT TABLES'!$B$28-'PIVOT TABLES'!$B$27</f>
        <v>30.141999999999996</v>
      </c>
      <c r="L221" s="14">
        <f>200-SUM(Table3[[#This Row],[D - LIGHT]:[D - VIGOROUS]])</f>
        <v>79.432000000000002</v>
      </c>
      <c r="M221" s="14">
        <f>'PIVOT TABLES'!$I$26</f>
        <v>65.603999999999999</v>
      </c>
      <c r="N221" s="14">
        <f>'PIVOT TABLES'!$I$27-'PIVOT TABLES'!$I$26</f>
        <v>32.802000000000007</v>
      </c>
      <c r="O221" s="14">
        <f>'PIVOT TABLES'!$I$28-'PIVOT TABLES'!$I$27</f>
        <v>32.801999999999992</v>
      </c>
      <c r="P221" s="14">
        <f>200-SUM(Table3[[#This Row],[M - LIGHT]:[M - VIGOROUS]])</f>
        <v>68.792000000000002</v>
      </c>
      <c r="Q221" s="14">
        <f>'PIVOT TABLES'!$P$26</f>
        <v>62.64</v>
      </c>
      <c r="R221" s="14">
        <f>'PIVOT TABLES'!$P$27-'PIVOT TABLES'!$P$26</f>
        <v>31.320000000000007</v>
      </c>
      <c r="S221" s="14">
        <f>'PIVOT TABLES'!$P$28-'PIVOT TABLES'!$P$27</f>
        <v>31.319999999999993</v>
      </c>
      <c r="T221" s="14">
        <f>200-SUM(Table3[[#This Row],[W - LIGHT]:[W - VIGOROUS]])</f>
        <v>74.72</v>
      </c>
      <c r="U221" s="14">
        <f>'PIVOT TABLES'!$W$26</f>
        <v>55.895999999999994</v>
      </c>
      <c r="V221" s="14">
        <f>'PIVOT TABLES'!$W$27-'PIVOT TABLES'!$W$26</f>
        <v>27.948</v>
      </c>
      <c r="W221" s="14">
        <f>'PIVOT TABLES'!$W$28-'PIVOT TABLES'!$W$27</f>
        <v>27.947999999999993</v>
      </c>
      <c r="X221" s="14">
        <f>200-SUM(Table3[[#This Row],[S - LIGHT]:[S - VIGOROUS]])</f>
        <v>88.208000000000013</v>
      </c>
    </row>
    <row r="222" spans="1:24" x14ac:dyDescent="0.25">
      <c r="A222" s="13" t="s">
        <v>2</v>
      </c>
      <c r="B222" s="13" t="str">
        <f t="shared" si="3"/>
        <v>Defender</v>
      </c>
      <c r="C222" s="7">
        <v>45247.404849537037</v>
      </c>
      <c r="D222" s="14">
        <v>5941</v>
      </c>
      <c r="E222" s="14">
        <v>135</v>
      </c>
      <c r="F222" s="14">
        <v>35</v>
      </c>
      <c r="G222" s="14">
        <v>20</v>
      </c>
      <c r="H222" s="14">
        <v>65.260000000000005</v>
      </c>
      <c r="I222" s="14">
        <f>'PIVOT TABLES'!$B$26</f>
        <v>60.283999999999999</v>
      </c>
      <c r="J222" s="14">
        <f>'PIVOT TABLES'!$B$27-'PIVOT TABLES'!$B$26</f>
        <v>30.142000000000003</v>
      </c>
      <c r="K222" s="14">
        <f>'PIVOT TABLES'!$B$28-'PIVOT TABLES'!$B$27</f>
        <v>30.141999999999996</v>
      </c>
      <c r="L222" s="14">
        <f>200-SUM(Table3[[#This Row],[D - LIGHT]:[D - VIGOROUS]])</f>
        <v>79.432000000000002</v>
      </c>
      <c r="M222" s="14">
        <f>'PIVOT TABLES'!$I$26</f>
        <v>65.603999999999999</v>
      </c>
      <c r="N222" s="14">
        <f>'PIVOT TABLES'!$I$27-'PIVOT TABLES'!$I$26</f>
        <v>32.802000000000007</v>
      </c>
      <c r="O222" s="14">
        <f>'PIVOT TABLES'!$I$28-'PIVOT TABLES'!$I$27</f>
        <v>32.801999999999992</v>
      </c>
      <c r="P222" s="14">
        <f>200-SUM(Table3[[#This Row],[M - LIGHT]:[M - VIGOROUS]])</f>
        <v>68.792000000000002</v>
      </c>
      <c r="Q222" s="14">
        <f>'PIVOT TABLES'!$P$26</f>
        <v>62.64</v>
      </c>
      <c r="R222" s="14">
        <f>'PIVOT TABLES'!$P$27-'PIVOT TABLES'!$P$26</f>
        <v>31.320000000000007</v>
      </c>
      <c r="S222" s="14">
        <f>'PIVOT TABLES'!$P$28-'PIVOT TABLES'!$P$27</f>
        <v>31.319999999999993</v>
      </c>
      <c r="T222" s="14">
        <f>200-SUM(Table3[[#This Row],[W - LIGHT]:[W - VIGOROUS]])</f>
        <v>74.72</v>
      </c>
      <c r="U222" s="14">
        <f>'PIVOT TABLES'!$W$26</f>
        <v>55.895999999999994</v>
      </c>
      <c r="V222" s="14">
        <f>'PIVOT TABLES'!$W$27-'PIVOT TABLES'!$W$26</f>
        <v>27.948</v>
      </c>
      <c r="W222" s="14">
        <f>'PIVOT TABLES'!$W$28-'PIVOT TABLES'!$W$27</f>
        <v>27.947999999999993</v>
      </c>
      <c r="X222" s="14">
        <f>200-SUM(Table3[[#This Row],[S - LIGHT]:[S - VIGOROUS]])</f>
        <v>88.208000000000013</v>
      </c>
    </row>
    <row r="223" spans="1:24" x14ac:dyDescent="0.25">
      <c r="A223" s="13" t="s">
        <v>58</v>
      </c>
      <c r="B223" s="13" t="str">
        <f t="shared" si="3"/>
        <v>Defender</v>
      </c>
      <c r="C223" s="7">
        <v>45247.404849537037</v>
      </c>
      <c r="D223" s="14">
        <v>10882</v>
      </c>
      <c r="E223" s="14">
        <v>266</v>
      </c>
      <c r="F223" s="14">
        <v>34</v>
      </c>
      <c r="G223" s="14">
        <v>31</v>
      </c>
      <c r="H223" s="14">
        <v>118.78</v>
      </c>
      <c r="I223" s="14">
        <f>'PIVOT TABLES'!$B$26</f>
        <v>60.283999999999999</v>
      </c>
      <c r="J223" s="14">
        <f>'PIVOT TABLES'!$B$27-'PIVOT TABLES'!$B$26</f>
        <v>30.142000000000003</v>
      </c>
      <c r="K223" s="14">
        <f>'PIVOT TABLES'!$B$28-'PIVOT TABLES'!$B$27</f>
        <v>30.141999999999996</v>
      </c>
      <c r="L223" s="14">
        <f>200-SUM(Table3[[#This Row],[D - LIGHT]:[D - VIGOROUS]])</f>
        <v>79.432000000000002</v>
      </c>
      <c r="M223" s="14">
        <f>'PIVOT TABLES'!$I$26</f>
        <v>65.603999999999999</v>
      </c>
      <c r="N223" s="14">
        <f>'PIVOT TABLES'!$I$27-'PIVOT TABLES'!$I$26</f>
        <v>32.802000000000007</v>
      </c>
      <c r="O223" s="14">
        <f>'PIVOT TABLES'!$I$28-'PIVOT TABLES'!$I$27</f>
        <v>32.801999999999992</v>
      </c>
      <c r="P223" s="14">
        <f>200-SUM(Table3[[#This Row],[M - LIGHT]:[M - VIGOROUS]])</f>
        <v>68.792000000000002</v>
      </c>
      <c r="Q223" s="14">
        <f>'PIVOT TABLES'!$P$26</f>
        <v>62.64</v>
      </c>
      <c r="R223" s="14">
        <f>'PIVOT TABLES'!$P$27-'PIVOT TABLES'!$P$26</f>
        <v>31.320000000000007</v>
      </c>
      <c r="S223" s="14">
        <f>'PIVOT TABLES'!$P$28-'PIVOT TABLES'!$P$27</f>
        <v>31.319999999999993</v>
      </c>
      <c r="T223" s="14">
        <f>200-SUM(Table3[[#This Row],[W - LIGHT]:[W - VIGOROUS]])</f>
        <v>74.72</v>
      </c>
      <c r="U223" s="14">
        <f>'PIVOT TABLES'!$W$26</f>
        <v>55.895999999999994</v>
      </c>
      <c r="V223" s="14">
        <f>'PIVOT TABLES'!$W$27-'PIVOT TABLES'!$W$26</f>
        <v>27.948</v>
      </c>
      <c r="W223" s="14">
        <f>'PIVOT TABLES'!$W$28-'PIVOT TABLES'!$W$27</f>
        <v>27.947999999999993</v>
      </c>
      <c r="X223" s="14">
        <f>200-SUM(Table3[[#This Row],[S - LIGHT]:[S - VIGOROUS]])</f>
        <v>88.208000000000013</v>
      </c>
    </row>
    <row r="224" spans="1:24" x14ac:dyDescent="0.25">
      <c r="A224" s="13" t="s">
        <v>3</v>
      </c>
      <c r="B224" s="13" t="str">
        <f t="shared" si="3"/>
        <v>Defender</v>
      </c>
      <c r="C224" s="7">
        <v>45247.404849537037</v>
      </c>
      <c r="D224" s="14">
        <v>10540</v>
      </c>
      <c r="E224" s="14">
        <v>189</v>
      </c>
      <c r="F224" s="14">
        <v>32</v>
      </c>
      <c r="G224" s="14">
        <v>30</v>
      </c>
      <c r="H224" s="14">
        <v>112.95</v>
      </c>
      <c r="I224" s="14">
        <f>'PIVOT TABLES'!$B$26</f>
        <v>60.283999999999999</v>
      </c>
      <c r="J224" s="14">
        <f>'PIVOT TABLES'!$B$27-'PIVOT TABLES'!$B$26</f>
        <v>30.142000000000003</v>
      </c>
      <c r="K224" s="14">
        <f>'PIVOT TABLES'!$B$28-'PIVOT TABLES'!$B$27</f>
        <v>30.141999999999996</v>
      </c>
      <c r="L224" s="14">
        <f>200-SUM(Table3[[#This Row],[D - LIGHT]:[D - VIGOROUS]])</f>
        <v>79.432000000000002</v>
      </c>
      <c r="M224" s="14">
        <f>'PIVOT TABLES'!$I$26</f>
        <v>65.603999999999999</v>
      </c>
      <c r="N224" s="14">
        <f>'PIVOT TABLES'!$I$27-'PIVOT TABLES'!$I$26</f>
        <v>32.802000000000007</v>
      </c>
      <c r="O224" s="14">
        <f>'PIVOT TABLES'!$I$28-'PIVOT TABLES'!$I$27</f>
        <v>32.801999999999992</v>
      </c>
      <c r="P224" s="14">
        <f>200-SUM(Table3[[#This Row],[M - LIGHT]:[M - VIGOROUS]])</f>
        <v>68.792000000000002</v>
      </c>
      <c r="Q224" s="14">
        <f>'PIVOT TABLES'!$P$26</f>
        <v>62.64</v>
      </c>
      <c r="R224" s="14">
        <f>'PIVOT TABLES'!$P$27-'PIVOT TABLES'!$P$26</f>
        <v>31.320000000000007</v>
      </c>
      <c r="S224" s="14">
        <f>'PIVOT TABLES'!$P$28-'PIVOT TABLES'!$P$27</f>
        <v>31.319999999999993</v>
      </c>
      <c r="T224" s="14">
        <f>200-SUM(Table3[[#This Row],[W - LIGHT]:[W - VIGOROUS]])</f>
        <v>74.72</v>
      </c>
      <c r="U224" s="14">
        <f>'PIVOT TABLES'!$W$26</f>
        <v>55.895999999999994</v>
      </c>
      <c r="V224" s="14">
        <f>'PIVOT TABLES'!$W$27-'PIVOT TABLES'!$W$26</f>
        <v>27.948</v>
      </c>
      <c r="W224" s="14">
        <f>'PIVOT TABLES'!$W$28-'PIVOT TABLES'!$W$27</f>
        <v>27.947999999999993</v>
      </c>
      <c r="X224" s="14">
        <f>200-SUM(Table3[[#This Row],[S - LIGHT]:[S - VIGOROUS]])</f>
        <v>88.208000000000013</v>
      </c>
    </row>
    <row r="225" spans="1:24" x14ac:dyDescent="0.25">
      <c r="A225" s="13" t="s">
        <v>4</v>
      </c>
      <c r="B225" s="13" t="str">
        <f t="shared" si="3"/>
        <v>Midfielder</v>
      </c>
      <c r="C225" s="7">
        <v>45247.404849537037</v>
      </c>
      <c r="D225" s="14">
        <v>7078</v>
      </c>
      <c r="E225" s="14">
        <v>16</v>
      </c>
      <c r="F225" s="14">
        <v>21</v>
      </c>
      <c r="G225" s="14">
        <v>14</v>
      </c>
      <c r="H225" s="14">
        <v>72.38</v>
      </c>
      <c r="I225" s="14">
        <f>'PIVOT TABLES'!$B$26</f>
        <v>60.283999999999999</v>
      </c>
      <c r="J225" s="14">
        <f>'PIVOT TABLES'!$B$27-'PIVOT TABLES'!$B$26</f>
        <v>30.142000000000003</v>
      </c>
      <c r="K225" s="14">
        <f>'PIVOT TABLES'!$B$28-'PIVOT TABLES'!$B$27</f>
        <v>30.141999999999996</v>
      </c>
      <c r="L225" s="14">
        <f>200-SUM(Table3[[#This Row],[D - LIGHT]:[D - VIGOROUS]])</f>
        <v>79.432000000000002</v>
      </c>
      <c r="M225" s="14">
        <f>'PIVOT TABLES'!$I$26</f>
        <v>65.603999999999999</v>
      </c>
      <c r="N225" s="14">
        <f>'PIVOT TABLES'!$I$27-'PIVOT TABLES'!$I$26</f>
        <v>32.802000000000007</v>
      </c>
      <c r="O225" s="14">
        <f>'PIVOT TABLES'!$I$28-'PIVOT TABLES'!$I$27</f>
        <v>32.801999999999992</v>
      </c>
      <c r="P225" s="14">
        <f>200-SUM(Table3[[#This Row],[M - LIGHT]:[M - VIGOROUS]])</f>
        <v>68.792000000000002</v>
      </c>
      <c r="Q225" s="14">
        <f>'PIVOT TABLES'!$P$26</f>
        <v>62.64</v>
      </c>
      <c r="R225" s="14">
        <f>'PIVOT TABLES'!$P$27-'PIVOT TABLES'!$P$26</f>
        <v>31.320000000000007</v>
      </c>
      <c r="S225" s="14">
        <f>'PIVOT TABLES'!$P$28-'PIVOT TABLES'!$P$27</f>
        <v>31.319999999999993</v>
      </c>
      <c r="T225" s="14">
        <f>200-SUM(Table3[[#This Row],[W - LIGHT]:[W - VIGOROUS]])</f>
        <v>74.72</v>
      </c>
      <c r="U225" s="14">
        <f>'PIVOT TABLES'!$W$26</f>
        <v>55.895999999999994</v>
      </c>
      <c r="V225" s="14">
        <f>'PIVOT TABLES'!$W$27-'PIVOT TABLES'!$W$26</f>
        <v>27.948</v>
      </c>
      <c r="W225" s="14">
        <f>'PIVOT TABLES'!$W$28-'PIVOT TABLES'!$W$27</f>
        <v>27.947999999999993</v>
      </c>
      <c r="X225" s="14">
        <f>200-SUM(Table3[[#This Row],[S - LIGHT]:[S - VIGOROUS]])</f>
        <v>88.208000000000013</v>
      </c>
    </row>
    <row r="226" spans="1:24" x14ac:dyDescent="0.25">
      <c r="A226" s="13" t="s">
        <v>60</v>
      </c>
      <c r="B226" s="13" t="str">
        <f t="shared" si="3"/>
        <v>Winger</v>
      </c>
      <c r="C226" s="7">
        <v>45247.404849537037</v>
      </c>
      <c r="D226" s="14">
        <v>7549</v>
      </c>
      <c r="E226" s="14">
        <v>151</v>
      </c>
      <c r="F226" s="14">
        <v>27</v>
      </c>
      <c r="G226" s="14">
        <v>19</v>
      </c>
      <c r="H226" s="14">
        <v>81.48</v>
      </c>
      <c r="I226" s="14">
        <f>'PIVOT TABLES'!$B$26</f>
        <v>60.283999999999999</v>
      </c>
      <c r="J226" s="14">
        <f>'PIVOT TABLES'!$B$27-'PIVOT TABLES'!$B$26</f>
        <v>30.142000000000003</v>
      </c>
      <c r="K226" s="14">
        <f>'PIVOT TABLES'!$B$28-'PIVOT TABLES'!$B$27</f>
        <v>30.141999999999996</v>
      </c>
      <c r="L226" s="14">
        <f>200-SUM(Table3[[#This Row],[D - LIGHT]:[D - VIGOROUS]])</f>
        <v>79.432000000000002</v>
      </c>
      <c r="M226" s="14">
        <f>'PIVOT TABLES'!$I$26</f>
        <v>65.603999999999999</v>
      </c>
      <c r="N226" s="14">
        <f>'PIVOT TABLES'!$I$27-'PIVOT TABLES'!$I$26</f>
        <v>32.802000000000007</v>
      </c>
      <c r="O226" s="14">
        <f>'PIVOT TABLES'!$I$28-'PIVOT TABLES'!$I$27</f>
        <v>32.801999999999992</v>
      </c>
      <c r="P226" s="14">
        <f>200-SUM(Table3[[#This Row],[M - LIGHT]:[M - VIGOROUS]])</f>
        <v>68.792000000000002</v>
      </c>
      <c r="Q226" s="14">
        <f>'PIVOT TABLES'!$P$26</f>
        <v>62.64</v>
      </c>
      <c r="R226" s="14">
        <f>'PIVOT TABLES'!$P$27-'PIVOT TABLES'!$P$26</f>
        <v>31.320000000000007</v>
      </c>
      <c r="S226" s="14">
        <f>'PIVOT TABLES'!$P$28-'PIVOT TABLES'!$P$27</f>
        <v>31.319999999999993</v>
      </c>
      <c r="T226" s="14">
        <f>200-SUM(Table3[[#This Row],[W - LIGHT]:[W - VIGOROUS]])</f>
        <v>74.72</v>
      </c>
      <c r="U226" s="14">
        <f>'PIVOT TABLES'!$W$26</f>
        <v>55.895999999999994</v>
      </c>
      <c r="V226" s="14">
        <f>'PIVOT TABLES'!$W$27-'PIVOT TABLES'!$W$26</f>
        <v>27.948</v>
      </c>
      <c r="W226" s="14">
        <f>'PIVOT TABLES'!$W$28-'PIVOT TABLES'!$W$27</f>
        <v>27.947999999999993</v>
      </c>
      <c r="X226" s="14">
        <f>200-SUM(Table3[[#This Row],[S - LIGHT]:[S - VIGOROUS]])</f>
        <v>88.208000000000013</v>
      </c>
    </row>
    <row r="227" spans="1:24" x14ac:dyDescent="0.25">
      <c r="A227" s="13" t="s">
        <v>61</v>
      </c>
      <c r="B227" s="13" t="str">
        <f t="shared" si="3"/>
        <v>####</v>
      </c>
      <c r="C227" s="7">
        <v>45247.404849537037</v>
      </c>
      <c r="D227" s="14">
        <v>10272</v>
      </c>
      <c r="E227" s="14">
        <v>182</v>
      </c>
      <c r="F227" s="14">
        <v>25</v>
      </c>
      <c r="G227" s="14">
        <v>23</v>
      </c>
      <c r="H227" s="14">
        <v>109.64</v>
      </c>
      <c r="I227" s="14">
        <f>'PIVOT TABLES'!$B$26</f>
        <v>60.283999999999999</v>
      </c>
      <c r="J227" s="14">
        <f>'PIVOT TABLES'!$B$27-'PIVOT TABLES'!$B$26</f>
        <v>30.142000000000003</v>
      </c>
      <c r="K227" s="14">
        <f>'PIVOT TABLES'!$B$28-'PIVOT TABLES'!$B$27</f>
        <v>30.141999999999996</v>
      </c>
      <c r="L227" s="14">
        <f>200-SUM(Table3[[#This Row],[D - LIGHT]:[D - VIGOROUS]])</f>
        <v>79.432000000000002</v>
      </c>
      <c r="M227" s="14">
        <f>'PIVOT TABLES'!$I$26</f>
        <v>65.603999999999999</v>
      </c>
      <c r="N227" s="14">
        <f>'PIVOT TABLES'!$I$27-'PIVOT TABLES'!$I$26</f>
        <v>32.802000000000007</v>
      </c>
      <c r="O227" s="14">
        <f>'PIVOT TABLES'!$I$28-'PIVOT TABLES'!$I$27</f>
        <v>32.801999999999992</v>
      </c>
      <c r="P227" s="14">
        <f>200-SUM(Table3[[#This Row],[M - LIGHT]:[M - VIGOROUS]])</f>
        <v>68.792000000000002</v>
      </c>
      <c r="Q227" s="14">
        <f>'PIVOT TABLES'!$P$26</f>
        <v>62.64</v>
      </c>
      <c r="R227" s="14">
        <f>'PIVOT TABLES'!$P$27-'PIVOT TABLES'!$P$26</f>
        <v>31.320000000000007</v>
      </c>
      <c r="S227" s="14">
        <f>'PIVOT TABLES'!$P$28-'PIVOT TABLES'!$P$27</f>
        <v>31.319999999999993</v>
      </c>
      <c r="T227" s="14">
        <f>200-SUM(Table3[[#This Row],[W - LIGHT]:[W - VIGOROUS]])</f>
        <v>74.72</v>
      </c>
      <c r="U227" s="14">
        <f>'PIVOT TABLES'!$W$26</f>
        <v>55.895999999999994</v>
      </c>
      <c r="V227" s="14">
        <f>'PIVOT TABLES'!$W$27-'PIVOT TABLES'!$W$26</f>
        <v>27.948</v>
      </c>
      <c r="W227" s="14">
        <f>'PIVOT TABLES'!$W$28-'PIVOT TABLES'!$W$27</f>
        <v>27.947999999999993</v>
      </c>
      <c r="X227" s="14">
        <f>200-SUM(Table3[[#This Row],[S - LIGHT]:[S - VIGOROUS]])</f>
        <v>88.208000000000013</v>
      </c>
    </row>
    <row r="228" spans="1:24" x14ac:dyDescent="0.25">
      <c r="A228" s="13" t="s">
        <v>5</v>
      </c>
      <c r="B228" s="13" t="str">
        <f t="shared" si="3"/>
        <v>Midfielder</v>
      </c>
      <c r="C228" s="7">
        <v>45247.404849537037</v>
      </c>
      <c r="D228" s="14">
        <v>1650</v>
      </c>
      <c r="E228" s="14">
        <v>0</v>
      </c>
      <c r="F228" s="14">
        <v>0</v>
      </c>
      <c r="G228" s="14">
        <v>0</v>
      </c>
      <c r="H228" s="14">
        <v>16.5</v>
      </c>
      <c r="I228" s="14">
        <f>'PIVOT TABLES'!$B$26</f>
        <v>60.283999999999999</v>
      </c>
      <c r="J228" s="14">
        <f>'PIVOT TABLES'!$B$27-'PIVOT TABLES'!$B$26</f>
        <v>30.142000000000003</v>
      </c>
      <c r="K228" s="14">
        <f>'PIVOT TABLES'!$B$28-'PIVOT TABLES'!$B$27</f>
        <v>30.141999999999996</v>
      </c>
      <c r="L228" s="14">
        <f>200-SUM(Table3[[#This Row],[D - LIGHT]:[D - VIGOROUS]])</f>
        <v>79.432000000000002</v>
      </c>
      <c r="M228" s="14">
        <f>'PIVOT TABLES'!$I$26</f>
        <v>65.603999999999999</v>
      </c>
      <c r="N228" s="14">
        <f>'PIVOT TABLES'!$I$27-'PIVOT TABLES'!$I$26</f>
        <v>32.802000000000007</v>
      </c>
      <c r="O228" s="14">
        <f>'PIVOT TABLES'!$I$28-'PIVOT TABLES'!$I$27</f>
        <v>32.801999999999992</v>
      </c>
      <c r="P228" s="14">
        <f>200-SUM(Table3[[#This Row],[M - LIGHT]:[M - VIGOROUS]])</f>
        <v>68.792000000000002</v>
      </c>
      <c r="Q228" s="14">
        <f>'PIVOT TABLES'!$P$26</f>
        <v>62.64</v>
      </c>
      <c r="R228" s="14">
        <f>'PIVOT TABLES'!$P$27-'PIVOT TABLES'!$P$26</f>
        <v>31.320000000000007</v>
      </c>
      <c r="S228" s="14">
        <f>'PIVOT TABLES'!$P$28-'PIVOT TABLES'!$P$27</f>
        <v>31.319999999999993</v>
      </c>
      <c r="T228" s="14">
        <f>200-SUM(Table3[[#This Row],[W - LIGHT]:[W - VIGOROUS]])</f>
        <v>74.72</v>
      </c>
      <c r="U228" s="14">
        <f>'PIVOT TABLES'!$W$26</f>
        <v>55.895999999999994</v>
      </c>
      <c r="V228" s="14">
        <f>'PIVOT TABLES'!$W$27-'PIVOT TABLES'!$W$26</f>
        <v>27.948</v>
      </c>
      <c r="W228" s="14">
        <f>'PIVOT TABLES'!$W$28-'PIVOT TABLES'!$W$27</f>
        <v>27.947999999999993</v>
      </c>
      <c r="X228" s="14">
        <f>200-SUM(Table3[[#This Row],[S - LIGHT]:[S - VIGOROUS]])</f>
        <v>88.208000000000013</v>
      </c>
    </row>
    <row r="229" spans="1:24" x14ac:dyDescent="0.25">
      <c r="A229" s="13" t="s">
        <v>6</v>
      </c>
      <c r="B229" s="13" t="str">
        <f t="shared" si="3"/>
        <v>Midfielder</v>
      </c>
      <c r="C229" s="7">
        <v>45247.404849537037</v>
      </c>
      <c r="D229" s="14">
        <v>11650</v>
      </c>
      <c r="E229" s="14">
        <v>384</v>
      </c>
      <c r="F229" s="14">
        <v>50</v>
      </c>
      <c r="G229" s="14">
        <v>39</v>
      </c>
      <c r="H229" s="14">
        <v>130.80000000000001</v>
      </c>
      <c r="I229" s="14">
        <f>'PIVOT TABLES'!$B$26</f>
        <v>60.283999999999999</v>
      </c>
      <c r="J229" s="14">
        <f>'PIVOT TABLES'!$B$27-'PIVOT TABLES'!$B$26</f>
        <v>30.142000000000003</v>
      </c>
      <c r="K229" s="14">
        <f>'PIVOT TABLES'!$B$28-'PIVOT TABLES'!$B$27</f>
        <v>30.141999999999996</v>
      </c>
      <c r="L229" s="14">
        <f>200-SUM(Table3[[#This Row],[D - LIGHT]:[D - VIGOROUS]])</f>
        <v>79.432000000000002</v>
      </c>
      <c r="M229" s="14">
        <f>'PIVOT TABLES'!$I$26</f>
        <v>65.603999999999999</v>
      </c>
      <c r="N229" s="14">
        <f>'PIVOT TABLES'!$I$27-'PIVOT TABLES'!$I$26</f>
        <v>32.802000000000007</v>
      </c>
      <c r="O229" s="14">
        <f>'PIVOT TABLES'!$I$28-'PIVOT TABLES'!$I$27</f>
        <v>32.801999999999992</v>
      </c>
      <c r="P229" s="14">
        <f>200-SUM(Table3[[#This Row],[M - LIGHT]:[M - VIGOROUS]])</f>
        <v>68.792000000000002</v>
      </c>
      <c r="Q229" s="14">
        <f>'PIVOT TABLES'!$P$26</f>
        <v>62.64</v>
      </c>
      <c r="R229" s="14">
        <f>'PIVOT TABLES'!$P$27-'PIVOT TABLES'!$P$26</f>
        <v>31.320000000000007</v>
      </c>
      <c r="S229" s="14">
        <f>'PIVOT TABLES'!$P$28-'PIVOT TABLES'!$P$27</f>
        <v>31.319999999999993</v>
      </c>
      <c r="T229" s="14">
        <f>200-SUM(Table3[[#This Row],[W - LIGHT]:[W - VIGOROUS]])</f>
        <v>74.72</v>
      </c>
      <c r="U229" s="14">
        <f>'PIVOT TABLES'!$W$26</f>
        <v>55.895999999999994</v>
      </c>
      <c r="V229" s="14">
        <f>'PIVOT TABLES'!$W$27-'PIVOT TABLES'!$W$26</f>
        <v>27.948</v>
      </c>
      <c r="W229" s="14">
        <f>'PIVOT TABLES'!$W$28-'PIVOT TABLES'!$W$27</f>
        <v>27.947999999999993</v>
      </c>
      <c r="X229" s="14">
        <f>200-SUM(Table3[[#This Row],[S - LIGHT]:[S - VIGOROUS]])</f>
        <v>88.208000000000013</v>
      </c>
    </row>
    <row r="230" spans="1:24" x14ac:dyDescent="0.25">
      <c r="A230" s="13" t="s">
        <v>62</v>
      </c>
      <c r="B230" s="13" t="str">
        <f t="shared" si="3"/>
        <v>Midfielder</v>
      </c>
      <c r="C230" s="7">
        <v>45247.404849537037</v>
      </c>
      <c r="D230" s="14">
        <v>10793</v>
      </c>
      <c r="E230" s="14">
        <v>52</v>
      </c>
      <c r="F230" s="14">
        <v>27</v>
      </c>
      <c r="G230" s="14">
        <v>16</v>
      </c>
      <c r="H230" s="14">
        <v>110.89</v>
      </c>
      <c r="I230" s="14">
        <f>'PIVOT TABLES'!$B$26</f>
        <v>60.283999999999999</v>
      </c>
      <c r="J230" s="14">
        <f>'PIVOT TABLES'!$B$27-'PIVOT TABLES'!$B$26</f>
        <v>30.142000000000003</v>
      </c>
      <c r="K230" s="14">
        <f>'PIVOT TABLES'!$B$28-'PIVOT TABLES'!$B$27</f>
        <v>30.141999999999996</v>
      </c>
      <c r="L230" s="14">
        <f>200-SUM(Table3[[#This Row],[D - LIGHT]:[D - VIGOROUS]])</f>
        <v>79.432000000000002</v>
      </c>
      <c r="M230" s="14">
        <f>'PIVOT TABLES'!$I$26</f>
        <v>65.603999999999999</v>
      </c>
      <c r="N230" s="14">
        <f>'PIVOT TABLES'!$I$27-'PIVOT TABLES'!$I$26</f>
        <v>32.802000000000007</v>
      </c>
      <c r="O230" s="14">
        <f>'PIVOT TABLES'!$I$28-'PIVOT TABLES'!$I$27</f>
        <v>32.801999999999992</v>
      </c>
      <c r="P230" s="14">
        <f>200-SUM(Table3[[#This Row],[M - LIGHT]:[M - VIGOROUS]])</f>
        <v>68.792000000000002</v>
      </c>
      <c r="Q230" s="14">
        <f>'PIVOT TABLES'!$P$26</f>
        <v>62.64</v>
      </c>
      <c r="R230" s="14">
        <f>'PIVOT TABLES'!$P$27-'PIVOT TABLES'!$P$26</f>
        <v>31.320000000000007</v>
      </c>
      <c r="S230" s="14">
        <f>'PIVOT TABLES'!$P$28-'PIVOT TABLES'!$P$27</f>
        <v>31.319999999999993</v>
      </c>
      <c r="T230" s="14">
        <f>200-SUM(Table3[[#This Row],[W - LIGHT]:[W - VIGOROUS]])</f>
        <v>74.72</v>
      </c>
      <c r="U230" s="14">
        <f>'PIVOT TABLES'!$W$26</f>
        <v>55.895999999999994</v>
      </c>
      <c r="V230" s="14">
        <f>'PIVOT TABLES'!$W$27-'PIVOT TABLES'!$W$26</f>
        <v>27.948</v>
      </c>
      <c r="W230" s="14">
        <f>'PIVOT TABLES'!$W$28-'PIVOT TABLES'!$W$27</f>
        <v>27.947999999999993</v>
      </c>
      <c r="X230" s="14">
        <f>200-SUM(Table3[[#This Row],[S - LIGHT]:[S - VIGOROUS]])</f>
        <v>88.208000000000013</v>
      </c>
    </row>
    <row r="231" spans="1:24" x14ac:dyDescent="0.25">
      <c r="A231" s="13" t="s">
        <v>64</v>
      </c>
      <c r="B231" s="13" t="str">
        <f t="shared" si="3"/>
        <v>Midfielder</v>
      </c>
      <c r="C231" s="7">
        <v>45247.404849537037</v>
      </c>
      <c r="D231" s="14">
        <v>11723</v>
      </c>
      <c r="E231" s="14">
        <v>177</v>
      </c>
      <c r="F231" s="14">
        <v>36</v>
      </c>
      <c r="G231" s="14">
        <v>26</v>
      </c>
      <c r="H231" s="14">
        <v>124.5</v>
      </c>
      <c r="I231" s="14">
        <f>'PIVOT TABLES'!$B$26</f>
        <v>60.283999999999999</v>
      </c>
      <c r="J231" s="14">
        <f>'PIVOT TABLES'!$B$27-'PIVOT TABLES'!$B$26</f>
        <v>30.142000000000003</v>
      </c>
      <c r="K231" s="14">
        <f>'PIVOT TABLES'!$B$28-'PIVOT TABLES'!$B$27</f>
        <v>30.141999999999996</v>
      </c>
      <c r="L231" s="14">
        <f>200-SUM(Table3[[#This Row],[D - LIGHT]:[D - VIGOROUS]])</f>
        <v>79.432000000000002</v>
      </c>
      <c r="M231" s="14">
        <f>'PIVOT TABLES'!$I$26</f>
        <v>65.603999999999999</v>
      </c>
      <c r="N231" s="14">
        <f>'PIVOT TABLES'!$I$27-'PIVOT TABLES'!$I$26</f>
        <v>32.802000000000007</v>
      </c>
      <c r="O231" s="14">
        <f>'PIVOT TABLES'!$I$28-'PIVOT TABLES'!$I$27</f>
        <v>32.801999999999992</v>
      </c>
      <c r="P231" s="14">
        <f>200-SUM(Table3[[#This Row],[M - LIGHT]:[M - VIGOROUS]])</f>
        <v>68.792000000000002</v>
      </c>
      <c r="Q231" s="14">
        <f>'PIVOT TABLES'!$P$26</f>
        <v>62.64</v>
      </c>
      <c r="R231" s="14">
        <f>'PIVOT TABLES'!$P$27-'PIVOT TABLES'!$P$26</f>
        <v>31.320000000000007</v>
      </c>
      <c r="S231" s="14">
        <f>'PIVOT TABLES'!$P$28-'PIVOT TABLES'!$P$27</f>
        <v>31.319999999999993</v>
      </c>
      <c r="T231" s="14">
        <f>200-SUM(Table3[[#This Row],[W - LIGHT]:[W - VIGOROUS]])</f>
        <v>74.72</v>
      </c>
      <c r="U231" s="14">
        <f>'PIVOT TABLES'!$W$26</f>
        <v>55.895999999999994</v>
      </c>
      <c r="V231" s="14">
        <f>'PIVOT TABLES'!$W$27-'PIVOT TABLES'!$W$26</f>
        <v>27.948</v>
      </c>
      <c r="W231" s="14">
        <f>'PIVOT TABLES'!$W$28-'PIVOT TABLES'!$W$27</f>
        <v>27.947999999999993</v>
      </c>
      <c r="X231" s="14">
        <f>200-SUM(Table3[[#This Row],[S - LIGHT]:[S - VIGOROUS]])</f>
        <v>88.208000000000013</v>
      </c>
    </row>
    <row r="232" spans="1:24" x14ac:dyDescent="0.25">
      <c r="A232" s="13" t="s">
        <v>65</v>
      </c>
      <c r="B232" s="13" t="str">
        <f t="shared" si="3"/>
        <v>Winger</v>
      </c>
      <c r="C232" s="7">
        <v>45247.404849537037</v>
      </c>
      <c r="D232" s="14">
        <v>10478</v>
      </c>
      <c r="E232" s="14">
        <v>358</v>
      </c>
      <c r="F232" s="14">
        <v>34</v>
      </c>
      <c r="G232" s="14">
        <v>26</v>
      </c>
      <c r="H232" s="14">
        <v>117.4</v>
      </c>
      <c r="I232" s="14">
        <f>'PIVOT TABLES'!$B$26</f>
        <v>60.283999999999999</v>
      </c>
      <c r="J232" s="14">
        <f>'PIVOT TABLES'!$B$27-'PIVOT TABLES'!$B$26</f>
        <v>30.142000000000003</v>
      </c>
      <c r="K232" s="14">
        <f>'PIVOT TABLES'!$B$28-'PIVOT TABLES'!$B$27</f>
        <v>30.141999999999996</v>
      </c>
      <c r="L232" s="14">
        <f>200-SUM(Table3[[#This Row],[D - LIGHT]:[D - VIGOROUS]])</f>
        <v>79.432000000000002</v>
      </c>
      <c r="M232" s="14">
        <f>'PIVOT TABLES'!$I$26</f>
        <v>65.603999999999999</v>
      </c>
      <c r="N232" s="14">
        <f>'PIVOT TABLES'!$I$27-'PIVOT TABLES'!$I$26</f>
        <v>32.802000000000007</v>
      </c>
      <c r="O232" s="14">
        <f>'PIVOT TABLES'!$I$28-'PIVOT TABLES'!$I$27</f>
        <v>32.801999999999992</v>
      </c>
      <c r="P232" s="14">
        <f>200-SUM(Table3[[#This Row],[M - LIGHT]:[M - VIGOROUS]])</f>
        <v>68.792000000000002</v>
      </c>
      <c r="Q232" s="14">
        <f>'PIVOT TABLES'!$P$26</f>
        <v>62.64</v>
      </c>
      <c r="R232" s="14">
        <f>'PIVOT TABLES'!$P$27-'PIVOT TABLES'!$P$26</f>
        <v>31.320000000000007</v>
      </c>
      <c r="S232" s="14">
        <f>'PIVOT TABLES'!$P$28-'PIVOT TABLES'!$P$27</f>
        <v>31.319999999999993</v>
      </c>
      <c r="T232" s="14">
        <f>200-SUM(Table3[[#This Row],[W - LIGHT]:[W - VIGOROUS]])</f>
        <v>74.72</v>
      </c>
      <c r="U232" s="14">
        <f>'PIVOT TABLES'!$W$26</f>
        <v>55.895999999999994</v>
      </c>
      <c r="V232" s="14">
        <f>'PIVOT TABLES'!$W$27-'PIVOT TABLES'!$W$26</f>
        <v>27.948</v>
      </c>
      <c r="W232" s="14">
        <f>'PIVOT TABLES'!$W$28-'PIVOT TABLES'!$W$27</f>
        <v>27.947999999999993</v>
      </c>
      <c r="X232" s="14">
        <f>200-SUM(Table3[[#This Row],[S - LIGHT]:[S - VIGOROUS]])</f>
        <v>88.208000000000013</v>
      </c>
    </row>
    <row r="233" spans="1:24" x14ac:dyDescent="0.25">
      <c r="A233" s="13" t="s">
        <v>7</v>
      </c>
      <c r="B233" s="13" t="str">
        <f t="shared" si="3"/>
        <v>Winger</v>
      </c>
      <c r="C233" s="7">
        <v>45247.404849537037</v>
      </c>
      <c r="D233" s="14">
        <v>6943</v>
      </c>
      <c r="E233" s="14">
        <v>130</v>
      </c>
      <c r="F233" s="14">
        <v>15</v>
      </c>
      <c r="G233" s="14">
        <v>13</v>
      </c>
      <c r="H233" s="14">
        <v>74.19</v>
      </c>
      <c r="I233" s="14">
        <f>'PIVOT TABLES'!$B$26</f>
        <v>60.283999999999999</v>
      </c>
      <c r="J233" s="14">
        <f>'PIVOT TABLES'!$B$27-'PIVOT TABLES'!$B$26</f>
        <v>30.142000000000003</v>
      </c>
      <c r="K233" s="14">
        <f>'PIVOT TABLES'!$B$28-'PIVOT TABLES'!$B$27</f>
        <v>30.141999999999996</v>
      </c>
      <c r="L233" s="14">
        <f>200-SUM(Table3[[#This Row],[D - LIGHT]:[D - VIGOROUS]])</f>
        <v>79.432000000000002</v>
      </c>
      <c r="M233" s="14">
        <f>'PIVOT TABLES'!$I$26</f>
        <v>65.603999999999999</v>
      </c>
      <c r="N233" s="14">
        <f>'PIVOT TABLES'!$I$27-'PIVOT TABLES'!$I$26</f>
        <v>32.802000000000007</v>
      </c>
      <c r="O233" s="14">
        <f>'PIVOT TABLES'!$I$28-'PIVOT TABLES'!$I$27</f>
        <v>32.801999999999992</v>
      </c>
      <c r="P233" s="14">
        <f>200-SUM(Table3[[#This Row],[M - LIGHT]:[M - VIGOROUS]])</f>
        <v>68.792000000000002</v>
      </c>
      <c r="Q233" s="14">
        <f>'PIVOT TABLES'!$P$26</f>
        <v>62.64</v>
      </c>
      <c r="R233" s="14">
        <f>'PIVOT TABLES'!$P$27-'PIVOT TABLES'!$P$26</f>
        <v>31.320000000000007</v>
      </c>
      <c r="S233" s="14">
        <f>'PIVOT TABLES'!$P$28-'PIVOT TABLES'!$P$27</f>
        <v>31.319999999999993</v>
      </c>
      <c r="T233" s="14">
        <f>200-SUM(Table3[[#This Row],[W - LIGHT]:[W - VIGOROUS]])</f>
        <v>74.72</v>
      </c>
      <c r="U233" s="14">
        <f>'PIVOT TABLES'!$W$26</f>
        <v>55.895999999999994</v>
      </c>
      <c r="V233" s="14">
        <f>'PIVOT TABLES'!$W$27-'PIVOT TABLES'!$W$26</f>
        <v>27.948</v>
      </c>
      <c r="W233" s="14">
        <f>'PIVOT TABLES'!$W$28-'PIVOT TABLES'!$W$27</f>
        <v>27.947999999999993</v>
      </c>
      <c r="X233" s="14">
        <f>200-SUM(Table3[[#This Row],[S - LIGHT]:[S - VIGOROUS]])</f>
        <v>88.208000000000013</v>
      </c>
    </row>
    <row r="234" spans="1:24" x14ac:dyDescent="0.25">
      <c r="A234" s="13" t="s">
        <v>8</v>
      </c>
      <c r="B234" s="13" t="str">
        <f t="shared" si="3"/>
        <v>Striker</v>
      </c>
      <c r="C234" s="7">
        <v>45247.404849537037</v>
      </c>
      <c r="D234" s="14">
        <v>9754</v>
      </c>
      <c r="E234" s="14">
        <v>305</v>
      </c>
      <c r="F234" s="14">
        <v>51</v>
      </c>
      <c r="G234" s="14">
        <v>45</v>
      </c>
      <c r="H234" s="14">
        <v>109.63</v>
      </c>
      <c r="I234" s="14">
        <f>'PIVOT TABLES'!$B$26</f>
        <v>60.283999999999999</v>
      </c>
      <c r="J234" s="14">
        <f>'PIVOT TABLES'!$B$27-'PIVOT TABLES'!$B$26</f>
        <v>30.142000000000003</v>
      </c>
      <c r="K234" s="14">
        <f>'PIVOT TABLES'!$B$28-'PIVOT TABLES'!$B$27</f>
        <v>30.141999999999996</v>
      </c>
      <c r="L234" s="14">
        <f>200-SUM(Table3[[#This Row],[D - LIGHT]:[D - VIGOROUS]])</f>
        <v>79.432000000000002</v>
      </c>
      <c r="M234" s="14">
        <f>'PIVOT TABLES'!$I$26</f>
        <v>65.603999999999999</v>
      </c>
      <c r="N234" s="14">
        <f>'PIVOT TABLES'!$I$27-'PIVOT TABLES'!$I$26</f>
        <v>32.802000000000007</v>
      </c>
      <c r="O234" s="14">
        <f>'PIVOT TABLES'!$I$28-'PIVOT TABLES'!$I$27</f>
        <v>32.801999999999992</v>
      </c>
      <c r="P234" s="14">
        <f>200-SUM(Table3[[#This Row],[M - LIGHT]:[M - VIGOROUS]])</f>
        <v>68.792000000000002</v>
      </c>
      <c r="Q234" s="14">
        <f>'PIVOT TABLES'!$P$26</f>
        <v>62.64</v>
      </c>
      <c r="R234" s="14">
        <f>'PIVOT TABLES'!$P$27-'PIVOT TABLES'!$P$26</f>
        <v>31.320000000000007</v>
      </c>
      <c r="S234" s="14">
        <f>'PIVOT TABLES'!$P$28-'PIVOT TABLES'!$P$27</f>
        <v>31.319999999999993</v>
      </c>
      <c r="T234" s="14">
        <f>200-SUM(Table3[[#This Row],[W - LIGHT]:[W - VIGOROUS]])</f>
        <v>74.72</v>
      </c>
      <c r="U234" s="14">
        <f>'PIVOT TABLES'!$W$26</f>
        <v>55.895999999999994</v>
      </c>
      <c r="V234" s="14">
        <f>'PIVOT TABLES'!$W$27-'PIVOT TABLES'!$W$26</f>
        <v>27.948</v>
      </c>
      <c r="W234" s="14">
        <f>'PIVOT TABLES'!$W$28-'PIVOT TABLES'!$W$27</f>
        <v>27.947999999999993</v>
      </c>
      <c r="X234" s="14">
        <f>200-SUM(Table3[[#This Row],[S - LIGHT]:[S - VIGOROUS]])</f>
        <v>88.208000000000013</v>
      </c>
    </row>
    <row r="235" spans="1:24" x14ac:dyDescent="0.25">
      <c r="A235" s="13" t="s">
        <v>67</v>
      </c>
      <c r="B235" s="13" t="str">
        <f t="shared" si="3"/>
        <v>Midfielder</v>
      </c>
      <c r="C235" s="7">
        <v>45247.404849537037</v>
      </c>
      <c r="D235" s="14">
        <v>11213</v>
      </c>
      <c r="E235" s="14">
        <v>63</v>
      </c>
      <c r="F235" s="14">
        <v>54</v>
      </c>
      <c r="G235" s="14">
        <v>38</v>
      </c>
      <c r="H235" s="14">
        <v>116.94</v>
      </c>
      <c r="I235" s="14">
        <f>'PIVOT TABLES'!$B$26</f>
        <v>60.283999999999999</v>
      </c>
      <c r="J235" s="14">
        <f>'PIVOT TABLES'!$B$27-'PIVOT TABLES'!$B$26</f>
        <v>30.142000000000003</v>
      </c>
      <c r="K235" s="14">
        <f>'PIVOT TABLES'!$B$28-'PIVOT TABLES'!$B$27</f>
        <v>30.141999999999996</v>
      </c>
      <c r="L235" s="14">
        <f>200-SUM(Table3[[#This Row],[D - LIGHT]:[D - VIGOROUS]])</f>
        <v>79.432000000000002</v>
      </c>
      <c r="M235" s="14">
        <f>'PIVOT TABLES'!$I$26</f>
        <v>65.603999999999999</v>
      </c>
      <c r="N235" s="14">
        <f>'PIVOT TABLES'!$I$27-'PIVOT TABLES'!$I$26</f>
        <v>32.802000000000007</v>
      </c>
      <c r="O235" s="14">
        <f>'PIVOT TABLES'!$I$28-'PIVOT TABLES'!$I$27</f>
        <v>32.801999999999992</v>
      </c>
      <c r="P235" s="14">
        <f>200-SUM(Table3[[#This Row],[M - LIGHT]:[M - VIGOROUS]])</f>
        <v>68.792000000000002</v>
      </c>
      <c r="Q235" s="14">
        <f>'PIVOT TABLES'!$P$26</f>
        <v>62.64</v>
      </c>
      <c r="R235" s="14">
        <f>'PIVOT TABLES'!$P$27-'PIVOT TABLES'!$P$26</f>
        <v>31.320000000000007</v>
      </c>
      <c r="S235" s="14">
        <f>'PIVOT TABLES'!$P$28-'PIVOT TABLES'!$P$27</f>
        <v>31.319999999999993</v>
      </c>
      <c r="T235" s="14">
        <f>200-SUM(Table3[[#This Row],[W - LIGHT]:[W - VIGOROUS]])</f>
        <v>74.72</v>
      </c>
      <c r="U235" s="14">
        <f>'PIVOT TABLES'!$W$26</f>
        <v>55.895999999999994</v>
      </c>
      <c r="V235" s="14">
        <f>'PIVOT TABLES'!$W$27-'PIVOT TABLES'!$W$26</f>
        <v>27.948</v>
      </c>
      <c r="W235" s="14">
        <f>'PIVOT TABLES'!$W$28-'PIVOT TABLES'!$W$27</f>
        <v>27.947999999999993</v>
      </c>
      <c r="X235" s="14">
        <f>200-SUM(Table3[[#This Row],[S - LIGHT]:[S - VIGOROUS]])</f>
        <v>88.208000000000013</v>
      </c>
    </row>
    <row r="236" spans="1:24" x14ac:dyDescent="0.25">
      <c r="A236" s="13" t="s">
        <v>68</v>
      </c>
      <c r="B236" s="13" t="str">
        <f t="shared" si="3"/>
        <v>####</v>
      </c>
      <c r="C236" s="7">
        <v>45247.404849537037</v>
      </c>
      <c r="D236" s="14">
        <v>9149</v>
      </c>
      <c r="E236" s="14">
        <v>81</v>
      </c>
      <c r="F236" s="14">
        <v>31</v>
      </c>
      <c r="G236" s="14">
        <v>18</v>
      </c>
      <c r="H236" s="14">
        <v>95.52</v>
      </c>
      <c r="I236" s="14">
        <f>'PIVOT TABLES'!$B$26</f>
        <v>60.283999999999999</v>
      </c>
      <c r="J236" s="14">
        <f>'PIVOT TABLES'!$B$27-'PIVOT TABLES'!$B$26</f>
        <v>30.142000000000003</v>
      </c>
      <c r="K236" s="14">
        <f>'PIVOT TABLES'!$B$28-'PIVOT TABLES'!$B$27</f>
        <v>30.141999999999996</v>
      </c>
      <c r="L236" s="14">
        <f>200-SUM(Table3[[#This Row],[D - LIGHT]:[D - VIGOROUS]])</f>
        <v>79.432000000000002</v>
      </c>
      <c r="M236" s="14">
        <f>'PIVOT TABLES'!$I$26</f>
        <v>65.603999999999999</v>
      </c>
      <c r="N236" s="14">
        <f>'PIVOT TABLES'!$I$27-'PIVOT TABLES'!$I$26</f>
        <v>32.802000000000007</v>
      </c>
      <c r="O236" s="14">
        <f>'PIVOT TABLES'!$I$28-'PIVOT TABLES'!$I$27</f>
        <v>32.801999999999992</v>
      </c>
      <c r="P236" s="14">
        <f>200-SUM(Table3[[#This Row],[M - LIGHT]:[M - VIGOROUS]])</f>
        <v>68.792000000000002</v>
      </c>
      <c r="Q236" s="14">
        <f>'PIVOT TABLES'!$P$26</f>
        <v>62.64</v>
      </c>
      <c r="R236" s="14">
        <f>'PIVOT TABLES'!$P$27-'PIVOT TABLES'!$P$26</f>
        <v>31.320000000000007</v>
      </c>
      <c r="S236" s="14">
        <f>'PIVOT TABLES'!$P$28-'PIVOT TABLES'!$P$27</f>
        <v>31.319999999999993</v>
      </c>
      <c r="T236" s="14">
        <f>200-SUM(Table3[[#This Row],[W - LIGHT]:[W - VIGOROUS]])</f>
        <v>74.72</v>
      </c>
      <c r="U236" s="14">
        <f>'PIVOT TABLES'!$W$26</f>
        <v>55.895999999999994</v>
      </c>
      <c r="V236" s="14">
        <f>'PIVOT TABLES'!$W$27-'PIVOT TABLES'!$W$26</f>
        <v>27.948</v>
      </c>
      <c r="W236" s="14">
        <f>'PIVOT TABLES'!$W$28-'PIVOT TABLES'!$W$27</f>
        <v>27.947999999999993</v>
      </c>
      <c r="X236" s="14">
        <f>200-SUM(Table3[[#This Row],[S - LIGHT]:[S - VIGOROUS]])</f>
        <v>88.208000000000013</v>
      </c>
    </row>
    <row r="237" spans="1:24" x14ac:dyDescent="0.25">
      <c r="A237" s="13" t="s">
        <v>9</v>
      </c>
      <c r="B237" s="13" t="str">
        <f t="shared" si="3"/>
        <v>Striker</v>
      </c>
      <c r="C237" s="7">
        <v>45247.404849537037</v>
      </c>
      <c r="D237" s="14">
        <v>10978</v>
      </c>
      <c r="E237" s="14">
        <v>244</v>
      </c>
      <c r="F237" s="14">
        <v>52</v>
      </c>
      <c r="G237" s="14">
        <v>41</v>
      </c>
      <c r="H237" s="14">
        <v>120</v>
      </c>
      <c r="I237" s="14">
        <f>'PIVOT TABLES'!$B$26</f>
        <v>60.283999999999999</v>
      </c>
      <c r="J237" s="14">
        <f>'PIVOT TABLES'!$B$27-'PIVOT TABLES'!$B$26</f>
        <v>30.142000000000003</v>
      </c>
      <c r="K237" s="14">
        <f>'PIVOT TABLES'!$B$28-'PIVOT TABLES'!$B$27</f>
        <v>30.141999999999996</v>
      </c>
      <c r="L237" s="14">
        <f>200-SUM(Table3[[#This Row],[D - LIGHT]:[D - VIGOROUS]])</f>
        <v>79.432000000000002</v>
      </c>
      <c r="M237" s="14">
        <f>'PIVOT TABLES'!$I$26</f>
        <v>65.603999999999999</v>
      </c>
      <c r="N237" s="14">
        <f>'PIVOT TABLES'!$I$27-'PIVOT TABLES'!$I$26</f>
        <v>32.802000000000007</v>
      </c>
      <c r="O237" s="14">
        <f>'PIVOT TABLES'!$I$28-'PIVOT TABLES'!$I$27</f>
        <v>32.801999999999992</v>
      </c>
      <c r="P237" s="14">
        <f>200-SUM(Table3[[#This Row],[M - LIGHT]:[M - VIGOROUS]])</f>
        <v>68.792000000000002</v>
      </c>
      <c r="Q237" s="14">
        <f>'PIVOT TABLES'!$P$26</f>
        <v>62.64</v>
      </c>
      <c r="R237" s="14">
        <f>'PIVOT TABLES'!$P$27-'PIVOT TABLES'!$P$26</f>
        <v>31.320000000000007</v>
      </c>
      <c r="S237" s="14">
        <f>'PIVOT TABLES'!$P$28-'PIVOT TABLES'!$P$27</f>
        <v>31.319999999999993</v>
      </c>
      <c r="T237" s="14">
        <f>200-SUM(Table3[[#This Row],[W - LIGHT]:[W - VIGOROUS]])</f>
        <v>74.72</v>
      </c>
      <c r="U237" s="14">
        <f>'PIVOT TABLES'!$W$26</f>
        <v>55.895999999999994</v>
      </c>
      <c r="V237" s="14">
        <f>'PIVOT TABLES'!$W$27-'PIVOT TABLES'!$W$26</f>
        <v>27.948</v>
      </c>
      <c r="W237" s="14">
        <f>'PIVOT TABLES'!$W$28-'PIVOT TABLES'!$W$27</f>
        <v>27.947999999999993</v>
      </c>
      <c r="X237" s="14">
        <f>200-SUM(Table3[[#This Row],[S - LIGHT]:[S - VIGOROUS]])</f>
        <v>88.208000000000013</v>
      </c>
    </row>
    <row r="238" spans="1:24" x14ac:dyDescent="0.25">
      <c r="A238" s="13" t="s">
        <v>69</v>
      </c>
      <c r="B238" s="13" t="str">
        <f t="shared" si="3"/>
        <v>Midfielder</v>
      </c>
      <c r="C238" s="7">
        <v>45247.404849537037</v>
      </c>
      <c r="D238" s="14">
        <v>5888</v>
      </c>
      <c r="E238" s="14">
        <v>136</v>
      </c>
      <c r="F238" s="14">
        <v>18</v>
      </c>
      <c r="G238" s="14">
        <v>14</v>
      </c>
      <c r="H238" s="14">
        <v>63.96</v>
      </c>
      <c r="I238" s="14">
        <f>'PIVOT TABLES'!$B$26</f>
        <v>60.283999999999999</v>
      </c>
      <c r="J238" s="14">
        <f>'PIVOT TABLES'!$B$27-'PIVOT TABLES'!$B$26</f>
        <v>30.142000000000003</v>
      </c>
      <c r="K238" s="14">
        <f>'PIVOT TABLES'!$B$28-'PIVOT TABLES'!$B$27</f>
        <v>30.141999999999996</v>
      </c>
      <c r="L238" s="14">
        <f>200-SUM(Table3[[#This Row],[D - LIGHT]:[D - VIGOROUS]])</f>
        <v>79.432000000000002</v>
      </c>
      <c r="M238" s="14">
        <f>'PIVOT TABLES'!$I$26</f>
        <v>65.603999999999999</v>
      </c>
      <c r="N238" s="14">
        <f>'PIVOT TABLES'!$I$27-'PIVOT TABLES'!$I$26</f>
        <v>32.802000000000007</v>
      </c>
      <c r="O238" s="14">
        <f>'PIVOT TABLES'!$I$28-'PIVOT TABLES'!$I$27</f>
        <v>32.801999999999992</v>
      </c>
      <c r="P238" s="14">
        <f>200-SUM(Table3[[#This Row],[M - LIGHT]:[M - VIGOROUS]])</f>
        <v>68.792000000000002</v>
      </c>
      <c r="Q238" s="14">
        <f>'PIVOT TABLES'!$P$26</f>
        <v>62.64</v>
      </c>
      <c r="R238" s="14">
        <f>'PIVOT TABLES'!$P$27-'PIVOT TABLES'!$P$26</f>
        <v>31.320000000000007</v>
      </c>
      <c r="S238" s="14">
        <f>'PIVOT TABLES'!$P$28-'PIVOT TABLES'!$P$27</f>
        <v>31.319999999999993</v>
      </c>
      <c r="T238" s="14">
        <f>200-SUM(Table3[[#This Row],[W - LIGHT]:[W - VIGOROUS]])</f>
        <v>74.72</v>
      </c>
      <c r="U238" s="14">
        <f>'PIVOT TABLES'!$W$26</f>
        <v>55.895999999999994</v>
      </c>
      <c r="V238" s="14">
        <f>'PIVOT TABLES'!$W$27-'PIVOT TABLES'!$W$26</f>
        <v>27.948</v>
      </c>
      <c r="W238" s="14">
        <f>'PIVOT TABLES'!$W$28-'PIVOT TABLES'!$W$27</f>
        <v>27.947999999999993</v>
      </c>
      <c r="X238" s="14">
        <f>200-SUM(Table3[[#This Row],[S - LIGHT]:[S - VIGOROUS]])</f>
        <v>88.208000000000013</v>
      </c>
    </row>
    <row r="239" spans="1:24" x14ac:dyDescent="0.25">
      <c r="A239" s="17" t="s">
        <v>70</v>
      </c>
      <c r="B239" s="13" t="str">
        <f t="shared" si="3"/>
        <v>Winger</v>
      </c>
      <c r="C239" s="7">
        <v>45299</v>
      </c>
      <c r="D239" s="14">
        <v>6949</v>
      </c>
      <c r="E239" s="14">
        <v>61</v>
      </c>
      <c r="F239" s="14">
        <v>18</v>
      </c>
      <c r="G239" s="14">
        <v>20</v>
      </c>
      <c r="H239" s="14">
        <v>72.44</v>
      </c>
      <c r="I239" s="14">
        <f>'PIVOT TABLES'!$B$26</f>
        <v>60.283999999999999</v>
      </c>
      <c r="J239" s="14">
        <f>'PIVOT TABLES'!$B$27-'PIVOT TABLES'!$B$26</f>
        <v>30.142000000000003</v>
      </c>
      <c r="K239" s="14">
        <f>'PIVOT TABLES'!$B$28-'PIVOT TABLES'!$B$27</f>
        <v>30.141999999999996</v>
      </c>
      <c r="L239" s="14">
        <f>200-SUM(Table3[[#This Row],[D - LIGHT]:[D - VIGOROUS]])</f>
        <v>79.432000000000002</v>
      </c>
      <c r="M239" s="14">
        <f>'PIVOT TABLES'!$I$26</f>
        <v>65.603999999999999</v>
      </c>
      <c r="N239" s="14">
        <f>'PIVOT TABLES'!$I$27-'PIVOT TABLES'!$I$26</f>
        <v>32.802000000000007</v>
      </c>
      <c r="O239" s="14">
        <f>'PIVOT TABLES'!$I$28-'PIVOT TABLES'!$I$27</f>
        <v>32.801999999999992</v>
      </c>
      <c r="P239" s="14">
        <f>200-SUM(Table3[[#This Row],[M - LIGHT]:[M - VIGOROUS]])</f>
        <v>68.792000000000002</v>
      </c>
      <c r="Q239" s="14">
        <f>'PIVOT TABLES'!$P$26</f>
        <v>62.64</v>
      </c>
      <c r="R239" s="14">
        <f>'PIVOT TABLES'!$P$27-'PIVOT TABLES'!$P$26</f>
        <v>31.320000000000007</v>
      </c>
      <c r="S239" s="14">
        <f>'PIVOT TABLES'!$P$28-'PIVOT TABLES'!$P$27</f>
        <v>31.319999999999993</v>
      </c>
      <c r="T239" s="14">
        <f>200-SUM(Table3[[#This Row],[W - LIGHT]:[W - VIGOROUS]])</f>
        <v>74.72</v>
      </c>
      <c r="U239" s="14">
        <f>'PIVOT TABLES'!$W$26</f>
        <v>55.895999999999994</v>
      </c>
      <c r="V239" s="14">
        <f>'PIVOT TABLES'!$W$27-'PIVOT TABLES'!$W$26</f>
        <v>27.948</v>
      </c>
      <c r="W239" s="14">
        <f>'PIVOT TABLES'!$W$28-'PIVOT TABLES'!$W$27</f>
        <v>27.947999999999993</v>
      </c>
      <c r="X239" s="14">
        <f>200-SUM(Table3[[#This Row],[S - LIGHT]:[S - VIGOROUS]])</f>
        <v>88.208000000000013</v>
      </c>
    </row>
    <row r="240" spans="1:24" x14ac:dyDescent="0.25">
      <c r="A240" s="17" t="s">
        <v>53</v>
      </c>
      <c r="B240" s="13" t="str">
        <f t="shared" si="3"/>
        <v>Midfielder</v>
      </c>
      <c r="C240" s="7">
        <v>45299</v>
      </c>
      <c r="D240" s="14">
        <v>7953</v>
      </c>
      <c r="E240" s="14">
        <v>49</v>
      </c>
      <c r="F240" s="14">
        <v>16</v>
      </c>
      <c r="G240" s="14">
        <v>26</v>
      </c>
      <c r="H240" s="14">
        <v>82.16</v>
      </c>
      <c r="I240" s="14">
        <f>'PIVOT TABLES'!$B$26</f>
        <v>60.283999999999999</v>
      </c>
      <c r="J240" s="14">
        <f>'PIVOT TABLES'!$B$27-'PIVOT TABLES'!$B$26</f>
        <v>30.142000000000003</v>
      </c>
      <c r="K240" s="14">
        <f>'PIVOT TABLES'!$B$28-'PIVOT TABLES'!$B$27</f>
        <v>30.141999999999996</v>
      </c>
      <c r="L240" s="14">
        <f>200-SUM(Table3[[#This Row],[D - LIGHT]:[D - VIGOROUS]])</f>
        <v>79.432000000000002</v>
      </c>
      <c r="M240" s="14">
        <f>'PIVOT TABLES'!$I$26</f>
        <v>65.603999999999999</v>
      </c>
      <c r="N240" s="14">
        <f>'PIVOT TABLES'!$I$27-'PIVOT TABLES'!$I$26</f>
        <v>32.802000000000007</v>
      </c>
      <c r="O240" s="14">
        <f>'PIVOT TABLES'!$I$28-'PIVOT TABLES'!$I$27</f>
        <v>32.801999999999992</v>
      </c>
      <c r="P240" s="14">
        <f>200-SUM(Table3[[#This Row],[M - LIGHT]:[M - VIGOROUS]])</f>
        <v>68.792000000000002</v>
      </c>
      <c r="Q240" s="14">
        <f>'PIVOT TABLES'!$P$26</f>
        <v>62.64</v>
      </c>
      <c r="R240" s="14">
        <f>'PIVOT TABLES'!$P$27-'PIVOT TABLES'!$P$26</f>
        <v>31.320000000000007</v>
      </c>
      <c r="S240" s="14">
        <f>'PIVOT TABLES'!$P$28-'PIVOT TABLES'!$P$27</f>
        <v>31.319999999999993</v>
      </c>
      <c r="T240" s="14">
        <f>200-SUM(Table3[[#This Row],[W - LIGHT]:[W - VIGOROUS]])</f>
        <v>74.72</v>
      </c>
      <c r="U240" s="14">
        <f>'PIVOT TABLES'!$W$26</f>
        <v>55.895999999999994</v>
      </c>
      <c r="V240" s="14">
        <f>'PIVOT TABLES'!$W$27-'PIVOT TABLES'!$W$26</f>
        <v>27.948</v>
      </c>
      <c r="W240" s="14">
        <f>'PIVOT TABLES'!$W$28-'PIVOT TABLES'!$W$27</f>
        <v>27.947999999999993</v>
      </c>
      <c r="X240" s="14">
        <f>200-SUM(Table3[[#This Row],[S - LIGHT]:[S - VIGOROUS]])</f>
        <v>88.208000000000013</v>
      </c>
    </row>
    <row r="241" spans="1:24" x14ac:dyDescent="0.25">
      <c r="A241" s="17" t="s">
        <v>54</v>
      </c>
      <c r="B241" s="13" t="str">
        <f t="shared" si="3"/>
        <v>Striker</v>
      </c>
      <c r="C241" s="7">
        <v>45299</v>
      </c>
      <c r="D241" s="14">
        <v>8539</v>
      </c>
      <c r="E241" s="14">
        <v>18</v>
      </c>
      <c r="F241" s="14">
        <v>19</v>
      </c>
      <c r="G241" s="14">
        <v>15</v>
      </c>
      <c r="H241" s="14">
        <v>86.99</v>
      </c>
      <c r="I241" s="14">
        <f>'PIVOT TABLES'!$B$26</f>
        <v>60.283999999999999</v>
      </c>
      <c r="J241" s="14">
        <f>'PIVOT TABLES'!$B$27-'PIVOT TABLES'!$B$26</f>
        <v>30.142000000000003</v>
      </c>
      <c r="K241" s="14">
        <f>'PIVOT TABLES'!$B$28-'PIVOT TABLES'!$B$27</f>
        <v>30.141999999999996</v>
      </c>
      <c r="L241" s="14">
        <f>200-SUM(Table3[[#This Row],[D - LIGHT]:[D - VIGOROUS]])</f>
        <v>79.432000000000002</v>
      </c>
      <c r="M241" s="14">
        <f>'PIVOT TABLES'!$I$26</f>
        <v>65.603999999999999</v>
      </c>
      <c r="N241" s="14">
        <f>'PIVOT TABLES'!$I$27-'PIVOT TABLES'!$I$26</f>
        <v>32.802000000000007</v>
      </c>
      <c r="O241" s="14">
        <f>'PIVOT TABLES'!$I$28-'PIVOT TABLES'!$I$27</f>
        <v>32.801999999999992</v>
      </c>
      <c r="P241" s="14">
        <f>200-SUM(Table3[[#This Row],[M - LIGHT]:[M - VIGOROUS]])</f>
        <v>68.792000000000002</v>
      </c>
      <c r="Q241" s="14">
        <f>'PIVOT TABLES'!$P$26</f>
        <v>62.64</v>
      </c>
      <c r="R241" s="14">
        <f>'PIVOT TABLES'!$P$27-'PIVOT TABLES'!$P$26</f>
        <v>31.320000000000007</v>
      </c>
      <c r="S241" s="14">
        <f>'PIVOT TABLES'!$P$28-'PIVOT TABLES'!$P$27</f>
        <v>31.319999999999993</v>
      </c>
      <c r="T241" s="14">
        <f>200-SUM(Table3[[#This Row],[W - LIGHT]:[W - VIGOROUS]])</f>
        <v>74.72</v>
      </c>
      <c r="U241" s="14">
        <f>'PIVOT TABLES'!$W$26</f>
        <v>55.895999999999994</v>
      </c>
      <c r="V241" s="14">
        <f>'PIVOT TABLES'!$W$27-'PIVOT TABLES'!$W$26</f>
        <v>27.948</v>
      </c>
      <c r="W241" s="14">
        <f>'PIVOT TABLES'!$W$28-'PIVOT TABLES'!$W$27</f>
        <v>27.947999999999993</v>
      </c>
      <c r="X241" s="14">
        <f>200-SUM(Table3[[#This Row],[S - LIGHT]:[S - VIGOROUS]])</f>
        <v>88.208000000000013</v>
      </c>
    </row>
    <row r="242" spans="1:24" x14ac:dyDescent="0.25">
      <c r="A242" s="17" t="s">
        <v>55</v>
      </c>
      <c r="B242" s="13" t="str">
        <f t="shared" si="3"/>
        <v>Striker</v>
      </c>
      <c r="C242" s="7">
        <v>45299</v>
      </c>
      <c r="D242" s="14">
        <v>7953</v>
      </c>
      <c r="E242" s="14">
        <v>11</v>
      </c>
      <c r="F242" s="14">
        <v>12</v>
      </c>
      <c r="G242" s="14">
        <v>21</v>
      </c>
      <c r="H242" s="14">
        <v>80.760000000000005</v>
      </c>
      <c r="I242" s="14">
        <f>'PIVOT TABLES'!$B$26</f>
        <v>60.283999999999999</v>
      </c>
      <c r="J242" s="14">
        <f>'PIVOT TABLES'!$B$27-'PIVOT TABLES'!$B$26</f>
        <v>30.142000000000003</v>
      </c>
      <c r="K242" s="14">
        <f>'PIVOT TABLES'!$B$28-'PIVOT TABLES'!$B$27</f>
        <v>30.141999999999996</v>
      </c>
      <c r="L242" s="14">
        <f>200-SUM(Table3[[#This Row],[D - LIGHT]:[D - VIGOROUS]])</f>
        <v>79.432000000000002</v>
      </c>
      <c r="M242" s="14">
        <f>'PIVOT TABLES'!$I$26</f>
        <v>65.603999999999999</v>
      </c>
      <c r="N242" s="14">
        <f>'PIVOT TABLES'!$I$27-'PIVOT TABLES'!$I$26</f>
        <v>32.802000000000007</v>
      </c>
      <c r="O242" s="14">
        <f>'PIVOT TABLES'!$I$28-'PIVOT TABLES'!$I$27</f>
        <v>32.801999999999992</v>
      </c>
      <c r="P242" s="14">
        <f>200-SUM(Table3[[#This Row],[M - LIGHT]:[M - VIGOROUS]])</f>
        <v>68.792000000000002</v>
      </c>
      <c r="Q242" s="14">
        <f>'PIVOT TABLES'!$P$26</f>
        <v>62.64</v>
      </c>
      <c r="R242" s="14">
        <f>'PIVOT TABLES'!$P$27-'PIVOT TABLES'!$P$26</f>
        <v>31.320000000000007</v>
      </c>
      <c r="S242" s="14">
        <f>'PIVOT TABLES'!$P$28-'PIVOT TABLES'!$P$27</f>
        <v>31.319999999999993</v>
      </c>
      <c r="T242" s="14">
        <f>200-SUM(Table3[[#This Row],[W - LIGHT]:[W - VIGOROUS]])</f>
        <v>74.72</v>
      </c>
      <c r="U242" s="14">
        <f>'PIVOT TABLES'!$W$26</f>
        <v>55.895999999999994</v>
      </c>
      <c r="V242" s="14">
        <f>'PIVOT TABLES'!$W$27-'PIVOT TABLES'!$W$26</f>
        <v>27.948</v>
      </c>
      <c r="W242" s="14">
        <f>'PIVOT TABLES'!$W$28-'PIVOT TABLES'!$W$27</f>
        <v>27.947999999999993</v>
      </c>
      <c r="X242" s="14">
        <f>200-SUM(Table3[[#This Row],[S - LIGHT]:[S - VIGOROUS]])</f>
        <v>88.208000000000013</v>
      </c>
    </row>
    <row r="243" spans="1:24" x14ac:dyDescent="0.25">
      <c r="A243" s="17" t="s">
        <v>1</v>
      </c>
      <c r="B243" s="13" t="str">
        <f t="shared" si="3"/>
        <v>Defender</v>
      </c>
      <c r="C243" s="7">
        <v>45299</v>
      </c>
      <c r="D243" s="14">
        <v>7017</v>
      </c>
      <c r="E243" s="14">
        <v>39</v>
      </c>
      <c r="F243" s="14">
        <v>28</v>
      </c>
      <c r="G243" s="14">
        <v>17</v>
      </c>
      <c r="H243" s="14">
        <v>72.8</v>
      </c>
      <c r="I243" s="14">
        <f>'PIVOT TABLES'!$B$26</f>
        <v>60.283999999999999</v>
      </c>
      <c r="J243" s="14">
        <f>'PIVOT TABLES'!$B$27-'PIVOT TABLES'!$B$26</f>
        <v>30.142000000000003</v>
      </c>
      <c r="K243" s="14">
        <f>'PIVOT TABLES'!$B$28-'PIVOT TABLES'!$B$27</f>
        <v>30.141999999999996</v>
      </c>
      <c r="L243" s="14">
        <f>200-SUM(Table3[[#This Row],[D - LIGHT]:[D - VIGOROUS]])</f>
        <v>79.432000000000002</v>
      </c>
      <c r="M243" s="14">
        <f>'PIVOT TABLES'!$I$26</f>
        <v>65.603999999999999</v>
      </c>
      <c r="N243" s="14">
        <f>'PIVOT TABLES'!$I$27-'PIVOT TABLES'!$I$26</f>
        <v>32.802000000000007</v>
      </c>
      <c r="O243" s="14">
        <f>'PIVOT TABLES'!$I$28-'PIVOT TABLES'!$I$27</f>
        <v>32.801999999999992</v>
      </c>
      <c r="P243" s="14">
        <f>200-SUM(Table3[[#This Row],[M - LIGHT]:[M - VIGOROUS]])</f>
        <v>68.792000000000002</v>
      </c>
      <c r="Q243" s="14">
        <f>'PIVOT TABLES'!$P$26</f>
        <v>62.64</v>
      </c>
      <c r="R243" s="14">
        <f>'PIVOT TABLES'!$P$27-'PIVOT TABLES'!$P$26</f>
        <v>31.320000000000007</v>
      </c>
      <c r="S243" s="14">
        <f>'PIVOT TABLES'!$P$28-'PIVOT TABLES'!$P$27</f>
        <v>31.319999999999993</v>
      </c>
      <c r="T243" s="14">
        <f>200-SUM(Table3[[#This Row],[W - LIGHT]:[W - VIGOROUS]])</f>
        <v>74.72</v>
      </c>
      <c r="U243" s="14">
        <f>'PIVOT TABLES'!$W$26</f>
        <v>55.895999999999994</v>
      </c>
      <c r="V243" s="14">
        <f>'PIVOT TABLES'!$W$27-'PIVOT TABLES'!$W$26</f>
        <v>27.948</v>
      </c>
      <c r="W243" s="14">
        <f>'PIVOT TABLES'!$W$28-'PIVOT TABLES'!$W$27</f>
        <v>27.947999999999993</v>
      </c>
      <c r="X243" s="14">
        <f>200-SUM(Table3[[#This Row],[S - LIGHT]:[S - VIGOROUS]])</f>
        <v>88.208000000000013</v>
      </c>
    </row>
    <row r="244" spans="1:24" x14ac:dyDescent="0.25">
      <c r="A244" s="17" t="s">
        <v>56</v>
      </c>
      <c r="B244" s="13" t="str">
        <f t="shared" si="3"/>
        <v>Midfielder</v>
      </c>
      <c r="C244" s="7">
        <v>45299</v>
      </c>
      <c r="D244" s="14">
        <v>8149</v>
      </c>
      <c r="E244" s="14">
        <v>31</v>
      </c>
      <c r="F244" s="14">
        <v>17</v>
      </c>
      <c r="G244" s="14">
        <v>3</v>
      </c>
      <c r="H244" s="14">
        <v>83.16</v>
      </c>
      <c r="I244" s="14">
        <f>'PIVOT TABLES'!$B$26</f>
        <v>60.283999999999999</v>
      </c>
      <c r="J244" s="14">
        <f>'PIVOT TABLES'!$B$27-'PIVOT TABLES'!$B$26</f>
        <v>30.142000000000003</v>
      </c>
      <c r="K244" s="14">
        <f>'PIVOT TABLES'!$B$28-'PIVOT TABLES'!$B$27</f>
        <v>30.141999999999996</v>
      </c>
      <c r="L244" s="14">
        <f>200-SUM(Table3[[#This Row],[D - LIGHT]:[D - VIGOROUS]])</f>
        <v>79.432000000000002</v>
      </c>
      <c r="M244" s="14">
        <f>'PIVOT TABLES'!$I$26</f>
        <v>65.603999999999999</v>
      </c>
      <c r="N244" s="14">
        <f>'PIVOT TABLES'!$I$27-'PIVOT TABLES'!$I$26</f>
        <v>32.802000000000007</v>
      </c>
      <c r="O244" s="14">
        <f>'PIVOT TABLES'!$I$28-'PIVOT TABLES'!$I$27</f>
        <v>32.801999999999992</v>
      </c>
      <c r="P244" s="14">
        <f>200-SUM(Table3[[#This Row],[M - LIGHT]:[M - VIGOROUS]])</f>
        <v>68.792000000000002</v>
      </c>
      <c r="Q244" s="14">
        <f>'PIVOT TABLES'!$P$26</f>
        <v>62.64</v>
      </c>
      <c r="R244" s="14">
        <f>'PIVOT TABLES'!$P$27-'PIVOT TABLES'!$P$26</f>
        <v>31.320000000000007</v>
      </c>
      <c r="S244" s="14">
        <f>'PIVOT TABLES'!$P$28-'PIVOT TABLES'!$P$27</f>
        <v>31.319999999999993</v>
      </c>
      <c r="T244" s="14">
        <f>200-SUM(Table3[[#This Row],[W - LIGHT]:[W - VIGOROUS]])</f>
        <v>74.72</v>
      </c>
      <c r="U244" s="14">
        <f>'PIVOT TABLES'!$W$26</f>
        <v>55.895999999999994</v>
      </c>
      <c r="V244" s="14">
        <f>'PIVOT TABLES'!$W$27-'PIVOT TABLES'!$W$26</f>
        <v>27.948</v>
      </c>
      <c r="W244" s="14">
        <f>'PIVOT TABLES'!$W$28-'PIVOT TABLES'!$W$27</f>
        <v>27.947999999999993</v>
      </c>
      <c r="X244" s="14">
        <f>200-SUM(Table3[[#This Row],[S - LIGHT]:[S - VIGOROUS]])</f>
        <v>88.208000000000013</v>
      </c>
    </row>
    <row r="245" spans="1:24" x14ac:dyDescent="0.25">
      <c r="A245" s="17" t="s">
        <v>2</v>
      </c>
      <c r="B245" s="13" t="str">
        <f t="shared" si="3"/>
        <v>Defender</v>
      </c>
      <c r="C245" s="7">
        <v>45299</v>
      </c>
      <c r="D245" s="14">
        <v>7449</v>
      </c>
      <c r="E245" s="14">
        <v>121</v>
      </c>
      <c r="F245" s="14">
        <v>35</v>
      </c>
      <c r="G245" s="14">
        <v>21</v>
      </c>
      <c r="H245" s="14">
        <v>79.94</v>
      </c>
      <c r="I245" s="14">
        <f>'PIVOT TABLES'!$B$26</f>
        <v>60.283999999999999</v>
      </c>
      <c r="J245" s="14">
        <f>'PIVOT TABLES'!$B$27-'PIVOT TABLES'!$B$26</f>
        <v>30.142000000000003</v>
      </c>
      <c r="K245" s="14">
        <f>'PIVOT TABLES'!$B$28-'PIVOT TABLES'!$B$27</f>
        <v>30.141999999999996</v>
      </c>
      <c r="L245" s="14">
        <f>200-SUM(Table3[[#This Row],[D - LIGHT]:[D - VIGOROUS]])</f>
        <v>79.432000000000002</v>
      </c>
      <c r="M245" s="14">
        <f>'PIVOT TABLES'!$I$26</f>
        <v>65.603999999999999</v>
      </c>
      <c r="N245" s="14">
        <f>'PIVOT TABLES'!$I$27-'PIVOT TABLES'!$I$26</f>
        <v>32.802000000000007</v>
      </c>
      <c r="O245" s="14">
        <f>'PIVOT TABLES'!$I$28-'PIVOT TABLES'!$I$27</f>
        <v>32.801999999999992</v>
      </c>
      <c r="P245" s="14">
        <f>200-SUM(Table3[[#This Row],[M - LIGHT]:[M - VIGOROUS]])</f>
        <v>68.792000000000002</v>
      </c>
      <c r="Q245" s="14">
        <f>'PIVOT TABLES'!$P$26</f>
        <v>62.64</v>
      </c>
      <c r="R245" s="14">
        <f>'PIVOT TABLES'!$P$27-'PIVOT TABLES'!$P$26</f>
        <v>31.320000000000007</v>
      </c>
      <c r="S245" s="14">
        <f>'PIVOT TABLES'!$P$28-'PIVOT TABLES'!$P$27</f>
        <v>31.319999999999993</v>
      </c>
      <c r="T245" s="14">
        <f>200-SUM(Table3[[#This Row],[W - LIGHT]:[W - VIGOROUS]])</f>
        <v>74.72</v>
      </c>
      <c r="U245" s="14">
        <f>'PIVOT TABLES'!$W$26</f>
        <v>55.895999999999994</v>
      </c>
      <c r="V245" s="14">
        <f>'PIVOT TABLES'!$W$27-'PIVOT TABLES'!$W$26</f>
        <v>27.948</v>
      </c>
      <c r="W245" s="14">
        <f>'PIVOT TABLES'!$W$28-'PIVOT TABLES'!$W$27</f>
        <v>27.947999999999993</v>
      </c>
      <c r="X245" s="14">
        <f>200-SUM(Table3[[#This Row],[S - LIGHT]:[S - VIGOROUS]])</f>
        <v>88.208000000000013</v>
      </c>
    </row>
    <row r="246" spans="1:24" x14ac:dyDescent="0.25">
      <c r="A246" s="17" t="s">
        <v>58</v>
      </c>
      <c r="B246" s="13" t="str">
        <f t="shared" si="3"/>
        <v>Defender</v>
      </c>
      <c r="C246" s="7">
        <v>45299</v>
      </c>
      <c r="D246" s="14">
        <v>7512</v>
      </c>
      <c r="E246" s="14">
        <v>29</v>
      </c>
      <c r="F246" s="14">
        <v>16</v>
      </c>
      <c r="G246" s="14">
        <v>7</v>
      </c>
      <c r="H246" s="14">
        <v>76.77</v>
      </c>
      <c r="I246" s="14">
        <f>'PIVOT TABLES'!$B$26</f>
        <v>60.283999999999999</v>
      </c>
      <c r="J246" s="14">
        <f>'PIVOT TABLES'!$B$27-'PIVOT TABLES'!$B$26</f>
        <v>30.142000000000003</v>
      </c>
      <c r="K246" s="14">
        <f>'PIVOT TABLES'!$B$28-'PIVOT TABLES'!$B$27</f>
        <v>30.141999999999996</v>
      </c>
      <c r="L246" s="14">
        <f>200-SUM(Table3[[#This Row],[D - LIGHT]:[D - VIGOROUS]])</f>
        <v>79.432000000000002</v>
      </c>
      <c r="M246" s="14">
        <f>'PIVOT TABLES'!$I$26</f>
        <v>65.603999999999999</v>
      </c>
      <c r="N246" s="14">
        <f>'PIVOT TABLES'!$I$27-'PIVOT TABLES'!$I$26</f>
        <v>32.802000000000007</v>
      </c>
      <c r="O246" s="14">
        <f>'PIVOT TABLES'!$I$28-'PIVOT TABLES'!$I$27</f>
        <v>32.801999999999992</v>
      </c>
      <c r="P246" s="14">
        <f>200-SUM(Table3[[#This Row],[M - LIGHT]:[M - VIGOROUS]])</f>
        <v>68.792000000000002</v>
      </c>
      <c r="Q246" s="14">
        <f>'PIVOT TABLES'!$P$26</f>
        <v>62.64</v>
      </c>
      <c r="R246" s="14">
        <f>'PIVOT TABLES'!$P$27-'PIVOT TABLES'!$P$26</f>
        <v>31.320000000000007</v>
      </c>
      <c r="S246" s="14">
        <f>'PIVOT TABLES'!$P$28-'PIVOT TABLES'!$P$27</f>
        <v>31.319999999999993</v>
      </c>
      <c r="T246" s="14">
        <f>200-SUM(Table3[[#This Row],[W - LIGHT]:[W - VIGOROUS]])</f>
        <v>74.72</v>
      </c>
      <c r="U246" s="14">
        <f>'PIVOT TABLES'!$W$26</f>
        <v>55.895999999999994</v>
      </c>
      <c r="V246" s="14">
        <f>'PIVOT TABLES'!$W$27-'PIVOT TABLES'!$W$26</f>
        <v>27.948</v>
      </c>
      <c r="W246" s="14">
        <f>'PIVOT TABLES'!$W$28-'PIVOT TABLES'!$W$27</f>
        <v>27.947999999999993</v>
      </c>
      <c r="X246" s="14">
        <f>200-SUM(Table3[[#This Row],[S - LIGHT]:[S - VIGOROUS]])</f>
        <v>88.208000000000013</v>
      </c>
    </row>
    <row r="247" spans="1:24" x14ac:dyDescent="0.25">
      <c r="A247" s="17" t="s">
        <v>3</v>
      </c>
      <c r="B247" s="13" t="str">
        <f t="shared" si="3"/>
        <v>Defender</v>
      </c>
      <c r="C247" s="7">
        <v>45299</v>
      </c>
      <c r="D247" s="14">
        <v>7992</v>
      </c>
      <c r="E247" s="14">
        <v>16</v>
      </c>
      <c r="F247" s="14">
        <v>16</v>
      </c>
      <c r="G247" s="14">
        <v>30</v>
      </c>
      <c r="H247" s="14">
        <v>81.64</v>
      </c>
      <c r="I247" s="14">
        <f>'PIVOT TABLES'!$B$26</f>
        <v>60.283999999999999</v>
      </c>
      <c r="J247" s="14">
        <f>'PIVOT TABLES'!$B$27-'PIVOT TABLES'!$B$26</f>
        <v>30.142000000000003</v>
      </c>
      <c r="K247" s="14">
        <f>'PIVOT TABLES'!$B$28-'PIVOT TABLES'!$B$27</f>
        <v>30.141999999999996</v>
      </c>
      <c r="L247" s="14">
        <f>200-SUM(Table3[[#This Row],[D - LIGHT]:[D - VIGOROUS]])</f>
        <v>79.432000000000002</v>
      </c>
      <c r="M247" s="14">
        <f>'PIVOT TABLES'!$I$26</f>
        <v>65.603999999999999</v>
      </c>
      <c r="N247" s="14">
        <f>'PIVOT TABLES'!$I$27-'PIVOT TABLES'!$I$26</f>
        <v>32.802000000000007</v>
      </c>
      <c r="O247" s="14">
        <f>'PIVOT TABLES'!$I$28-'PIVOT TABLES'!$I$27</f>
        <v>32.801999999999992</v>
      </c>
      <c r="P247" s="14">
        <f>200-SUM(Table3[[#This Row],[M - LIGHT]:[M - VIGOROUS]])</f>
        <v>68.792000000000002</v>
      </c>
      <c r="Q247" s="14">
        <f>'PIVOT TABLES'!$P$26</f>
        <v>62.64</v>
      </c>
      <c r="R247" s="14">
        <f>'PIVOT TABLES'!$P$27-'PIVOT TABLES'!$P$26</f>
        <v>31.320000000000007</v>
      </c>
      <c r="S247" s="14">
        <f>'PIVOT TABLES'!$P$28-'PIVOT TABLES'!$P$27</f>
        <v>31.319999999999993</v>
      </c>
      <c r="T247" s="14">
        <f>200-SUM(Table3[[#This Row],[W - LIGHT]:[W - VIGOROUS]])</f>
        <v>74.72</v>
      </c>
      <c r="U247" s="14">
        <f>'PIVOT TABLES'!$W$26</f>
        <v>55.895999999999994</v>
      </c>
      <c r="V247" s="14">
        <f>'PIVOT TABLES'!$W$27-'PIVOT TABLES'!$W$26</f>
        <v>27.948</v>
      </c>
      <c r="W247" s="14">
        <f>'PIVOT TABLES'!$W$28-'PIVOT TABLES'!$W$27</f>
        <v>27.947999999999993</v>
      </c>
      <c r="X247" s="14">
        <f>200-SUM(Table3[[#This Row],[S - LIGHT]:[S - VIGOROUS]])</f>
        <v>88.208000000000013</v>
      </c>
    </row>
    <row r="248" spans="1:24" x14ac:dyDescent="0.25">
      <c r="A248" s="17" t="s">
        <v>59</v>
      </c>
      <c r="B248" s="13" t="str">
        <f t="shared" si="3"/>
        <v>Striker</v>
      </c>
      <c r="C248" s="7">
        <v>45299</v>
      </c>
      <c r="D248" s="14">
        <v>7165</v>
      </c>
      <c r="E248" s="14">
        <v>6</v>
      </c>
      <c r="F248" s="14">
        <v>11</v>
      </c>
      <c r="G248" s="14">
        <v>10</v>
      </c>
      <c r="H248" s="14">
        <v>72.47</v>
      </c>
      <c r="I248" s="14">
        <f>'PIVOT TABLES'!$B$26</f>
        <v>60.283999999999999</v>
      </c>
      <c r="J248" s="14">
        <f>'PIVOT TABLES'!$B$27-'PIVOT TABLES'!$B$26</f>
        <v>30.142000000000003</v>
      </c>
      <c r="K248" s="14">
        <f>'PIVOT TABLES'!$B$28-'PIVOT TABLES'!$B$27</f>
        <v>30.141999999999996</v>
      </c>
      <c r="L248" s="14">
        <f>200-SUM(Table3[[#This Row],[D - LIGHT]:[D - VIGOROUS]])</f>
        <v>79.432000000000002</v>
      </c>
      <c r="M248" s="14">
        <f>'PIVOT TABLES'!$I$26</f>
        <v>65.603999999999999</v>
      </c>
      <c r="N248" s="14">
        <f>'PIVOT TABLES'!$I$27-'PIVOT TABLES'!$I$26</f>
        <v>32.802000000000007</v>
      </c>
      <c r="O248" s="14">
        <f>'PIVOT TABLES'!$I$28-'PIVOT TABLES'!$I$27</f>
        <v>32.801999999999992</v>
      </c>
      <c r="P248" s="14">
        <f>200-SUM(Table3[[#This Row],[M - LIGHT]:[M - VIGOROUS]])</f>
        <v>68.792000000000002</v>
      </c>
      <c r="Q248" s="14">
        <f>'PIVOT TABLES'!$P$26</f>
        <v>62.64</v>
      </c>
      <c r="R248" s="14">
        <f>'PIVOT TABLES'!$P$27-'PIVOT TABLES'!$P$26</f>
        <v>31.320000000000007</v>
      </c>
      <c r="S248" s="14">
        <f>'PIVOT TABLES'!$P$28-'PIVOT TABLES'!$P$27</f>
        <v>31.319999999999993</v>
      </c>
      <c r="T248" s="14">
        <f>200-SUM(Table3[[#This Row],[W - LIGHT]:[W - VIGOROUS]])</f>
        <v>74.72</v>
      </c>
      <c r="U248" s="14">
        <f>'PIVOT TABLES'!$W$26</f>
        <v>55.895999999999994</v>
      </c>
      <c r="V248" s="14">
        <f>'PIVOT TABLES'!$W$27-'PIVOT TABLES'!$W$26</f>
        <v>27.948</v>
      </c>
      <c r="W248" s="14">
        <f>'PIVOT TABLES'!$W$28-'PIVOT TABLES'!$W$27</f>
        <v>27.947999999999993</v>
      </c>
      <c r="X248" s="14">
        <f>200-SUM(Table3[[#This Row],[S - LIGHT]:[S - VIGOROUS]])</f>
        <v>88.208000000000013</v>
      </c>
    </row>
    <row r="249" spans="1:24" x14ac:dyDescent="0.25">
      <c r="A249" s="17" t="s">
        <v>4</v>
      </c>
      <c r="B249" s="13" t="str">
        <f t="shared" si="3"/>
        <v>Midfielder</v>
      </c>
      <c r="C249" s="7">
        <v>45299</v>
      </c>
      <c r="D249" s="14">
        <v>7560</v>
      </c>
      <c r="E249" s="14">
        <v>25</v>
      </c>
      <c r="F249" s="14">
        <v>17</v>
      </c>
      <c r="G249" s="14">
        <v>17</v>
      </c>
      <c r="H249" s="14">
        <v>77.37</v>
      </c>
      <c r="I249" s="14">
        <f>'PIVOT TABLES'!$B$26</f>
        <v>60.283999999999999</v>
      </c>
      <c r="J249" s="14">
        <f>'PIVOT TABLES'!$B$27-'PIVOT TABLES'!$B$26</f>
        <v>30.142000000000003</v>
      </c>
      <c r="K249" s="14">
        <f>'PIVOT TABLES'!$B$28-'PIVOT TABLES'!$B$27</f>
        <v>30.141999999999996</v>
      </c>
      <c r="L249" s="14">
        <f>200-SUM(Table3[[#This Row],[D - LIGHT]:[D - VIGOROUS]])</f>
        <v>79.432000000000002</v>
      </c>
      <c r="M249" s="14">
        <f>'PIVOT TABLES'!$I$26</f>
        <v>65.603999999999999</v>
      </c>
      <c r="N249" s="14">
        <f>'PIVOT TABLES'!$I$27-'PIVOT TABLES'!$I$26</f>
        <v>32.802000000000007</v>
      </c>
      <c r="O249" s="14">
        <f>'PIVOT TABLES'!$I$28-'PIVOT TABLES'!$I$27</f>
        <v>32.801999999999992</v>
      </c>
      <c r="P249" s="14">
        <f>200-SUM(Table3[[#This Row],[M - LIGHT]:[M - VIGOROUS]])</f>
        <v>68.792000000000002</v>
      </c>
      <c r="Q249" s="14">
        <f>'PIVOT TABLES'!$P$26</f>
        <v>62.64</v>
      </c>
      <c r="R249" s="14">
        <f>'PIVOT TABLES'!$P$27-'PIVOT TABLES'!$P$26</f>
        <v>31.320000000000007</v>
      </c>
      <c r="S249" s="14">
        <f>'PIVOT TABLES'!$P$28-'PIVOT TABLES'!$P$27</f>
        <v>31.319999999999993</v>
      </c>
      <c r="T249" s="14">
        <f>200-SUM(Table3[[#This Row],[W - LIGHT]:[W - VIGOROUS]])</f>
        <v>74.72</v>
      </c>
      <c r="U249" s="14">
        <f>'PIVOT TABLES'!$W$26</f>
        <v>55.895999999999994</v>
      </c>
      <c r="V249" s="14">
        <f>'PIVOT TABLES'!$W$27-'PIVOT TABLES'!$W$26</f>
        <v>27.948</v>
      </c>
      <c r="W249" s="14">
        <f>'PIVOT TABLES'!$W$28-'PIVOT TABLES'!$W$27</f>
        <v>27.947999999999993</v>
      </c>
      <c r="X249" s="14">
        <f>200-SUM(Table3[[#This Row],[S - LIGHT]:[S - VIGOROUS]])</f>
        <v>88.208000000000013</v>
      </c>
    </row>
    <row r="250" spans="1:24" x14ac:dyDescent="0.25">
      <c r="A250" s="17" t="s">
        <v>60</v>
      </c>
      <c r="B250" s="13" t="str">
        <f t="shared" si="3"/>
        <v>Winger</v>
      </c>
      <c r="C250" s="7">
        <v>45299</v>
      </c>
      <c r="D250" s="14">
        <v>5932</v>
      </c>
      <c r="E250" s="14">
        <v>200</v>
      </c>
      <c r="F250" s="14">
        <v>19</v>
      </c>
      <c r="G250" s="14">
        <v>9</v>
      </c>
      <c r="H250" s="14">
        <v>66.260000000000005</v>
      </c>
      <c r="I250" s="14">
        <f>'PIVOT TABLES'!$B$26</f>
        <v>60.283999999999999</v>
      </c>
      <c r="J250" s="14">
        <f>'PIVOT TABLES'!$B$27-'PIVOT TABLES'!$B$26</f>
        <v>30.142000000000003</v>
      </c>
      <c r="K250" s="14">
        <f>'PIVOT TABLES'!$B$28-'PIVOT TABLES'!$B$27</f>
        <v>30.141999999999996</v>
      </c>
      <c r="L250" s="14">
        <f>200-SUM(Table3[[#This Row],[D - LIGHT]:[D - VIGOROUS]])</f>
        <v>79.432000000000002</v>
      </c>
      <c r="M250" s="14">
        <f>'PIVOT TABLES'!$I$26</f>
        <v>65.603999999999999</v>
      </c>
      <c r="N250" s="14">
        <f>'PIVOT TABLES'!$I$27-'PIVOT TABLES'!$I$26</f>
        <v>32.802000000000007</v>
      </c>
      <c r="O250" s="14">
        <f>'PIVOT TABLES'!$I$28-'PIVOT TABLES'!$I$27</f>
        <v>32.801999999999992</v>
      </c>
      <c r="P250" s="14">
        <f>200-SUM(Table3[[#This Row],[M - LIGHT]:[M - VIGOROUS]])</f>
        <v>68.792000000000002</v>
      </c>
      <c r="Q250" s="14">
        <f>'PIVOT TABLES'!$P$26</f>
        <v>62.64</v>
      </c>
      <c r="R250" s="14">
        <f>'PIVOT TABLES'!$P$27-'PIVOT TABLES'!$P$26</f>
        <v>31.320000000000007</v>
      </c>
      <c r="S250" s="14">
        <f>'PIVOT TABLES'!$P$28-'PIVOT TABLES'!$P$27</f>
        <v>31.319999999999993</v>
      </c>
      <c r="T250" s="14">
        <f>200-SUM(Table3[[#This Row],[W - LIGHT]:[W - VIGOROUS]])</f>
        <v>74.72</v>
      </c>
      <c r="U250" s="14">
        <f>'PIVOT TABLES'!$W$26</f>
        <v>55.895999999999994</v>
      </c>
      <c r="V250" s="14">
        <f>'PIVOT TABLES'!$W$27-'PIVOT TABLES'!$W$26</f>
        <v>27.948</v>
      </c>
      <c r="W250" s="14">
        <f>'PIVOT TABLES'!$W$28-'PIVOT TABLES'!$W$27</f>
        <v>27.947999999999993</v>
      </c>
      <c r="X250" s="14">
        <f>200-SUM(Table3[[#This Row],[S - LIGHT]:[S - VIGOROUS]])</f>
        <v>88.208000000000013</v>
      </c>
    </row>
    <row r="251" spans="1:24" x14ac:dyDescent="0.25">
      <c r="A251" s="17" t="s">
        <v>71</v>
      </c>
      <c r="B251" s="13" t="str">
        <f t="shared" si="3"/>
        <v>Midfielder</v>
      </c>
      <c r="C251" s="7">
        <v>45299</v>
      </c>
      <c r="D251" s="14">
        <v>8347</v>
      </c>
      <c r="E251" s="14">
        <v>33</v>
      </c>
      <c r="F251" s="14">
        <v>38</v>
      </c>
      <c r="G251" s="14">
        <v>14</v>
      </c>
      <c r="H251" s="14">
        <v>86.26</v>
      </c>
      <c r="I251" s="14">
        <f>'PIVOT TABLES'!$B$26</f>
        <v>60.283999999999999</v>
      </c>
      <c r="J251" s="14">
        <f>'PIVOT TABLES'!$B$27-'PIVOT TABLES'!$B$26</f>
        <v>30.142000000000003</v>
      </c>
      <c r="K251" s="14">
        <f>'PIVOT TABLES'!$B$28-'PIVOT TABLES'!$B$27</f>
        <v>30.141999999999996</v>
      </c>
      <c r="L251" s="14">
        <f>200-SUM(Table3[[#This Row],[D - LIGHT]:[D - VIGOROUS]])</f>
        <v>79.432000000000002</v>
      </c>
      <c r="M251" s="14">
        <f>'PIVOT TABLES'!$I$26</f>
        <v>65.603999999999999</v>
      </c>
      <c r="N251" s="14">
        <f>'PIVOT TABLES'!$I$27-'PIVOT TABLES'!$I$26</f>
        <v>32.802000000000007</v>
      </c>
      <c r="O251" s="14">
        <f>'PIVOT TABLES'!$I$28-'PIVOT TABLES'!$I$27</f>
        <v>32.801999999999992</v>
      </c>
      <c r="P251" s="14">
        <f>200-SUM(Table3[[#This Row],[M - LIGHT]:[M - VIGOROUS]])</f>
        <v>68.792000000000002</v>
      </c>
      <c r="Q251" s="14">
        <f>'PIVOT TABLES'!$P$26</f>
        <v>62.64</v>
      </c>
      <c r="R251" s="14">
        <f>'PIVOT TABLES'!$P$27-'PIVOT TABLES'!$P$26</f>
        <v>31.320000000000007</v>
      </c>
      <c r="S251" s="14">
        <f>'PIVOT TABLES'!$P$28-'PIVOT TABLES'!$P$27</f>
        <v>31.319999999999993</v>
      </c>
      <c r="T251" s="14">
        <f>200-SUM(Table3[[#This Row],[W - LIGHT]:[W - VIGOROUS]])</f>
        <v>74.72</v>
      </c>
      <c r="U251" s="14">
        <f>'PIVOT TABLES'!$W$26</f>
        <v>55.895999999999994</v>
      </c>
      <c r="V251" s="14">
        <f>'PIVOT TABLES'!$W$27-'PIVOT TABLES'!$W$26</f>
        <v>27.948</v>
      </c>
      <c r="W251" s="14">
        <f>'PIVOT TABLES'!$W$28-'PIVOT TABLES'!$W$27</f>
        <v>27.947999999999993</v>
      </c>
      <c r="X251" s="14">
        <f>200-SUM(Table3[[#This Row],[S - LIGHT]:[S - VIGOROUS]])</f>
        <v>88.208000000000013</v>
      </c>
    </row>
    <row r="252" spans="1:24" x14ac:dyDescent="0.25">
      <c r="A252" s="17" t="s">
        <v>6</v>
      </c>
      <c r="B252" s="13" t="str">
        <f t="shared" si="3"/>
        <v>Midfielder</v>
      </c>
      <c r="C252" s="7">
        <v>45299</v>
      </c>
      <c r="D252" s="14">
        <v>8350</v>
      </c>
      <c r="E252" s="14">
        <v>67</v>
      </c>
      <c r="F252" s="14">
        <v>23</v>
      </c>
      <c r="G252" s="14">
        <v>24</v>
      </c>
      <c r="H252" s="14">
        <v>86.91</v>
      </c>
      <c r="I252" s="14">
        <f>'PIVOT TABLES'!$B$26</f>
        <v>60.283999999999999</v>
      </c>
      <c r="J252" s="14">
        <f>'PIVOT TABLES'!$B$27-'PIVOT TABLES'!$B$26</f>
        <v>30.142000000000003</v>
      </c>
      <c r="K252" s="14">
        <f>'PIVOT TABLES'!$B$28-'PIVOT TABLES'!$B$27</f>
        <v>30.141999999999996</v>
      </c>
      <c r="L252" s="14">
        <f>200-SUM(Table3[[#This Row],[D - LIGHT]:[D - VIGOROUS]])</f>
        <v>79.432000000000002</v>
      </c>
      <c r="M252" s="14">
        <f>'PIVOT TABLES'!$I$26</f>
        <v>65.603999999999999</v>
      </c>
      <c r="N252" s="14">
        <f>'PIVOT TABLES'!$I$27-'PIVOT TABLES'!$I$26</f>
        <v>32.802000000000007</v>
      </c>
      <c r="O252" s="14">
        <f>'PIVOT TABLES'!$I$28-'PIVOT TABLES'!$I$27</f>
        <v>32.801999999999992</v>
      </c>
      <c r="P252" s="14">
        <f>200-SUM(Table3[[#This Row],[M - LIGHT]:[M - VIGOROUS]])</f>
        <v>68.792000000000002</v>
      </c>
      <c r="Q252" s="14">
        <f>'PIVOT TABLES'!$P$26</f>
        <v>62.64</v>
      </c>
      <c r="R252" s="14">
        <f>'PIVOT TABLES'!$P$27-'PIVOT TABLES'!$P$26</f>
        <v>31.320000000000007</v>
      </c>
      <c r="S252" s="14">
        <f>'PIVOT TABLES'!$P$28-'PIVOT TABLES'!$P$27</f>
        <v>31.319999999999993</v>
      </c>
      <c r="T252" s="14">
        <f>200-SUM(Table3[[#This Row],[W - LIGHT]:[W - VIGOROUS]])</f>
        <v>74.72</v>
      </c>
      <c r="U252" s="14">
        <f>'PIVOT TABLES'!$W$26</f>
        <v>55.895999999999994</v>
      </c>
      <c r="V252" s="14">
        <f>'PIVOT TABLES'!$W$27-'PIVOT TABLES'!$W$26</f>
        <v>27.948</v>
      </c>
      <c r="W252" s="14">
        <f>'PIVOT TABLES'!$W$28-'PIVOT TABLES'!$W$27</f>
        <v>27.947999999999993</v>
      </c>
      <c r="X252" s="14">
        <f>200-SUM(Table3[[#This Row],[S - LIGHT]:[S - VIGOROUS]])</f>
        <v>88.208000000000013</v>
      </c>
    </row>
    <row r="253" spans="1:24" x14ac:dyDescent="0.25">
      <c r="A253" s="17" t="s">
        <v>62</v>
      </c>
      <c r="B253" s="13" t="str">
        <f t="shared" si="3"/>
        <v>Midfielder</v>
      </c>
      <c r="C253" s="7">
        <v>45299</v>
      </c>
      <c r="D253" s="14">
        <v>6483</v>
      </c>
      <c r="E253" s="14">
        <v>3</v>
      </c>
      <c r="F253" s="14">
        <v>7</v>
      </c>
      <c r="G253" s="14">
        <v>6</v>
      </c>
      <c r="H253" s="14">
        <v>65.319999999999993</v>
      </c>
      <c r="I253" s="14">
        <f>'PIVOT TABLES'!$B$26</f>
        <v>60.283999999999999</v>
      </c>
      <c r="J253" s="14">
        <f>'PIVOT TABLES'!$B$27-'PIVOT TABLES'!$B$26</f>
        <v>30.142000000000003</v>
      </c>
      <c r="K253" s="14">
        <f>'PIVOT TABLES'!$B$28-'PIVOT TABLES'!$B$27</f>
        <v>30.141999999999996</v>
      </c>
      <c r="L253" s="14">
        <f>200-SUM(Table3[[#This Row],[D - LIGHT]:[D - VIGOROUS]])</f>
        <v>79.432000000000002</v>
      </c>
      <c r="M253" s="14">
        <f>'PIVOT TABLES'!$I$26</f>
        <v>65.603999999999999</v>
      </c>
      <c r="N253" s="14">
        <f>'PIVOT TABLES'!$I$27-'PIVOT TABLES'!$I$26</f>
        <v>32.802000000000007</v>
      </c>
      <c r="O253" s="14">
        <f>'PIVOT TABLES'!$I$28-'PIVOT TABLES'!$I$27</f>
        <v>32.801999999999992</v>
      </c>
      <c r="P253" s="14">
        <f>200-SUM(Table3[[#This Row],[M - LIGHT]:[M - VIGOROUS]])</f>
        <v>68.792000000000002</v>
      </c>
      <c r="Q253" s="14">
        <f>'PIVOT TABLES'!$P$26</f>
        <v>62.64</v>
      </c>
      <c r="R253" s="14">
        <f>'PIVOT TABLES'!$P$27-'PIVOT TABLES'!$P$26</f>
        <v>31.320000000000007</v>
      </c>
      <c r="S253" s="14">
        <f>'PIVOT TABLES'!$P$28-'PIVOT TABLES'!$P$27</f>
        <v>31.319999999999993</v>
      </c>
      <c r="T253" s="14">
        <f>200-SUM(Table3[[#This Row],[W - LIGHT]:[W - VIGOROUS]])</f>
        <v>74.72</v>
      </c>
      <c r="U253" s="14">
        <f>'PIVOT TABLES'!$W$26</f>
        <v>55.895999999999994</v>
      </c>
      <c r="V253" s="14">
        <f>'PIVOT TABLES'!$W$27-'PIVOT TABLES'!$W$26</f>
        <v>27.948</v>
      </c>
      <c r="W253" s="14">
        <f>'PIVOT TABLES'!$W$28-'PIVOT TABLES'!$W$27</f>
        <v>27.947999999999993</v>
      </c>
      <c r="X253" s="14">
        <f>200-SUM(Table3[[#This Row],[S - LIGHT]:[S - VIGOROUS]])</f>
        <v>88.208000000000013</v>
      </c>
    </row>
    <row r="254" spans="1:24" x14ac:dyDescent="0.25">
      <c r="A254" s="17" t="s">
        <v>63</v>
      </c>
      <c r="B254" s="13" t="str">
        <f t="shared" si="3"/>
        <v>Winger</v>
      </c>
      <c r="C254" s="7">
        <v>45299</v>
      </c>
      <c r="D254" s="14">
        <v>8194</v>
      </c>
      <c r="E254" s="14">
        <v>27</v>
      </c>
      <c r="F254" s="14">
        <v>17</v>
      </c>
      <c r="G254" s="14">
        <v>19</v>
      </c>
      <c r="H254" s="14">
        <v>83.81</v>
      </c>
      <c r="I254" s="14">
        <f>'PIVOT TABLES'!$B$26</f>
        <v>60.283999999999999</v>
      </c>
      <c r="J254" s="14">
        <f>'PIVOT TABLES'!$B$27-'PIVOT TABLES'!$B$26</f>
        <v>30.142000000000003</v>
      </c>
      <c r="K254" s="14">
        <f>'PIVOT TABLES'!$B$28-'PIVOT TABLES'!$B$27</f>
        <v>30.141999999999996</v>
      </c>
      <c r="L254" s="14">
        <f>200-SUM(Table3[[#This Row],[D - LIGHT]:[D - VIGOROUS]])</f>
        <v>79.432000000000002</v>
      </c>
      <c r="M254" s="14">
        <f>'PIVOT TABLES'!$I$26</f>
        <v>65.603999999999999</v>
      </c>
      <c r="N254" s="14">
        <f>'PIVOT TABLES'!$I$27-'PIVOT TABLES'!$I$26</f>
        <v>32.802000000000007</v>
      </c>
      <c r="O254" s="14">
        <f>'PIVOT TABLES'!$I$28-'PIVOT TABLES'!$I$27</f>
        <v>32.801999999999992</v>
      </c>
      <c r="P254" s="14">
        <f>200-SUM(Table3[[#This Row],[M - LIGHT]:[M - VIGOROUS]])</f>
        <v>68.792000000000002</v>
      </c>
      <c r="Q254" s="14">
        <f>'PIVOT TABLES'!$P$26</f>
        <v>62.64</v>
      </c>
      <c r="R254" s="14">
        <f>'PIVOT TABLES'!$P$27-'PIVOT TABLES'!$P$26</f>
        <v>31.320000000000007</v>
      </c>
      <c r="S254" s="14">
        <f>'PIVOT TABLES'!$P$28-'PIVOT TABLES'!$P$27</f>
        <v>31.319999999999993</v>
      </c>
      <c r="T254" s="14">
        <f>200-SUM(Table3[[#This Row],[W - LIGHT]:[W - VIGOROUS]])</f>
        <v>74.72</v>
      </c>
      <c r="U254" s="14">
        <f>'PIVOT TABLES'!$W$26</f>
        <v>55.895999999999994</v>
      </c>
      <c r="V254" s="14">
        <f>'PIVOT TABLES'!$W$27-'PIVOT TABLES'!$W$26</f>
        <v>27.948</v>
      </c>
      <c r="W254" s="14">
        <f>'PIVOT TABLES'!$W$28-'PIVOT TABLES'!$W$27</f>
        <v>27.947999999999993</v>
      </c>
      <c r="X254" s="14">
        <f>200-SUM(Table3[[#This Row],[S - LIGHT]:[S - VIGOROUS]])</f>
        <v>88.208000000000013</v>
      </c>
    </row>
    <row r="255" spans="1:24" x14ac:dyDescent="0.25">
      <c r="A255" s="17" t="s">
        <v>64</v>
      </c>
      <c r="B255" s="13" t="str">
        <f t="shared" si="3"/>
        <v>Midfielder</v>
      </c>
      <c r="C255" s="7">
        <v>45299</v>
      </c>
      <c r="D255" s="14">
        <v>8268</v>
      </c>
      <c r="E255" s="14">
        <v>12</v>
      </c>
      <c r="F255" s="14">
        <v>19</v>
      </c>
      <c r="G255" s="14">
        <v>10</v>
      </c>
      <c r="H255" s="14">
        <v>84</v>
      </c>
      <c r="I255" s="14">
        <f>'PIVOT TABLES'!$B$26</f>
        <v>60.283999999999999</v>
      </c>
      <c r="J255" s="14">
        <f>'PIVOT TABLES'!$B$27-'PIVOT TABLES'!$B$26</f>
        <v>30.142000000000003</v>
      </c>
      <c r="K255" s="14">
        <f>'PIVOT TABLES'!$B$28-'PIVOT TABLES'!$B$27</f>
        <v>30.141999999999996</v>
      </c>
      <c r="L255" s="14">
        <f>200-SUM(Table3[[#This Row],[D - LIGHT]:[D - VIGOROUS]])</f>
        <v>79.432000000000002</v>
      </c>
      <c r="M255" s="14">
        <f>'PIVOT TABLES'!$I$26</f>
        <v>65.603999999999999</v>
      </c>
      <c r="N255" s="14">
        <f>'PIVOT TABLES'!$I$27-'PIVOT TABLES'!$I$26</f>
        <v>32.802000000000007</v>
      </c>
      <c r="O255" s="14">
        <f>'PIVOT TABLES'!$I$28-'PIVOT TABLES'!$I$27</f>
        <v>32.801999999999992</v>
      </c>
      <c r="P255" s="14">
        <f>200-SUM(Table3[[#This Row],[M - LIGHT]:[M - VIGOROUS]])</f>
        <v>68.792000000000002</v>
      </c>
      <c r="Q255" s="14">
        <f>'PIVOT TABLES'!$P$26</f>
        <v>62.64</v>
      </c>
      <c r="R255" s="14">
        <f>'PIVOT TABLES'!$P$27-'PIVOT TABLES'!$P$26</f>
        <v>31.320000000000007</v>
      </c>
      <c r="S255" s="14">
        <f>'PIVOT TABLES'!$P$28-'PIVOT TABLES'!$P$27</f>
        <v>31.319999999999993</v>
      </c>
      <c r="T255" s="14">
        <f>200-SUM(Table3[[#This Row],[W - LIGHT]:[W - VIGOROUS]])</f>
        <v>74.72</v>
      </c>
      <c r="U255" s="14">
        <f>'PIVOT TABLES'!$W$26</f>
        <v>55.895999999999994</v>
      </c>
      <c r="V255" s="14">
        <f>'PIVOT TABLES'!$W$27-'PIVOT TABLES'!$W$26</f>
        <v>27.948</v>
      </c>
      <c r="W255" s="14">
        <f>'PIVOT TABLES'!$W$28-'PIVOT TABLES'!$W$27</f>
        <v>27.947999999999993</v>
      </c>
      <c r="X255" s="14">
        <f>200-SUM(Table3[[#This Row],[S - LIGHT]:[S - VIGOROUS]])</f>
        <v>88.208000000000013</v>
      </c>
    </row>
    <row r="256" spans="1:24" x14ac:dyDescent="0.25">
      <c r="A256" s="17" t="s">
        <v>77</v>
      </c>
      <c r="B256" s="13" t="str">
        <f t="shared" si="3"/>
        <v>Defender</v>
      </c>
      <c r="C256" s="7">
        <v>45299</v>
      </c>
      <c r="D256" s="14">
        <v>7041</v>
      </c>
      <c r="E256" s="14">
        <v>44</v>
      </c>
      <c r="F256" s="14">
        <v>27</v>
      </c>
      <c r="G256" s="14">
        <v>11</v>
      </c>
      <c r="H256" s="14">
        <v>73.03</v>
      </c>
      <c r="I256" s="14">
        <f>'PIVOT TABLES'!$B$26</f>
        <v>60.283999999999999</v>
      </c>
      <c r="J256" s="14">
        <f>'PIVOT TABLES'!$B$27-'PIVOT TABLES'!$B$26</f>
        <v>30.142000000000003</v>
      </c>
      <c r="K256" s="14">
        <f>'PIVOT TABLES'!$B$28-'PIVOT TABLES'!$B$27</f>
        <v>30.141999999999996</v>
      </c>
      <c r="L256" s="14">
        <f>200-SUM(Table3[[#This Row],[D - LIGHT]:[D - VIGOROUS]])</f>
        <v>79.432000000000002</v>
      </c>
      <c r="M256" s="14">
        <f>'PIVOT TABLES'!$I$26</f>
        <v>65.603999999999999</v>
      </c>
      <c r="N256" s="14">
        <f>'PIVOT TABLES'!$I$27-'PIVOT TABLES'!$I$26</f>
        <v>32.802000000000007</v>
      </c>
      <c r="O256" s="14">
        <f>'PIVOT TABLES'!$I$28-'PIVOT TABLES'!$I$27</f>
        <v>32.801999999999992</v>
      </c>
      <c r="P256" s="14">
        <f>200-SUM(Table3[[#This Row],[M - LIGHT]:[M - VIGOROUS]])</f>
        <v>68.792000000000002</v>
      </c>
      <c r="Q256" s="14">
        <f>'PIVOT TABLES'!$P$26</f>
        <v>62.64</v>
      </c>
      <c r="R256" s="14">
        <f>'PIVOT TABLES'!$P$27-'PIVOT TABLES'!$P$26</f>
        <v>31.320000000000007</v>
      </c>
      <c r="S256" s="14">
        <f>'PIVOT TABLES'!$P$28-'PIVOT TABLES'!$P$27</f>
        <v>31.319999999999993</v>
      </c>
      <c r="T256" s="14">
        <f>200-SUM(Table3[[#This Row],[W - LIGHT]:[W - VIGOROUS]])</f>
        <v>74.72</v>
      </c>
      <c r="U256" s="14">
        <f>'PIVOT TABLES'!$W$26</f>
        <v>55.895999999999994</v>
      </c>
      <c r="V256" s="14">
        <f>'PIVOT TABLES'!$W$27-'PIVOT TABLES'!$W$26</f>
        <v>27.948</v>
      </c>
      <c r="W256" s="14">
        <f>'PIVOT TABLES'!$W$28-'PIVOT TABLES'!$W$27</f>
        <v>27.947999999999993</v>
      </c>
      <c r="X256" s="14">
        <f>200-SUM(Table3[[#This Row],[S - LIGHT]:[S - VIGOROUS]])</f>
        <v>88.208000000000013</v>
      </c>
    </row>
    <row r="257" spans="1:24" x14ac:dyDescent="0.25">
      <c r="A257" s="17" t="s">
        <v>66</v>
      </c>
      <c r="B257" s="13" t="str">
        <f t="shared" si="3"/>
        <v>Striker</v>
      </c>
      <c r="C257" s="7">
        <v>45299</v>
      </c>
      <c r="D257" s="14">
        <v>5816</v>
      </c>
      <c r="E257" s="14">
        <v>33</v>
      </c>
      <c r="F257" s="14">
        <v>22</v>
      </c>
      <c r="G257" s="14">
        <v>24</v>
      </c>
      <c r="H257" s="14">
        <v>60.51</v>
      </c>
      <c r="I257" s="14">
        <f>'PIVOT TABLES'!$B$26</f>
        <v>60.283999999999999</v>
      </c>
      <c r="J257" s="14">
        <f>'PIVOT TABLES'!$B$27-'PIVOT TABLES'!$B$26</f>
        <v>30.142000000000003</v>
      </c>
      <c r="K257" s="14">
        <f>'PIVOT TABLES'!$B$28-'PIVOT TABLES'!$B$27</f>
        <v>30.141999999999996</v>
      </c>
      <c r="L257" s="14">
        <f>200-SUM(Table3[[#This Row],[D - LIGHT]:[D - VIGOROUS]])</f>
        <v>79.432000000000002</v>
      </c>
      <c r="M257" s="14">
        <f>'PIVOT TABLES'!$I$26</f>
        <v>65.603999999999999</v>
      </c>
      <c r="N257" s="14">
        <f>'PIVOT TABLES'!$I$27-'PIVOT TABLES'!$I$26</f>
        <v>32.802000000000007</v>
      </c>
      <c r="O257" s="14">
        <f>'PIVOT TABLES'!$I$28-'PIVOT TABLES'!$I$27</f>
        <v>32.801999999999992</v>
      </c>
      <c r="P257" s="14">
        <f>200-SUM(Table3[[#This Row],[M - LIGHT]:[M - VIGOROUS]])</f>
        <v>68.792000000000002</v>
      </c>
      <c r="Q257" s="14">
        <f>'PIVOT TABLES'!$P$26</f>
        <v>62.64</v>
      </c>
      <c r="R257" s="14">
        <f>'PIVOT TABLES'!$P$27-'PIVOT TABLES'!$P$26</f>
        <v>31.320000000000007</v>
      </c>
      <c r="S257" s="14">
        <f>'PIVOT TABLES'!$P$28-'PIVOT TABLES'!$P$27</f>
        <v>31.319999999999993</v>
      </c>
      <c r="T257" s="14">
        <f>200-SUM(Table3[[#This Row],[W - LIGHT]:[W - VIGOROUS]])</f>
        <v>74.72</v>
      </c>
      <c r="U257" s="14">
        <f>'PIVOT TABLES'!$W$26</f>
        <v>55.895999999999994</v>
      </c>
      <c r="V257" s="14">
        <f>'PIVOT TABLES'!$W$27-'PIVOT TABLES'!$W$26</f>
        <v>27.948</v>
      </c>
      <c r="W257" s="14">
        <f>'PIVOT TABLES'!$W$28-'PIVOT TABLES'!$W$27</f>
        <v>27.947999999999993</v>
      </c>
      <c r="X257" s="14">
        <f>200-SUM(Table3[[#This Row],[S - LIGHT]:[S - VIGOROUS]])</f>
        <v>88.208000000000013</v>
      </c>
    </row>
    <row r="258" spans="1:24" x14ac:dyDescent="0.25">
      <c r="A258" s="17" t="s">
        <v>78</v>
      </c>
      <c r="B258" s="13" t="str">
        <f t="shared" si="3"/>
        <v>Defender</v>
      </c>
      <c r="C258" s="7">
        <v>45299</v>
      </c>
      <c r="D258" s="14">
        <v>7864</v>
      </c>
      <c r="E258" s="14">
        <v>22</v>
      </c>
      <c r="F258" s="14">
        <v>15</v>
      </c>
      <c r="G258" s="14">
        <v>12</v>
      </c>
      <c r="H258" s="14">
        <v>80.14</v>
      </c>
      <c r="I258" s="14">
        <f>'PIVOT TABLES'!$B$26</f>
        <v>60.283999999999999</v>
      </c>
      <c r="J258" s="14">
        <f>'PIVOT TABLES'!$B$27-'PIVOT TABLES'!$B$26</f>
        <v>30.142000000000003</v>
      </c>
      <c r="K258" s="14">
        <f>'PIVOT TABLES'!$B$28-'PIVOT TABLES'!$B$27</f>
        <v>30.141999999999996</v>
      </c>
      <c r="L258" s="14">
        <f>200-SUM(Table3[[#This Row],[D - LIGHT]:[D - VIGOROUS]])</f>
        <v>79.432000000000002</v>
      </c>
      <c r="M258" s="14">
        <f>'PIVOT TABLES'!$I$26</f>
        <v>65.603999999999999</v>
      </c>
      <c r="N258" s="14">
        <f>'PIVOT TABLES'!$I$27-'PIVOT TABLES'!$I$26</f>
        <v>32.802000000000007</v>
      </c>
      <c r="O258" s="14">
        <f>'PIVOT TABLES'!$I$28-'PIVOT TABLES'!$I$27</f>
        <v>32.801999999999992</v>
      </c>
      <c r="P258" s="14">
        <f>200-SUM(Table3[[#This Row],[M - LIGHT]:[M - VIGOROUS]])</f>
        <v>68.792000000000002</v>
      </c>
      <c r="Q258" s="14">
        <f>'PIVOT TABLES'!$P$26</f>
        <v>62.64</v>
      </c>
      <c r="R258" s="14">
        <f>'PIVOT TABLES'!$P$27-'PIVOT TABLES'!$P$26</f>
        <v>31.320000000000007</v>
      </c>
      <c r="S258" s="14">
        <f>'PIVOT TABLES'!$P$28-'PIVOT TABLES'!$P$27</f>
        <v>31.319999999999993</v>
      </c>
      <c r="T258" s="14">
        <f>200-SUM(Table3[[#This Row],[W - LIGHT]:[W - VIGOROUS]])</f>
        <v>74.72</v>
      </c>
      <c r="U258" s="14">
        <f>'PIVOT TABLES'!$W$26</f>
        <v>55.895999999999994</v>
      </c>
      <c r="V258" s="14">
        <f>'PIVOT TABLES'!$W$27-'PIVOT TABLES'!$W$26</f>
        <v>27.948</v>
      </c>
      <c r="W258" s="14">
        <f>'PIVOT TABLES'!$W$28-'PIVOT TABLES'!$W$27</f>
        <v>27.947999999999993</v>
      </c>
      <c r="X258" s="14">
        <f>200-SUM(Table3[[#This Row],[S - LIGHT]:[S - VIGOROUS]])</f>
        <v>88.208000000000013</v>
      </c>
    </row>
    <row r="259" spans="1:24" x14ac:dyDescent="0.25">
      <c r="A259" s="17" t="s">
        <v>7</v>
      </c>
      <c r="B259" s="13" t="str">
        <f t="shared" ref="B259:B322" si="4">IF(A259="Sihle Gum","Defender",IF(A259="Kenny Langa","Defender",IF(A259="Tshepang Makara","Defender",IF(A259="Tshepiso Mahlangu","Defender",IF(A259="Neo Ramashala","Defender",IF(A259="Keabetswe Nkogatse","Defender",IF(A259="Kaketso Harold Majadibodu","Defender",IF(A259="Samuel Julies","Midfielder",IF(A259="Frank Mpedi","Midfielder",IF(A259="Sapholwethu Kelepu","Midfielder",IF(A259="Manelisi Sithole","Midfielder",IF(A259="Thabiso Mokoena","Midfielder",IF(A259="Khomotso Marebane","Midfielder",IF(A259="Tebogo Mohlamonyane","Midfielder",IF(A259="Thulani Zandamela","Midfielder",IF(A259="Mdevulana Camagu","Midfielder",IF(A259="Promise Mkhuma","Midfielder",IF(A259="Essien Makwarimba","Midfielder",IF(A259="Ayanda Mvambi","Winger",IF(A259="Delano Abrahams","Winger",IF(A259="Thokozani Sekotlong","Winger",IF(A259="Maselaelo Seanego","Winger",IF(A259="Lesedi Motha","Winger",IF(A259="Malekgene Mampuru","Winger",IF(A259="Matome Rangata","Winger",IF(A259="Thabang Sibanyoni","Striker",IF(A259="Tebogo Makungo","Striker",IF(A259="Neo Dikgale","Striker",IF(A259="Kamohelo Pheeane","Striker",IF(A259="Athenkosi Tonisi","Striker",IF(A259="Jesse Francis","Striker","####")))))))))))))))))))))))))))))))</f>
        <v>Winger</v>
      </c>
      <c r="C259" s="7">
        <v>45299</v>
      </c>
      <c r="D259" s="14">
        <v>8116</v>
      </c>
      <c r="E259" s="14">
        <v>67</v>
      </c>
      <c r="F259" s="14">
        <v>23</v>
      </c>
      <c r="G259" s="14">
        <v>16</v>
      </c>
      <c r="H259" s="14">
        <v>84.41</v>
      </c>
      <c r="I259" s="14">
        <f>'PIVOT TABLES'!$B$26</f>
        <v>60.283999999999999</v>
      </c>
      <c r="J259" s="14">
        <f>'PIVOT TABLES'!$B$27-'PIVOT TABLES'!$B$26</f>
        <v>30.142000000000003</v>
      </c>
      <c r="K259" s="14">
        <f>'PIVOT TABLES'!$B$28-'PIVOT TABLES'!$B$27</f>
        <v>30.141999999999996</v>
      </c>
      <c r="L259" s="14">
        <f>200-SUM(Table3[[#This Row],[D - LIGHT]:[D - VIGOROUS]])</f>
        <v>79.432000000000002</v>
      </c>
      <c r="M259" s="14">
        <f>'PIVOT TABLES'!$I$26</f>
        <v>65.603999999999999</v>
      </c>
      <c r="N259" s="14">
        <f>'PIVOT TABLES'!$I$27-'PIVOT TABLES'!$I$26</f>
        <v>32.802000000000007</v>
      </c>
      <c r="O259" s="14">
        <f>'PIVOT TABLES'!$I$28-'PIVOT TABLES'!$I$27</f>
        <v>32.801999999999992</v>
      </c>
      <c r="P259" s="14">
        <f>200-SUM(Table3[[#This Row],[M - LIGHT]:[M - VIGOROUS]])</f>
        <v>68.792000000000002</v>
      </c>
      <c r="Q259" s="14">
        <f>'PIVOT TABLES'!$P$26</f>
        <v>62.64</v>
      </c>
      <c r="R259" s="14">
        <f>'PIVOT TABLES'!$P$27-'PIVOT TABLES'!$P$26</f>
        <v>31.320000000000007</v>
      </c>
      <c r="S259" s="14">
        <f>'PIVOT TABLES'!$P$28-'PIVOT TABLES'!$P$27</f>
        <v>31.319999999999993</v>
      </c>
      <c r="T259" s="14">
        <f>200-SUM(Table3[[#This Row],[W - LIGHT]:[W - VIGOROUS]])</f>
        <v>74.72</v>
      </c>
      <c r="U259" s="14">
        <f>'PIVOT TABLES'!$W$26</f>
        <v>55.895999999999994</v>
      </c>
      <c r="V259" s="14">
        <f>'PIVOT TABLES'!$W$27-'PIVOT TABLES'!$W$26</f>
        <v>27.948</v>
      </c>
      <c r="W259" s="14">
        <f>'PIVOT TABLES'!$W$28-'PIVOT TABLES'!$W$27</f>
        <v>27.947999999999993</v>
      </c>
      <c r="X259" s="14">
        <f>200-SUM(Table3[[#This Row],[S - LIGHT]:[S - VIGOROUS]])</f>
        <v>88.208000000000013</v>
      </c>
    </row>
    <row r="260" spans="1:24" x14ac:dyDescent="0.25">
      <c r="A260" s="17" t="s">
        <v>8</v>
      </c>
      <c r="B260" s="13" t="str">
        <f t="shared" si="4"/>
        <v>Striker</v>
      </c>
      <c r="C260" s="7">
        <v>45299</v>
      </c>
      <c r="D260" s="14">
        <v>7009</v>
      </c>
      <c r="E260" s="14">
        <v>27</v>
      </c>
      <c r="F260" s="14">
        <v>24</v>
      </c>
      <c r="G260" s="14">
        <v>20</v>
      </c>
      <c r="H260" s="14">
        <v>72.260000000000005</v>
      </c>
      <c r="I260" s="14">
        <f>'PIVOT TABLES'!$B$26</f>
        <v>60.283999999999999</v>
      </c>
      <c r="J260" s="14">
        <f>'PIVOT TABLES'!$B$27-'PIVOT TABLES'!$B$26</f>
        <v>30.142000000000003</v>
      </c>
      <c r="K260" s="14">
        <f>'PIVOT TABLES'!$B$28-'PIVOT TABLES'!$B$27</f>
        <v>30.141999999999996</v>
      </c>
      <c r="L260" s="14">
        <f>200-SUM(Table3[[#This Row],[D - LIGHT]:[D - VIGOROUS]])</f>
        <v>79.432000000000002</v>
      </c>
      <c r="M260" s="14">
        <f>'PIVOT TABLES'!$I$26</f>
        <v>65.603999999999999</v>
      </c>
      <c r="N260" s="14">
        <f>'PIVOT TABLES'!$I$27-'PIVOT TABLES'!$I$26</f>
        <v>32.802000000000007</v>
      </c>
      <c r="O260" s="14">
        <f>'PIVOT TABLES'!$I$28-'PIVOT TABLES'!$I$27</f>
        <v>32.801999999999992</v>
      </c>
      <c r="P260" s="14">
        <f>200-SUM(Table3[[#This Row],[M - LIGHT]:[M - VIGOROUS]])</f>
        <v>68.792000000000002</v>
      </c>
      <c r="Q260" s="14">
        <f>'PIVOT TABLES'!$P$26</f>
        <v>62.64</v>
      </c>
      <c r="R260" s="14">
        <f>'PIVOT TABLES'!$P$27-'PIVOT TABLES'!$P$26</f>
        <v>31.320000000000007</v>
      </c>
      <c r="S260" s="14">
        <f>'PIVOT TABLES'!$P$28-'PIVOT TABLES'!$P$27</f>
        <v>31.319999999999993</v>
      </c>
      <c r="T260" s="14">
        <f>200-SUM(Table3[[#This Row],[W - LIGHT]:[W - VIGOROUS]])</f>
        <v>74.72</v>
      </c>
      <c r="U260" s="14">
        <f>'PIVOT TABLES'!$W$26</f>
        <v>55.895999999999994</v>
      </c>
      <c r="V260" s="14">
        <f>'PIVOT TABLES'!$W$27-'PIVOT TABLES'!$W$26</f>
        <v>27.948</v>
      </c>
      <c r="W260" s="14">
        <f>'PIVOT TABLES'!$W$28-'PIVOT TABLES'!$W$27</f>
        <v>27.947999999999993</v>
      </c>
      <c r="X260" s="14">
        <f>200-SUM(Table3[[#This Row],[S - LIGHT]:[S - VIGOROUS]])</f>
        <v>88.208000000000013</v>
      </c>
    </row>
    <row r="261" spans="1:24" x14ac:dyDescent="0.25">
      <c r="A261" s="17" t="s">
        <v>67</v>
      </c>
      <c r="B261" s="13" t="str">
        <f t="shared" si="4"/>
        <v>Midfielder</v>
      </c>
      <c r="C261" s="7">
        <v>45299</v>
      </c>
      <c r="D261" s="14">
        <v>8715</v>
      </c>
      <c r="E261" s="14">
        <v>16</v>
      </c>
      <c r="F261" s="14">
        <v>19</v>
      </c>
      <c r="G261" s="14">
        <v>13</v>
      </c>
      <c r="H261" s="14">
        <v>88.65</v>
      </c>
      <c r="I261" s="14">
        <f>'PIVOT TABLES'!$B$26</f>
        <v>60.283999999999999</v>
      </c>
      <c r="J261" s="14">
        <f>'PIVOT TABLES'!$B$27-'PIVOT TABLES'!$B$26</f>
        <v>30.142000000000003</v>
      </c>
      <c r="K261" s="14">
        <f>'PIVOT TABLES'!$B$28-'PIVOT TABLES'!$B$27</f>
        <v>30.141999999999996</v>
      </c>
      <c r="L261" s="14">
        <f>200-SUM(Table3[[#This Row],[D - LIGHT]:[D - VIGOROUS]])</f>
        <v>79.432000000000002</v>
      </c>
      <c r="M261" s="14">
        <f>'PIVOT TABLES'!$I$26</f>
        <v>65.603999999999999</v>
      </c>
      <c r="N261" s="14">
        <f>'PIVOT TABLES'!$I$27-'PIVOT TABLES'!$I$26</f>
        <v>32.802000000000007</v>
      </c>
      <c r="O261" s="14">
        <f>'PIVOT TABLES'!$I$28-'PIVOT TABLES'!$I$27</f>
        <v>32.801999999999992</v>
      </c>
      <c r="P261" s="14">
        <f>200-SUM(Table3[[#This Row],[M - LIGHT]:[M - VIGOROUS]])</f>
        <v>68.792000000000002</v>
      </c>
      <c r="Q261" s="14">
        <f>'PIVOT TABLES'!$P$26</f>
        <v>62.64</v>
      </c>
      <c r="R261" s="14">
        <f>'PIVOT TABLES'!$P$27-'PIVOT TABLES'!$P$26</f>
        <v>31.320000000000007</v>
      </c>
      <c r="S261" s="14">
        <f>'PIVOT TABLES'!$P$28-'PIVOT TABLES'!$P$27</f>
        <v>31.319999999999993</v>
      </c>
      <c r="T261" s="14">
        <f>200-SUM(Table3[[#This Row],[W - LIGHT]:[W - VIGOROUS]])</f>
        <v>74.72</v>
      </c>
      <c r="U261" s="14">
        <f>'PIVOT TABLES'!$W$26</f>
        <v>55.895999999999994</v>
      </c>
      <c r="V261" s="14">
        <f>'PIVOT TABLES'!$W$27-'PIVOT TABLES'!$W$26</f>
        <v>27.948</v>
      </c>
      <c r="W261" s="14">
        <f>'PIVOT TABLES'!$W$28-'PIVOT TABLES'!$W$27</f>
        <v>27.947999999999993</v>
      </c>
      <c r="X261" s="14">
        <f>200-SUM(Table3[[#This Row],[S - LIGHT]:[S - VIGOROUS]])</f>
        <v>88.208000000000013</v>
      </c>
    </row>
    <row r="262" spans="1:24" x14ac:dyDescent="0.25">
      <c r="A262" s="17" t="s">
        <v>69</v>
      </c>
      <c r="B262" s="13" t="str">
        <f t="shared" si="4"/>
        <v>Midfielder</v>
      </c>
      <c r="C262" s="7">
        <v>45299</v>
      </c>
      <c r="D262" s="14">
        <v>8716</v>
      </c>
      <c r="E262" s="14">
        <v>103</v>
      </c>
      <c r="F262" s="14">
        <v>16</v>
      </c>
      <c r="G262" s="14">
        <v>11</v>
      </c>
      <c r="H262" s="14">
        <v>91.11</v>
      </c>
      <c r="I262" s="14">
        <f>'PIVOT TABLES'!$B$26</f>
        <v>60.283999999999999</v>
      </c>
      <c r="J262" s="14">
        <f>'PIVOT TABLES'!$B$27-'PIVOT TABLES'!$B$26</f>
        <v>30.142000000000003</v>
      </c>
      <c r="K262" s="14">
        <f>'PIVOT TABLES'!$B$28-'PIVOT TABLES'!$B$27</f>
        <v>30.141999999999996</v>
      </c>
      <c r="L262" s="14">
        <f>200-SUM(Table3[[#This Row],[D - LIGHT]:[D - VIGOROUS]])</f>
        <v>79.432000000000002</v>
      </c>
      <c r="M262" s="14">
        <f>'PIVOT TABLES'!$I$26</f>
        <v>65.603999999999999</v>
      </c>
      <c r="N262" s="14">
        <f>'PIVOT TABLES'!$I$27-'PIVOT TABLES'!$I$26</f>
        <v>32.802000000000007</v>
      </c>
      <c r="O262" s="14">
        <f>'PIVOT TABLES'!$I$28-'PIVOT TABLES'!$I$27</f>
        <v>32.801999999999992</v>
      </c>
      <c r="P262" s="14">
        <f>200-SUM(Table3[[#This Row],[M - LIGHT]:[M - VIGOROUS]])</f>
        <v>68.792000000000002</v>
      </c>
      <c r="Q262" s="14">
        <f>'PIVOT TABLES'!$P$26</f>
        <v>62.64</v>
      </c>
      <c r="R262" s="14">
        <f>'PIVOT TABLES'!$P$27-'PIVOT TABLES'!$P$26</f>
        <v>31.320000000000007</v>
      </c>
      <c r="S262" s="14">
        <f>'PIVOT TABLES'!$P$28-'PIVOT TABLES'!$P$27</f>
        <v>31.319999999999993</v>
      </c>
      <c r="T262" s="14">
        <f>200-SUM(Table3[[#This Row],[W - LIGHT]:[W - VIGOROUS]])</f>
        <v>74.72</v>
      </c>
      <c r="U262" s="14">
        <f>'PIVOT TABLES'!$W$26</f>
        <v>55.895999999999994</v>
      </c>
      <c r="V262" s="14">
        <f>'PIVOT TABLES'!$W$27-'PIVOT TABLES'!$W$26</f>
        <v>27.948</v>
      </c>
      <c r="W262" s="14">
        <f>'PIVOT TABLES'!$W$28-'PIVOT TABLES'!$W$27</f>
        <v>27.947999999999993</v>
      </c>
      <c r="X262" s="14">
        <f>200-SUM(Table3[[#This Row],[S - LIGHT]:[S - VIGOROUS]])</f>
        <v>88.208000000000013</v>
      </c>
    </row>
    <row r="263" spans="1:24" x14ac:dyDescent="0.25">
      <c r="A263" s="17" t="s">
        <v>70</v>
      </c>
      <c r="B263" s="13" t="str">
        <f t="shared" si="4"/>
        <v>Winger</v>
      </c>
      <c r="C263" s="7">
        <v>45300</v>
      </c>
      <c r="D263" s="14">
        <v>6975</v>
      </c>
      <c r="E263" s="14">
        <v>0</v>
      </c>
      <c r="F263" s="14">
        <v>21</v>
      </c>
      <c r="G263" s="14">
        <v>24</v>
      </c>
      <c r="H263" s="14">
        <v>71.069999999999993</v>
      </c>
      <c r="I263" s="14">
        <f>'PIVOT TABLES'!$B$26</f>
        <v>60.283999999999999</v>
      </c>
      <c r="J263" s="14">
        <f>'PIVOT TABLES'!$B$27-'PIVOT TABLES'!$B$26</f>
        <v>30.142000000000003</v>
      </c>
      <c r="K263" s="14">
        <f>'PIVOT TABLES'!$B$28-'PIVOT TABLES'!$B$27</f>
        <v>30.141999999999996</v>
      </c>
      <c r="L263" s="14">
        <f>200-SUM(Table3[[#This Row],[D - LIGHT]:[D - VIGOROUS]])</f>
        <v>79.432000000000002</v>
      </c>
      <c r="M263" s="14">
        <f>'PIVOT TABLES'!$I$26</f>
        <v>65.603999999999999</v>
      </c>
      <c r="N263" s="14">
        <f>'PIVOT TABLES'!$I$27-'PIVOT TABLES'!$I$26</f>
        <v>32.802000000000007</v>
      </c>
      <c r="O263" s="14">
        <f>'PIVOT TABLES'!$I$28-'PIVOT TABLES'!$I$27</f>
        <v>32.801999999999992</v>
      </c>
      <c r="P263" s="14">
        <f>200-SUM(Table3[[#This Row],[M - LIGHT]:[M - VIGOROUS]])</f>
        <v>68.792000000000002</v>
      </c>
      <c r="Q263" s="14">
        <f>'PIVOT TABLES'!$P$26</f>
        <v>62.64</v>
      </c>
      <c r="R263" s="14">
        <f>'PIVOT TABLES'!$P$27-'PIVOT TABLES'!$P$26</f>
        <v>31.320000000000007</v>
      </c>
      <c r="S263" s="14">
        <f>'PIVOT TABLES'!$P$28-'PIVOT TABLES'!$P$27</f>
        <v>31.319999999999993</v>
      </c>
      <c r="T263" s="14">
        <f>200-SUM(Table3[[#This Row],[W - LIGHT]:[W - VIGOROUS]])</f>
        <v>74.72</v>
      </c>
      <c r="U263" s="14">
        <f>'PIVOT TABLES'!$W$26</f>
        <v>55.895999999999994</v>
      </c>
      <c r="V263" s="14">
        <f>'PIVOT TABLES'!$W$27-'PIVOT TABLES'!$W$26</f>
        <v>27.948</v>
      </c>
      <c r="W263" s="14">
        <f>'PIVOT TABLES'!$W$28-'PIVOT TABLES'!$W$27</f>
        <v>27.947999999999993</v>
      </c>
      <c r="X263" s="14">
        <f>200-SUM(Table3[[#This Row],[S - LIGHT]:[S - VIGOROUS]])</f>
        <v>88.208000000000013</v>
      </c>
    </row>
    <row r="264" spans="1:24" x14ac:dyDescent="0.25">
      <c r="A264" s="17" t="s">
        <v>53</v>
      </c>
      <c r="B264" s="13" t="str">
        <f t="shared" si="4"/>
        <v>Midfielder</v>
      </c>
      <c r="C264" s="7">
        <v>45300</v>
      </c>
      <c r="D264" s="14">
        <v>7407</v>
      </c>
      <c r="E264" s="14">
        <v>0</v>
      </c>
      <c r="F264" s="14">
        <v>20</v>
      </c>
      <c r="G264" s="14">
        <v>27</v>
      </c>
      <c r="H264" s="14">
        <v>75.41</v>
      </c>
      <c r="I264" s="14">
        <f>'PIVOT TABLES'!$B$26</f>
        <v>60.283999999999999</v>
      </c>
      <c r="J264" s="14">
        <f>'PIVOT TABLES'!$B$27-'PIVOT TABLES'!$B$26</f>
        <v>30.142000000000003</v>
      </c>
      <c r="K264" s="14">
        <f>'PIVOT TABLES'!$B$28-'PIVOT TABLES'!$B$27</f>
        <v>30.141999999999996</v>
      </c>
      <c r="L264" s="14">
        <f>200-SUM(Table3[[#This Row],[D - LIGHT]:[D - VIGOROUS]])</f>
        <v>79.432000000000002</v>
      </c>
      <c r="M264" s="14">
        <f>'PIVOT TABLES'!$I$26</f>
        <v>65.603999999999999</v>
      </c>
      <c r="N264" s="14">
        <f>'PIVOT TABLES'!$I$27-'PIVOT TABLES'!$I$26</f>
        <v>32.802000000000007</v>
      </c>
      <c r="O264" s="14">
        <f>'PIVOT TABLES'!$I$28-'PIVOT TABLES'!$I$27</f>
        <v>32.801999999999992</v>
      </c>
      <c r="P264" s="14">
        <f>200-SUM(Table3[[#This Row],[M - LIGHT]:[M - VIGOROUS]])</f>
        <v>68.792000000000002</v>
      </c>
      <c r="Q264" s="14">
        <f>'PIVOT TABLES'!$P$26</f>
        <v>62.64</v>
      </c>
      <c r="R264" s="14">
        <f>'PIVOT TABLES'!$P$27-'PIVOT TABLES'!$P$26</f>
        <v>31.320000000000007</v>
      </c>
      <c r="S264" s="14">
        <f>'PIVOT TABLES'!$P$28-'PIVOT TABLES'!$P$27</f>
        <v>31.319999999999993</v>
      </c>
      <c r="T264" s="14">
        <f>200-SUM(Table3[[#This Row],[W - LIGHT]:[W - VIGOROUS]])</f>
        <v>74.72</v>
      </c>
      <c r="U264" s="14">
        <f>'PIVOT TABLES'!$W$26</f>
        <v>55.895999999999994</v>
      </c>
      <c r="V264" s="14">
        <f>'PIVOT TABLES'!$W$27-'PIVOT TABLES'!$W$26</f>
        <v>27.948</v>
      </c>
      <c r="W264" s="14">
        <f>'PIVOT TABLES'!$W$28-'PIVOT TABLES'!$W$27</f>
        <v>27.947999999999993</v>
      </c>
      <c r="X264" s="14">
        <f>200-SUM(Table3[[#This Row],[S - LIGHT]:[S - VIGOROUS]])</f>
        <v>88.208000000000013</v>
      </c>
    </row>
    <row r="265" spans="1:24" x14ac:dyDescent="0.25">
      <c r="A265" s="17" t="s">
        <v>54</v>
      </c>
      <c r="B265" s="13" t="str">
        <f t="shared" si="4"/>
        <v>Striker</v>
      </c>
      <c r="C265" s="7">
        <v>45300</v>
      </c>
      <c r="D265" s="14">
        <v>7782</v>
      </c>
      <c r="E265" s="14">
        <v>0</v>
      </c>
      <c r="F265" s="14">
        <v>19</v>
      </c>
      <c r="G265" s="14">
        <v>8</v>
      </c>
      <c r="H265" s="14">
        <v>78.739999999999995</v>
      </c>
      <c r="I265" s="14">
        <f>'PIVOT TABLES'!$B$26</f>
        <v>60.283999999999999</v>
      </c>
      <c r="J265" s="14">
        <f>'PIVOT TABLES'!$B$27-'PIVOT TABLES'!$B$26</f>
        <v>30.142000000000003</v>
      </c>
      <c r="K265" s="14">
        <f>'PIVOT TABLES'!$B$28-'PIVOT TABLES'!$B$27</f>
        <v>30.141999999999996</v>
      </c>
      <c r="L265" s="14">
        <f>200-SUM(Table3[[#This Row],[D - LIGHT]:[D - VIGOROUS]])</f>
        <v>79.432000000000002</v>
      </c>
      <c r="M265" s="14">
        <f>'PIVOT TABLES'!$I$26</f>
        <v>65.603999999999999</v>
      </c>
      <c r="N265" s="14">
        <f>'PIVOT TABLES'!$I$27-'PIVOT TABLES'!$I$26</f>
        <v>32.802000000000007</v>
      </c>
      <c r="O265" s="14">
        <f>'PIVOT TABLES'!$I$28-'PIVOT TABLES'!$I$27</f>
        <v>32.801999999999992</v>
      </c>
      <c r="P265" s="14">
        <f>200-SUM(Table3[[#This Row],[M - LIGHT]:[M - VIGOROUS]])</f>
        <v>68.792000000000002</v>
      </c>
      <c r="Q265" s="14">
        <f>'PIVOT TABLES'!$P$26</f>
        <v>62.64</v>
      </c>
      <c r="R265" s="14">
        <f>'PIVOT TABLES'!$P$27-'PIVOT TABLES'!$P$26</f>
        <v>31.320000000000007</v>
      </c>
      <c r="S265" s="14">
        <f>'PIVOT TABLES'!$P$28-'PIVOT TABLES'!$P$27</f>
        <v>31.319999999999993</v>
      </c>
      <c r="T265" s="14">
        <f>200-SUM(Table3[[#This Row],[W - LIGHT]:[W - VIGOROUS]])</f>
        <v>74.72</v>
      </c>
      <c r="U265" s="14">
        <f>'PIVOT TABLES'!$W$26</f>
        <v>55.895999999999994</v>
      </c>
      <c r="V265" s="14">
        <f>'PIVOT TABLES'!$W$27-'PIVOT TABLES'!$W$26</f>
        <v>27.948</v>
      </c>
      <c r="W265" s="14">
        <f>'PIVOT TABLES'!$W$28-'PIVOT TABLES'!$W$27</f>
        <v>27.947999999999993</v>
      </c>
      <c r="X265" s="14">
        <f>200-SUM(Table3[[#This Row],[S - LIGHT]:[S - VIGOROUS]])</f>
        <v>88.208000000000013</v>
      </c>
    </row>
    <row r="266" spans="1:24" x14ac:dyDescent="0.25">
      <c r="A266" s="17" t="s">
        <v>55</v>
      </c>
      <c r="B266" s="13" t="str">
        <f t="shared" si="4"/>
        <v>Striker</v>
      </c>
      <c r="C266" s="7">
        <v>45300</v>
      </c>
      <c r="D266" s="14">
        <v>7239</v>
      </c>
      <c r="E266" s="14">
        <v>0</v>
      </c>
      <c r="F266" s="14">
        <v>17</v>
      </c>
      <c r="G266" s="14">
        <v>7</v>
      </c>
      <c r="H266" s="14">
        <v>73.209999999999994</v>
      </c>
      <c r="I266" s="14">
        <f>'PIVOT TABLES'!$B$26</f>
        <v>60.283999999999999</v>
      </c>
      <c r="J266" s="14">
        <f>'PIVOT TABLES'!$B$27-'PIVOT TABLES'!$B$26</f>
        <v>30.142000000000003</v>
      </c>
      <c r="K266" s="14">
        <f>'PIVOT TABLES'!$B$28-'PIVOT TABLES'!$B$27</f>
        <v>30.141999999999996</v>
      </c>
      <c r="L266" s="14">
        <f>200-SUM(Table3[[#This Row],[D - LIGHT]:[D - VIGOROUS]])</f>
        <v>79.432000000000002</v>
      </c>
      <c r="M266" s="14">
        <f>'PIVOT TABLES'!$I$26</f>
        <v>65.603999999999999</v>
      </c>
      <c r="N266" s="14">
        <f>'PIVOT TABLES'!$I$27-'PIVOT TABLES'!$I$26</f>
        <v>32.802000000000007</v>
      </c>
      <c r="O266" s="14">
        <f>'PIVOT TABLES'!$I$28-'PIVOT TABLES'!$I$27</f>
        <v>32.801999999999992</v>
      </c>
      <c r="P266" s="14">
        <f>200-SUM(Table3[[#This Row],[M - LIGHT]:[M - VIGOROUS]])</f>
        <v>68.792000000000002</v>
      </c>
      <c r="Q266" s="14">
        <f>'PIVOT TABLES'!$P$26</f>
        <v>62.64</v>
      </c>
      <c r="R266" s="14">
        <f>'PIVOT TABLES'!$P$27-'PIVOT TABLES'!$P$26</f>
        <v>31.320000000000007</v>
      </c>
      <c r="S266" s="14">
        <f>'PIVOT TABLES'!$P$28-'PIVOT TABLES'!$P$27</f>
        <v>31.319999999999993</v>
      </c>
      <c r="T266" s="14">
        <f>200-SUM(Table3[[#This Row],[W - LIGHT]:[W - VIGOROUS]])</f>
        <v>74.72</v>
      </c>
      <c r="U266" s="14">
        <f>'PIVOT TABLES'!$W$26</f>
        <v>55.895999999999994</v>
      </c>
      <c r="V266" s="14">
        <f>'PIVOT TABLES'!$W$27-'PIVOT TABLES'!$W$26</f>
        <v>27.948</v>
      </c>
      <c r="W266" s="14">
        <f>'PIVOT TABLES'!$W$28-'PIVOT TABLES'!$W$27</f>
        <v>27.947999999999993</v>
      </c>
      <c r="X266" s="14">
        <f>200-SUM(Table3[[#This Row],[S - LIGHT]:[S - VIGOROUS]])</f>
        <v>88.208000000000013</v>
      </c>
    </row>
    <row r="267" spans="1:24" x14ac:dyDescent="0.25">
      <c r="A267" s="17" t="s">
        <v>1</v>
      </c>
      <c r="B267" s="13" t="str">
        <f t="shared" si="4"/>
        <v>Defender</v>
      </c>
      <c r="C267" s="7">
        <v>45300</v>
      </c>
      <c r="D267" s="14">
        <v>6858</v>
      </c>
      <c r="E267" s="14">
        <v>0</v>
      </c>
      <c r="F267" s="14">
        <v>28</v>
      </c>
      <c r="G267" s="14">
        <v>12</v>
      </c>
      <c r="H267" s="14">
        <v>69.94</v>
      </c>
      <c r="I267" s="14">
        <f>'PIVOT TABLES'!$B$26</f>
        <v>60.283999999999999</v>
      </c>
      <c r="J267" s="14">
        <f>'PIVOT TABLES'!$B$27-'PIVOT TABLES'!$B$26</f>
        <v>30.142000000000003</v>
      </c>
      <c r="K267" s="14">
        <f>'PIVOT TABLES'!$B$28-'PIVOT TABLES'!$B$27</f>
        <v>30.141999999999996</v>
      </c>
      <c r="L267" s="14">
        <f>200-SUM(Table3[[#This Row],[D - LIGHT]:[D - VIGOROUS]])</f>
        <v>79.432000000000002</v>
      </c>
      <c r="M267" s="14">
        <f>'PIVOT TABLES'!$I$26</f>
        <v>65.603999999999999</v>
      </c>
      <c r="N267" s="14">
        <f>'PIVOT TABLES'!$I$27-'PIVOT TABLES'!$I$26</f>
        <v>32.802000000000007</v>
      </c>
      <c r="O267" s="14">
        <f>'PIVOT TABLES'!$I$28-'PIVOT TABLES'!$I$27</f>
        <v>32.801999999999992</v>
      </c>
      <c r="P267" s="14">
        <f>200-SUM(Table3[[#This Row],[M - LIGHT]:[M - VIGOROUS]])</f>
        <v>68.792000000000002</v>
      </c>
      <c r="Q267" s="14">
        <f>'PIVOT TABLES'!$P$26</f>
        <v>62.64</v>
      </c>
      <c r="R267" s="14">
        <f>'PIVOT TABLES'!$P$27-'PIVOT TABLES'!$P$26</f>
        <v>31.320000000000007</v>
      </c>
      <c r="S267" s="14">
        <f>'PIVOT TABLES'!$P$28-'PIVOT TABLES'!$P$27</f>
        <v>31.319999999999993</v>
      </c>
      <c r="T267" s="14">
        <f>200-SUM(Table3[[#This Row],[W - LIGHT]:[W - VIGOROUS]])</f>
        <v>74.72</v>
      </c>
      <c r="U267" s="14">
        <f>'PIVOT TABLES'!$W$26</f>
        <v>55.895999999999994</v>
      </c>
      <c r="V267" s="14">
        <f>'PIVOT TABLES'!$W$27-'PIVOT TABLES'!$W$26</f>
        <v>27.948</v>
      </c>
      <c r="W267" s="14">
        <f>'PIVOT TABLES'!$W$28-'PIVOT TABLES'!$W$27</f>
        <v>27.947999999999993</v>
      </c>
      <c r="X267" s="14">
        <f>200-SUM(Table3[[#This Row],[S - LIGHT]:[S - VIGOROUS]])</f>
        <v>88.208000000000013</v>
      </c>
    </row>
    <row r="268" spans="1:24" x14ac:dyDescent="0.25">
      <c r="A268" s="17" t="s">
        <v>56</v>
      </c>
      <c r="B268" s="13" t="str">
        <f t="shared" si="4"/>
        <v>Midfielder</v>
      </c>
      <c r="C268" s="7">
        <v>45300</v>
      </c>
      <c r="D268" s="14">
        <v>7182</v>
      </c>
      <c r="E268" s="14">
        <v>4</v>
      </c>
      <c r="F268" s="14">
        <v>30</v>
      </c>
      <c r="G268" s="14">
        <v>10</v>
      </c>
      <c r="H268" s="14">
        <v>73.34</v>
      </c>
      <c r="I268" s="14">
        <f>'PIVOT TABLES'!$B$26</f>
        <v>60.283999999999999</v>
      </c>
      <c r="J268" s="14">
        <f>'PIVOT TABLES'!$B$27-'PIVOT TABLES'!$B$26</f>
        <v>30.142000000000003</v>
      </c>
      <c r="K268" s="14">
        <f>'PIVOT TABLES'!$B$28-'PIVOT TABLES'!$B$27</f>
        <v>30.141999999999996</v>
      </c>
      <c r="L268" s="14">
        <f>200-SUM(Table3[[#This Row],[D - LIGHT]:[D - VIGOROUS]])</f>
        <v>79.432000000000002</v>
      </c>
      <c r="M268" s="14">
        <f>'PIVOT TABLES'!$I$26</f>
        <v>65.603999999999999</v>
      </c>
      <c r="N268" s="14">
        <f>'PIVOT TABLES'!$I$27-'PIVOT TABLES'!$I$26</f>
        <v>32.802000000000007</v>
      </c>
      <c r="O268" s="14">
        <f>'PIVOT TABLES'!$I$28-'PIVOT TABLES'!$I$27</f>
        <v>32.801999999999992</v>
      </c>
      <c r="P268" s="14">
        <f>200-SUM(Table3[[#This Row],[M - LIGHT]:[M - VIGOROUS]])</f>
        <v>68.792000000000002</v>
      </c>
      <c r="Q268" s="14">
        <f>'PIVOT TABLES'!$P$26</f>
        <v>62.64</v>
      </c>
      <c r="R268" s="14">
        <f>'PIVOT TABLES'!$P$27-'PIVOT TABLES'!$P$26</f>
        <v>31.320000000000007</v>
      </c>
      <c r="S268" s="14">
        <f>'PIVOT TABLES'!$P$28-'PIVOT TABLES'!$P$27</f>
        <v>31.319999999999993</v>
      </c>
      <c r="T268" s="14">
        <f>200-SUM(Table3[[#This Row],[W - LIGHT]:[W - VIGOROUS]])</f>
        <v>74.72</v>
      </c>
      <c r="U268" s="14">
        <f>'PIVOT TABLES'!$W$26</f>
        <v>55.895999999999994</v>
      </c>
      <c r="V268" s="14">
        <f>'PIVOT TABLES'!$W$27-'PIVOT TABLES'!$W$26</f>
        <v>27.948</v>
      </c>
      <c r="W268" s="14">
        <f>'PIVOT TABLES'!$W$28-'PIVOT TABLES'!$W$27</f>
        <v>27.947999999999993</v>
      </c>
      <c r="X268" s="14">
        <f>200-SUM(Table3[[#This Row],[S - LIGHT]:[S - VIGOROUS]])</f>
        <v>88.208000000000013</v>
      </c>
    </row>
    <row r="269" spans="1:24" x14ac:dyDescent="0.25">
      <c r="A269" s="17" t="s">
        <v>2</v>
      </c>
      <c r="B269" s="13" t="str">
        <f t="shared" si="4"/>
        <v>Defender</v>
      </c>
      <c r="C269" s="7">
        <v>45300</v>
      </c>
      <c r="D269" s="14">
        <v>7103</v>
      </c>
      <c r="E269" s="14">
        <v>0</v>
      </c>
      <c r="F269" s="14">
        <v>23</v>
      </c>
      <c r="G269" s="14">
        <v>15</v>
      </c>
      <c r="H269" s="14">
        <v>72.25</v>
      </c>
      <c r="I269" s="14">
        <f>'PIVOT TABLES'!$B$26</f>
        <v>60.283999999999999</v>
      </c>
      <c r="J269" s="14">
        <f>'PIVOT TABLES'!$B$27-'PIVOT TABLES'!$B$26</f>
        <v>30.142000000000003</v>
      </c>
      <c r="K269" s="14">
        <f>'PIVOT TABLES'!$B$28-'PIVOT TABLES'!$B$27</f>
        <v>30.141999999999996</v>
      </c>
      <c r="L269" s="14">
        <f>200-SUM(Table3[[#This Row],[D - LIGHT]:[D - VIGOROUS]])</f>
        <v>79.432000000000002</v>
      </c>
      <c r="M269" s="14">
        <f>'PIVOT TABLES'!$I$26</f>
        <v>65.603999999999999</v>
      </c>
      <c r="N269" s="14">
        <f>'PIVOT TABLES'!$I$27-'PIVOT TABLES'!$I$26</f>
        <v>32.802000000000007</v>
      </c>
      <c r="O269" s="14">
        <f>'PIVOT TABLES'!$I$28-'PIVOT TABLES'!$I$27</f>
        <v>32.801999999999992</v>
      </c>
      <c r="P269" s="14">
        <f>200-SUM(Table3[[#This Row],[M - LIGHT]:[M - VIGOROUS]])</f>
        <v>68.792000000000002</v>
      </c>
      <c r="Q269" s="14">
        <f>'PIVOT TABLES'!$P$26</f>
        <v>62.64</v>
      </c>
      <c r="R269" s="14">
        <f>'PIVOT TABLES'!$P$27-'PIVOT TABLES'!$P$26</f>
        <v>31.320000000000007</v>
      </c>
      <c r="S269" s="14">
        <f>'PIVOT TABLES'!$P$28-'PIVOT TABLES'!$P$27</f>
        <v>31.319999999999993</v>
      </c>
      <c r="T269" s="14">
        <f>200-SUM(Table3[[#This Row],[W - LIGHT]:[W - VIGOROUS]])</f>
        <v>74.72</v>
      </c>
      <c r="U269" s="14">
        <f>'PIVOT TABLES'!$W$26</f>
        <v>55.895999999999994</v>
      </c>
      <c r="V269" s="14">
        <f>'PIVOT TABLES'!$W$27-'PIVOT TABLES'!$W$26</f>
        <v>27.948</v>
      </c>
      <c r="W269" s="14">
        <f>'PIVOT TABLES'!$W$28-'PIVOT TABLES'!$W$27</f>
        <v>27.947999999999993</v>
      </c>
      <c r="X269" s="14">
        <f>200-SUM(Table3[[#This Row],[S - LIGHT]:[S - VIGOROUS]])</f>
        <v>88.208000000000013</v>
      </c>
    </row>
    <row r="270" spans="1:24" x14ac:dyDescent="0.25">
      <c r="A270" s="17" t="s">
        <v>58</v>
      </c>
      <c r="B270" s="13" t="str">
        <f t="shared" si="4"/>
        <v>Defender</v>
      </c>
      <c r="C270" s="7">
        <v>45300</v>
      </c>
      <c r="D270" s="14">
        <v>6556</v>
      </c>
      <c r="E270" s="14">
        <v>0</v>
      </c>
      <c r="F270" s="14">
        <v>8</v>
      </c>
      <c r="G270" s="14">
        <v>9</v>
      </c>
      <c r="H270" s="14">
        <v>66.06</v>
      </c>
      <c r="I270" s="14">
        <f>'PIVOT TABLES'!$B$26</f>
        <v>60.283999999999999</v>
      </c>
      <c r="J270" s="14">
        <f>'PIVOT TABLES'!$B$27-'PIVOT TABLES'!$B$26</f>
        <v>30.142000000000003</v>
      </c>
      <c r="K270" s="14">
        <f>'PIVOT TABLES'!$B$28-'PIVOT TABLES'!$B$27</f>
        <v>30.141999999999996</v>
      </c>
      <c r="L270" s="14">
        <f>200-SUM(Table3[[#This Row],[D - LIGHT]:[D - VIGOROUS]])</f>
        <v>79.432000000000002</v>
      </c>
      <c r="M270" s="14">
        <f>'PIVOT TABLES'!$I$26</f>
        <v>65.603999999999999</v>
      </c>
      <c r="N270" s="14">
        <f>'PIVOT TABLES'!$I$27-'PIVOT TABLES'!$I$26</f>
        <v>32.802000000000007</v>
      </c>
      <c r="O270" s="14">
        <f>'PIVOT TABLES'!$I$28-'PIVOT TABLES'!$I$27</f>
        <v>32.801999999999992</v>
      </c>
      <c r="P270" s="14">
        <f>200-SUM(Table3[[#This Row],[M - LIGHT]:[M - VIGOROUS]])</f>
        <v>68.792000000000002</v>
      </c>
      <c r="Q270" s="14">
        <f>'PIVOT TABLES'!$P$26</f>
        <v>62.64</v>
      </c>
      <c r="R270" s="14">
        <f>'PIVOT TABLES'!$P$27-'PIVOT TABLES'!$P$26</f>
        <v>31.320000000000007</v>
      </c>
      <c r="S270" s="14">
        <f>'PIVOT TABLES'!$P$28-'PIVOT TABLES'!$P$27</f>
        <v>31.319999999999993</v>
      </c>
      <c r="T270" s="14">
        <f>200-SUM(Table3[[#This Row],[W - LIGHT]:[W - VIGOROUS]])</f>
        <v>74.72</v>
      </c>
      <c r="U270" s="14">
        <f>'PIVOT TABLES'!$W$26</f>
        <v>55.895999999999994</v>
      </c>
      <c r="V270" s="14">
        <f>'PIVOT TABLES'!$W$27-'PIVOT TABLES'!$W$26</f>
        <v>27.948</v>
      </c>
      <c r="W270" s="14">
        <f>'PIVOT TABLES'!$W$28-'PIVOT TABLES'!$W$27</f>
        <v>27.947999999999993</v>
      </c>
      <c r="X270" s="14">
        <f>200-SUM(Table3[[#This Row],[S - LIGHT]:[S - VIGOROUS]])</f>
        <v>88.208000000000013</v>
      </c>
    </row>
    <row r="271" spans="1:24" x14ac:dyDescent="0.25">
      <c r="A271" s="17" t="s">
        <v>3</v>
      </c>
      <c r="B271" s="13" t="str">
        <f t="shared" si="4"/>
        <v>Defender</v>
      </c>
      <c r="C271" s="7">
        <v>45300</v>
      </c>
      <c r="D271" s="14">
        <v>7493</v>
      </c>
      <c r="E271" s="14">
        <v>10</v>
      </c>
      <c r="F271" s="14">
        <v>17</v>
      </c>
      <c r="G271" s="14">
        <v>27</v>
      </c>
      <c r="H271" s="14">
        <v>76.45</v>
      </c>
      <c r="I271" s="14">
        <f>'PIVOT TABLES'!$B$26</f>
        <v>60.283999999999999</v>
      </c>
      <c r="J271" s="14">
        <f>'PIVOT TABLES'!$B$27-'PIVOT TABLES'!$B$26</f>
        <v>30.142000000000003</v>
      </c>
      <c r="K271" s="14">
        <f>'PIVOT TABLES'!$B$28-'PIVOT TABLES'!$B$27</f>
        <v>30.141999999999996</v>
      </c>
      <c r="L271" s="14">
        <f>200-SUM(Table3[[#This Row],[D - LIGHT]:[D - VIGOROUS]])</f>
        <v>79.432000000000002</v>
      </c>
      <c r="M271" s="14">
        <f>'PIVOT TABLES'!$I$26</f>
        <v>65.603999999999999</v>
      </c>
      <c r="N271" s="14">
        <f>'PIVOT TABLES'!$I$27-'PIVOT TABLES'!$I$26</f>
        <v>32.802000000000007</v>
      </c>
      <c r="O271" s="14">
        <f>'PIVOT TABLES'!$I$28-'PIVOT TABLES'!$I$27</f>
        <v>32.801999999999992</v>
      </c>
      <c r="P271" s="14">
        <f>200-SUM(Table3[[#This Row],[M - LIGHT]:[M - VIGOROUS]])</f>
        <v>68.792000000000002</v>
      </c>
      <c r="Q271" s="14">
        <f>'PIVOT TABLES'!$P$26</f>
        <v>62.64</v>
      </c>
      <c r="R271" s="14">
        <f>'PIVOT TABLES'!$P$27-'PIVOT TABLES'!$P$26</f>
        <v>31.320000000000007</v>
      </c>
      <c r="S271" s="14">
        <f>'PIVOT TABLES'!$P$28-'PIVOT TABLES'!$P$27</f>
        <v>31.319999999999993</v>
      </c>
      <c r="T271" s="14">
        <f>200-SUM(Table3[[#This Row],[W - LIGHT]:[W - VIGOROUS]])</f>
        <v>74.72</v>
      </c>
      <c r="U271" s="14">
        <f>'PIVOT TABLES'!$W$26</f>
        <v>55.895999999999994</v>
      </c>
      <c r="V271" s="14">
        <f>'PIVOT TABLES'!$W$27-'PIVOT TABLES'!$W$26</f>
        <v>27.948</v>
      </c>
      <c r="W271" s="14">
        <f>'PIVOT TABLES'!$W$28-'PIVOT TABLES'!$W$27</f>
        <v>27.947999999999993</v>
      </c>
      <c r="X271" s="14">
        <f>200-SUM(Table3[[#This Row],[S - LIGHT]:[S - VIGOROUS]])</f>
        <v>88.208000000000013</v>
      </c>
    </row>
    <row r="272" spans="1:24" x14ac:dyDescent="0.25">
      <c r="A272" s="17" t="s">
        <v>59</v>
      </c>
      <c r="B272" s="13" t="str">
        <f t="shared" si="4"/>
        <v>Striker</v>
      </c>
      <c r="C272" s="7">
        <v>45300</v>
      </c>
      <c r="D272" s="14">
        <v>6633</v>
      </c>
      <c r="E272" s="14">
        <v>0</v>
      </c>
      <c r="F272" s="14">
        <v>13</v>
      </c>
      <c r="G272" s="14">
        <v>17</v>
      </c>
      <c r="H272" s="14">
        <v>67.19</v>
      </c>
      <c r="I272" s="14">
        <f>'PIVOT TABLES'!$B$26</f>
        <v>60.283999999999999</v>
      </c>
      <c r="J272" s="14">
        <f>'PIVOT TABLES'!$B$27-'PIVOT TABLES'!$B$26</f>
        <v>30.142000000000003</v>
      </c>
      <c r="K272" s="14">
        <f>'PIVOT TABLES'!$B$28-'PIVOT TABLES'!$B$27</f>
        <v>30.141999999999996</v>
      </c>
      <c r="L272" s="14">
        <f>200-SUM(Table3[[#This Row],[D - LIGHT]:[D - VIGOROUS]])</f>
        <v>79.432000000000002</v>
      </c>
      <c r="M272" s="14">
        <f>'PIVOT TABLES'!$I$26</f>
        <v>65.603999999999999</v>
      </c>
      <c r="N272" s="14">
        <f>'PIVOT TABLES'!$I$27-'PIVOT TABLES'!$I$26</f>
        <v>32.802000000000007</v>
      </c>
      <c r="O272" s="14">
        <f>'PIVOT TABLES'!$I$28-'PIVOT TABLES'!$I$27</f>
        <v>32.801999999999992</v>
      </c>
      <c r="P272" s="14">
        <f>200-SUM(Table3[[#This Row],[M - LIGHT]:[M - VIGOROUS]])</f>
        <v>68.792000000000002</v>
      </c>
      <c r="Q272" s="14">
        <f>'PIVOT TABLES'!$P$26</f>
        <v>62.64</v>
      </c>
      <c r="R272" s="14">
        <f>'PIVOT TABLES'!$P$27-'PIVOT TABLES'!$P$26</f>
        <v>31.320000000000007</v>
      </c>
      <c r="S272" s="14">
        <f>'PIVOT TABLES'!$P$28-'PIVOT TABLES'!$P$27</f>
        <v>31.319999999999993</v>
      </c>
      <c r="T272" s="14">
        <f>200-SUM(Table3[[#This Row],[W - LIGHT]:[W - VIGOROUS]])</f>
        <v>74.72</v>
      </c>
      <c r="U272" s="14">
        <f>'PIVOT TABLES'!$W$26</f>
        <v>55.895999999999994</v>
      </c>
      <c r="V272" s="14">
        <f>'PIVOT TABLES'!$W$27-'PIVOT TABLES'!$W$26</f>
        <v>27.948</v>
      </c>
      <c r="W272" s="14">
        <f>'PIVOT TABLES'!$W$28-'PIVOT TABLES'!$W$27</f>
        <v>27.947999999999993</v>
      </c>
      <c r="X272" s="14">
        <f>200-SUM(Table3[[#This Row],[S - LIGHT]:[S - VIGOROUS]])</f>
        <v>88.208000000000013</v>
      </c>
    </row>
    <row r="273" spans="1:24" x14ac:dyDescent="0.25">
      <c r="A273" s="17" t="s">
        <v>4</v>
      </c>
      <c r="B273" s="13" t="str">
        <f t="shared" si="4"/>
        <v>Midfielder</v>
      </c>
      <c r="C273" s="7">
        <v>45300</v>
      </c>
      <c r="D273" s="14">
        <v>6375</v>
      </c>
      <c r="E273" s="14">
        <v>0</v>
      </c>
      <c r="F273" s="14">
        <v>13</v>
      </c>
      <c r="G273" s="14">
        <v>11</v>
      </c>
      <c r="H273" s="14">
        <v>64.489999999999995</v>
      </c>
      <c r="I273" s="14">
        <f>'PIVOT TABLES'!$B$26</f>
        <v>60.283999999999999</v>
      </c>
      <c r="J273" s="14">
        <f>'PIVOT TABLES'!$B$27-'PIVOT TABLES'!$B$26</f>
        <v>30.142000000000003</v>
      </c>
      <c r="K273" s="14">
        <f>'PIVOT TABLES'!$B$28-'PIVOT TABLES'!$B$27</f>
        <v>30.141999999999996</v>
      </c>
      <c r="L273" s="14">
        <f>200-SUM(Table3[[#This Row],[D - LIGHT]:[D - VIGOROUS]])</f>
        <v>79.432000000000002</v>
      </c>
      <c r="M273" s="14">
        <f>'PIVOT TABLES'!$I$26</f>
        <v>65.603999999999999</v>
      </c>
      <c r="N273" s="14">
        <f>'PIVOT TABLES'!$I$27-'PIVOT TABLES'!$I$26</f>
        <v>32.802000000000007</v>
      </c>
      <c r="O273" s="14">
        <f>'PIVOT TABLES'!$I$28-'PIVOT TABLES'!$I$27</f>
        <v>32.801999999999992</v>
      </c>
      <c r="P273" s="14">
        <f>200-SUM(Table3[[#This Row],[M - LIGHT]:[M - VIGOROUS]])</f>
        <v>68.792000000000002</v>
      </c>
      <c r="Q273" s="14">
        <f>'PIVOT TABLES'!$P$26</f>
        <v>62.64</v>
      </c>
      <c r="R273" s="14">
        <f>'PIVOT TABLES'!$P$27-'PIVOT TABLES'!$P$26</f>
        <v>31.320000000000007</v>
      </c>
      <c r="S273" s="14">
        <f>'PIVOT TABLES'!$P$28-'PIVOT TABLES'!$P$27</f>
        <v>31.319999999999993</v>
      </c>
      <c r="T273" s="14">
        <f>200-SUM(Table3[[#This Row],[W - LIGHT]:[W - VIGOROUS]])</f>
        <v>74.72</v>
      </c>
      <c r="U273" s="14">
        <f>'PIVOT TABLES'!$W$26</f>
        <v>55.895999999999994</v>
      </c>
      <c r="V273" s="14">
        <f>'PIVOT TABLES'!$W$27-'PIVOT TABLES'!$W$26</f>
        <v>27.948</v>
      </c>
      <c r="W273" s="14">
        <f>'PIVOT TABLES'!$W$28-'PIVOT TABLES'!$W$27</f>
        <v>27.947999999999993</v>
      </c>
      <c r="X273" s="14">
        <f>200-SUM(Table3[[#This Row],[S - LIGHT]:[S - VIGOROUS]])</f>
        <v>88.208000000000013</v>
      </c>
    </row>
    <row r="274" spans="1:24" x14ac:dyDescent="0.25">
      <c r="A274" s="17" t="s">
        <v>60</v>
      </c>
      <c r="B274" s="13" t="str">
        <f t="shared" si="4"/>
        <v>Winger</v>
      </c>
      <c r="C274" s="7">
        <v>45300</v>
      </c>
      <c r="D274" s="14">
        <v>7868</v>
      </c>
      <c r="E274" s="14">
        <v>0</v>
      </c>
      <c r="F274" s="14">
        <v>21</v>
      </c>
      <c r="G274" s="14">
        <v>21</v>
      </c>
      <c r="H274" s="14">
        <v>79.94</v>
      </c>
      <c r="I274" s="14">
        <f>'PIVOT TABLES'!$B$26</f>
        <v>60.283999999999999</v>
      </c>
      <c r="J274" s="14">
        <f>'PIVOT TABLES'!$B$27-'PIVOT TABLES'!$B$26</f>
        <v>30.142000000000003</v>
      </c>
      <c r="K274" s="14">
        <f>'PIVOT TABLES'!$B$28-'PIVOT TABLES'!$B$27</f>
        <v>30.141999999999996</v>
      </c>
      <c r="L274" s="14">
        <f>200-SUM(Table3[[#This Row],[D - LIGHT]:[D - VIGOROUS]])</f>
        <v>79.432000000000002</v>
      </c>
      <c r="M274" s="14">
        <f>'PIVOT TABLES'!$I$26</f>
        <v>65.603999999999999</v>
      </c>
      <c r="N274" s="14">
        <f>'PIVOT TABLES'!$I$27-'PIVOT TABLES'!$I$26</f>
        <v>32.802000000000007</v>
      </c>
      <c r="O274" s="14">
        <f>'PIVOT TABLES'!$I$28-'PIVOT TABLES'!$I$27</f>
        <v>32.801999999999992</v>
      </c>
      <c r="P274" s="14">
        <f>200-SUM(Table3[[#This Row],[M - LIGHT]:[M - VIGOROUS]])</f>
        <v>68.792000000000002</v>
      </c>
      <c r="Q274" s="14">
        <f>'PIVOT TABLES'!$P$26</f>
        <v>62.64</v>
      </c>
      <c r="R274" s="14">
        <f>'PIVOT TABLES'!$P$27-'PIVOT TABLES'!$P$26</f>
        <v>31.320000000000007</v>
      </c>
      <c r="S274" s="14">
        <f>'PIVOT TABLES'!$P$28-'PIVOT TABLES'!$P$27</f>
        <v>31.319999999999993</v>
      </c>
      <c r="T274" s="14">
        <f>200-SUM(Table3[[#This Row],[W - LIGHT]:[W - VIGOROUS]])</f>
        <v>74.72</v>
      </c>
      <c r="U274" s="14">
        <f>'PIVOT TABLES'!$W$26</f>
        <v>55.895999999999994</v>
      </c>
      <c r="V274" s="14">
        <f>'PIVOT TABLES'!$W$27-'PIVOT TABLES'!$W$26</f>
        <v>27.948</v>
      </c>
      <c r="W274" s="14">
        <f>'PIVOT TABLES'!$W$28-'PIVOT TABLES'!$W$27</f>
        <v>27.947999999999993</v>
      </c>
      <c r="X274" s="14">
        <f>200-SUM(Table3[[#This Row],[S - LIGHT]:[S - VIGOROUS]])</f>
        <v>88.208000000000013</v>
      </c>
    </row>
    <row r="275" spans="1:24" x14ac:dyDescent="0.25">
      <c r="A275" s="17" t="s">
        <v>71</v>
      </c>
      <c r="B275" s="13" t="str">
        <f t="shared" si="4"/>
        <v>Midfielder</v>
      </c>
      <c r="C275" s="7">
        <v>45300</v>
      </c>
      <c r="D275" s="14">
        <v>7624</v>
      </c>
      <c r="E275" s="14">
        <v>0</v>
      </c>
      <c r="F275" s="14">
        <v>48</v>
      </c>
      <c r="G275" s="14">
        <v>18</v>
      </c>
      <c r="H275" s="14">
        <v>78.52</v>
      </c>
      <c r="I275" s="14">
        <f>'PIVOT TABLES'!$B$26</f>
        <v>60.283999999999999</v>
      </c>
      <c r="J275" s="14">
        <f>'PIVOT TABLES'!$B$27-'PIVOT TABLES'!$B$26</f>
        <v>30.142000000000003</v>
      </c>
      <c r="K275" s="14">
        <f>'PIVOT TABLES'!$B$28-'PIVOT TABLES'!$B$27</f>
        <v>30.141999999999996</v>
      </c>
      <c r="L275" s="14">
        <f>200-SUM(Table3[[#This Row],[D - LIGHT]:[D - VIGOROUS]])</f>
        <v>79.432000000000002</v>
      </c>
      <c r="M275" s="14">
        <f>'PIVOT TABLES'!$I$26</f>
        <v>65.603999999999999</v>
      </c>
      <c r="N275" s="14">
        <f>'PIVOT TABLES'!$I$27-'PIVOT TABLES'!$I$26</f>
        <v>32.802000000000007</v>
      </c>
      <c r="O275" s="14">
        <f>'PIVOT TABLES'!$I$28-'PIVOT TABLES'!$I$27</f>
        <v>32.801999999999992</v>
      </c>
      <c r="P275" s="14">
        <f>200-SUM(Table3[[#This Row],[M - LIGHT]:[M - VIGOROUS]])</f>
        <v>68.792000000000002</v>
      </c>
      <c r="Q275" s="14">
        <f>'PIVOT TABLES'!$P$26</f>
        <v>62.64</v>
      </c>
      <c r="R275" s="14">
        <f>'PIVOT TABLES'!$P$27-'PIVOT TABLES'!$P$26</f>
        <v>31.320000000000007</v>
      </c>
      <c r="S275" s="14">
        <f>'PIVOT TABLES'!$P$28-'PIVOT TABLES'!$P$27</f>
        <v>31.319999999999993</v>
      </c>
      <c r="T275" s="14">
        <f>200-SUM(Table3[[#This Row],[W - LIGHT]:[W - VIGOROUS]])</f>
        <v>74.72</v>
      </c>
      <c r="U275" s="14">
        <f>'PIVOT TABLES'!$W$26</f>
        <v>55.895999999999994</v>
      </c>
      <c r="V275" s="14">
        <f>'PIVOT TABLES'!$W$27-'PIVOT TABLES'!$W$26</f>
        <v>27.948</v>
      </c>
      <c r="W275" s="14">
        <f>'PIVOT TABLES'!$W$28-'PIVOT TABLES'!$W$27</f>
        <v>27.947999999999993</v>
      </c>
      <c r="X275" s="14">
        <f>200-SUM(Table3[[#This Row],[S - LIGHT]:[S - VIGOROUS]])</f>
        <v>88.208000000000013</v>
      </c>
    </row>
    <row r="276" spans="1:24" x14ac:dyDescent="0.25">
      <c r="A276" s="17" t="s">
        <v>6</v>
      </c>
      <c r="B276" s="13" t="str">
        <f t="shared" si="4"/>
        <v>Midfielder</v>
      </c>
      <c r="C276" s="7">
        <v>45300</v>
      </c>
      <c r="D276" s="14">
        <v>7731</v>
      </c>
      <c r="E276" s="14">
        <v>4</v>
      </c>
      <c r="F276" s="14">
        <v>31</v>
      </c>
      <c r="G276" s="14">
        <v>15</v>
      </c>
      <c r="H276" s="14">
        <v>78.97</v>
      </c>
      <c r="I276" s="14">
        <f>'PIVOT TABLES'!$B$26</f>
        <v>60.283999999999999</v>
      </c>
      <c r="J276" s="14">
        <f>'PIVOT TABLES'!$B$27-'PIVOT TABLES'!$B$26</f>
        <v>30.142000000000003</v>
      </c>
      <c r="K276" s="14">
        <f>'PIVOT TABLES'!$B$28-'PIVOT TABLES'!$B$27</f>
        <v>30.141999999999996</v>
      </c>
      <c r="L276" s="14">
        <f>200-SUM(Table3[[#This Row],[D - LIGHT]:[D - VIGOROUS]])</f>
        <v>79.432000000000002</v>
      </c>
      <c r="M276" s="14">
        <f>'PIVOT TABLES'!$I$26</f>
        <v>65.603999999999999</v>
      </c>
      <c r="N276" s="14">
        <f>'PIVOT TABLES'!$I$27-'PIVOT TABLES'!$I$26</f>
        <v>32.802000000000007</v>
      </c>
      <c r="O276" s="14">
        <f>'PIVOT TABLES'!$I$28-'PIVOT TABLES'!$I$27</f>
        <v>32.801999999999992</v>
      </c>
      <c r="P276" s="14">
        <f>200-SUM(Table3[[#This Row],[M - LIGHT]:[M - VIGOROUS]])</f>
        <v>68.792000000000002</v>
      </c>
      <c r="Q276" s="14">
        <f>'PIVOT TABLES'!$P$26</f>
        <v>62.64</v>
      </c>
      <c r="R276" s="14">
        <f>'PIVOT TABLES'!$P$27-'PIVOT TABLES'!$P$26</f>
        <v>31.320000000000007</v>
      </c>
      <c r="S276" s="14">
        <f>'PIVOT TABLES'!$P$28-'PIVOT TABLES'!$P$27</f>
        <v>31.319999999999993</v>
      </c>
      <c r="T276" s="14">
        <f>200-SUM(Table3[[#This Row],[W - LIGHT]:[W - VIGOROUS]])</f>
        <v>74.72</v>
      </c>
      <c r="U276" s="14">
        <f>'PIVOT TABLES'!$W$26</f>
        <v>55.895999999999994</v>
      </c>
      <c r="V276" s="14">
        <f>'PIVOT TABLES'!$W$27-'PIVOT TABLES'!$W$26</f>
        <v>27.948</v>
      </c>
      <c r="W276" s="14">
        <f>'PIVOT TABLES'!$W$28-'PIVOT TABLES'!$W$27</f>
        <v>27.947999999999993</v>
      </c>
      <c r="X276" s="14">
        <f>200-SUM(Table3[[#This Row],[S - LIGHT]:[S - VIGOROUS]])</f>
        <v>88.208000000000013</v>
      </c>
    </row>
    <row r="277" spans="1:24" x14ac:dyDescent="0.25">
      <c r="A277" s="17" t="s">
        <v>62</v>
      </c>
      <c r="B277" s="13" t="str">
        <f t="shared" si="4"/>
        <v>Midfielder</v>
      </c>
      <c r="C277" s="7">
        <v>45300</v>
      </c>
      <c r="D277" s="14">
        <v>6739</v>
      </c>
      <c r="E277" s="14">
        <v>4</v>
      </c>
      <c r="F277" s="14">
        <v>21</v>
      </c>
      <c r="G277" s="14">
        <v>13</v>
      </c>
      <c r="H277" s="14">
        <v>68.61</v>
      </c>
      <c r="I277" s="14">
        <f>'PIVOT TABLES'!$B$26</f>
        <v>60.283999999999999</v>
      </c>
      <c r="J277" s="14">
        <f>'PIVOT TABLES'!$B$27-'PIVOT TABLES'!$B$26</f>
        <v>30.142000000000003</v>
      </c>
      <c r="K277" s="14">
        <f>'PIVOT TABLES'!$B$28-'PIVOT TABLES'!$B$27</f>
        <v>30.141999999999996</v>
      </c>
      <c r="L277" s="14">
        <f>200-SUM(Table3[[#This Row],[D - LIGHT]:[D - VIGOROUS]])</f>
        <v>79.432000000000002</v>
      </c>
      <c r="M277" s="14">
        <f>'PIVOT TABLES'!$I$26</f>
        <v>65.603999999999999</v>
      </c>
      <c r="N277" s="14">
        <f>'PIVOT TABLES'!$I$27-'PIVOT TABLES'!$I$26</f>
        <v>32.802000000000007</v>
      </c>
      <c r="O277" s="14">
        <f>'PIVOT TABLES'!$I$28-'PIVOT TABLES'!$I$27</f>
        <v>32.801999999999992</v>
      </c>
      <c r="P277" s="14">
        <f>200-SUM(Table3[[#This Row],[M - LIGHT]:[M - VIGOROUS]])</f>
        <v>68.792000000000002</v>
      </c>
      <c r="Q277" s="14">
        <f>'PIVOT TABLES'!$P$26</f>
        <v>62.64</v>
      </c>
      <c r="R277" s="14">
        <f>'PIVOT TABLES'!$P$27-'PIVOT TABLES'!$P$26</f>
        <v>31.320000000000007</v>
      </c>
      <c r="S277" s="14">
        <f>'PIVOT TABLES'!$P$28-'PIVOT TABLES'!$P$27</f>
        <v>31.319999999999993</v>
      </c>
      <c r="T277" s="14">
        <f>200-SUM(Table3[[#This Row],[W - LIGHT]:[W - VIGOROUS]])</f>
        <v>74.72</v>
      </c>
      <c r="U277" s="14">
        <f>'PIVOT TABLES'!$W$26</f>
        <v>55.895999999999994</v>
      </c>
      <c r="V277" s="14">
        <f>'PIVOT TABLES'!$W$27-'PIVOT TABLES'!$W$26</f>
        <v>27.948</v>
      </c>
      <c r="W277" s="14">
        <f>'PIVOT TABLES'!$W$28-'PIVOT TABLES'!$W$27</f>
        <v>27.947999999999993</v>
      </c>
      <c r="X277" s="14">
        <f>200-SUM(Table3[[#This Row],[S - LIGHT]:[S - VIGOROUS]])</f>
        <v>88.208000000000013</v>
      </c>
    </row>
    <row r="278" spans="1:24" x14ac:dyDescent="0.25">
      <c r="A278" s="17" t="s">
        <v>63</v>
      </c>
      <c r="B278" s="13" t="str">
        <f t="shared" si="4"/>
        <v>Winger</v>
      </c>
      <c r="C278" s="7">
        <v>45300</v>
      </c>
      <c r="D278" s="14">
        <v>7557</v>
      </c>
      <c r="E278" s="14">
        <v>12</v>
      </c>
      <c r="F278" s="14">
        <v>19</v>
      </c>
      <c r="G278" s="14">
        <v>12</v>
      </c>
      <c r="H278" s="14">
        <v>76.930000000000007</v>
      </c>
      <c r="I278" s="14">
        <f>'PIVOT TABLES'!$B$26</f>
        <v>60.283999999999999</v>
      </c>
      <c r="J278" s="14">
        <f>'PIVOT TABLES'!$B$27-'PIVOT TABLES'!$B$26</f>
        <v>30.142000000000003</v>
      </c>
      <c r="K278" s="14">
        <f>'PIVOT TABLES'!$B$28-'PIVOT TABLES'!$B$27</f>
        <v>30.141999999999996</v>
      </c>
      <c r="L278" s="14">
        <f>200-SUM(Table3[[#This Row],[D - LIGHT]:[D - VIGOROUS]])</f>
        <v>79.432000000000002</v>
      </c>
      <c r="M278" s="14">
        <f>'PIVOT TABLES'!$I$26</f>
        <v>65.603999999999999</v>
      </c>
      <c r="N278" s="14">
        <f>'PIVOT TABLES'!$I$27-'PIVOT TABLES'!$I$26</f>
        <v>32.802000000000007</v>
      </c>
      <c r="O278" s="14">
        <f>'PIVOT TABLES'!$I$28-'PIVOT TABLES'!$I$27</f>
        <v>32.801999999999992</v>
      </c>
      <c r="P278" s="14">
        <f>200-SUM(Table3[[#This Row],[M - LIGHT]:[M - VIGOROUS]])</f>
        <v>68.792000000000002</v>
      </c>
      <c r="Q278" s="14">
        <f>'PIVOT TABLES'!$P$26</f>
        <v>62.64</v>
      </c>
      <c r="R278" s="14">
        <f>'PIVOT TABLES'!$P$27-'PIVOT TABLES'!$P$26</f>
        <v>31.320000000000007</v>
      </c>
      <c r="S278" s="14">
        <f>'PIVOT TABLES'!$P$28-'PIVOT TABLES'!$P$27</f>
        <v>31.319999999999993</v>
      </c>
      <c r="T278" s="14">
        <f>200-SUM(Table3[[#This Row],[W - LIGHT]:[W - VIGOROUS]])</f>
        <v>74.72</v>
      </c>
      <c r="U278" s="14">
        <f>'PIVOT TABLES'!$W$26</f>
        <v>55.895999999999994</v>
      </c>
      <c r="V278" s="14">
        <f>'PIVOT TABLES'!$W$27-'PIVOT TABLES'!$W$26</f>
        <v>27.948</v>
      </c>
      <c r="W278" s="14">
        <f>'PIVOT TABLES'!$W$28-'PIVOT TABLES'!$W$27</f>
        <v>27.947999999999993</v>
      </c>
      <c r="X278" s="14">
        <f>200-SUM(Table3[[#This Row],[S - LIGHT]:[S - VIGOROUS]])</f>
        <v>88.208000000000013</v>
      </c>
    </row>
    <row r="279" spans="1:24" x14ac:dyDescent="0.25">
      <c r="A279" s="17" t="s">
        <v>64</v>
      </c>
      <c r="B279" s="13" t="str">
        <f t="shared" si="4"/>
        <v>Midfielder</v>
      </c>
      <c r="C279" s="7">
        <v>45300</v>
      </c>
      <c r="D279" s="14">
        <v>7935</v>
      </c>
      <c r="E279" s="14">
        <v>9</v>
      </c>
      <c r="F279" s="14">
        <v>36</v>
      </c>
      <c r="G279" s="14">
        <v>16</v>
      </c>
      <c r="H279" s="14">
        <v>81.38</v>
      </c>
      <c r="I279" s="14">
        <f>'PIVOT TABLES'!$B$26</f>
        <v>60.283999999999999</v>
      </c>
      <c r="J279" s="14">
        <f>'PIVOT TABLES'!$B$27-'PIVOT TABLES'!$B$26</f>
        <v>30.142000000000003</v>
      </c>
      <c r="K279" s="14">
        <f>'PIVOT TABLES'!$B$28-'PIVOT TABLES'!$B$27</f>
        <v>30.141999999999996</v>
      </c>
      <c r="L279" s="14">
        <f>200-SUM(Table3[[#This Row],[D - LIGHT]:[D - VIGOROUS]])</f>
        <v>79.432000000000002</v>
      </c>
      <c r="M279" s="14">
        <f>'PIVOT TABLES'!$I$26</f>
        <v>65.603999999999999</v>
      </c>
      <c r="N279" s="14">
        <f>'PIVOT TABLES'!$I$27-'PIVOT TABLES'!$I$26</f>
        <v>32.802000000000007</v>
      </c>
      <c r="O279" s="14">
        <f>'PIVOT TABLES'!$I$28-'PIVOT TABLES'!$I$27</f>
        <v>32.801999999999992</v>
      </c>
      <c r="P279" s="14">
        <f>200-SUM(Table3[[#This Row],[M - LIGHT]:[M - VIGOROUS]])</f>
        <v>68.792000000000002</v>
      </c>
      <c r="Q279" s="14">
        <f>'PIVOT TABLES'!$P$26</f>
        <v>62.64</v>
      </c>
      <c r="R279" s="14">
        <f>'PIVOT TABLES'!$P$27-'PIVOT TABLES'!$P$26</f>
        <v>31.320000000000007</v>
      </c>
      <c r="S279" s="14">
        <f>'PIVOT TABLES'!$P$28-'PIVOT TABLES'!$P$27</f>
        <v>31.319999999999993</v>
      </c>
      <c r="T279" s="14">
        <f>200-SUM(Table3[[#This Row],[W - LIGHT]:[W - VIGOROUS]])</f>
        <v>74.72</v>
      </c>
      <c r="U279" s="14">
        <f>'PIVOT TABLES'!$W$26</f>
        <v>55.895999999999994</v>
      </c>
      <c r="V279" s="14">
        <f>'PIVOT TABLES'!$W$27-'PIVOT TABLES'!$W$26</f>
        <v>27.948</v>
      </c>
      <c r="W279" s="14">
        <f>'PIVOT TABLES'!$W$28-'PIVOT TABLES'!$W$27</f>
        <v>27.947999999999993</v>
      </c>
      <c r="X279" s="14">
        <f>200-SUM(Table3[[#This Row],[S - LIGHT]:[S - VIGOROUS]])</f>
        <v>88.208000000000013</v>
      </c>
    </row>
    <row r="280" spans="1:24" x14ac:dyDescent="0.25">
      <c r="A280" s="17" t="s">
        <v>77</v>
      </c>
      <c r="B280" s="13" t="str">
        <f t="shared" si="4"/>
        <v>Defender</v>
      </c>
      <c r="C280" s="7">
        <v>45300</v>
      </c>
      <c r="D280" s="14">
        <v>6924</v>
      </c>
      <c r="E280" s="14">
        <v>11</v>
      </c>
      <c r="F280" s="14">
        <v>20</v>
      </c>
      <c r="G280" s="14">
        <v>9</v>
      </c>
      <c r="H280" s="14">
        <v>70.55</v>
      </c>
      <c r="I280" s="14">
        <f>'PIVOT TABLES'!$B$26</f>
        <v>60.283999999999999</v>
      </c>
      <c r="J280" s="14">
        <f>'PIVOT TABLES'!$B$27-'PIVOT TABLES'!$B$26</f>
        <v>30.142000000000003</v>
      </c>
      <c r="K280" s="14">
        <f>'PIVOT TABLES'!$B$28-'PIVOT TABLES'!$B$27</f>
        <v>30.141999999999996</v>
      </c>
      <c r="L280" s="14">
        <f>200-SUM(Table3[[#This Row],[D - LIGHT]:[D - VIGOROUS]])</f>
        <v>79.432000000000002</v>
      </c>
      <c r="M280" s="14">
        <f>'PIVOT TABLES'!$I$26</f>
        <v>65.603999999999999</v>
      </c>
      <c r="N280" s="14">
        <f>'PIVOT TABLES'!$I$27-'PIVOT TABLES'!$I$26</f>
        <v>32.802000000000007</v>
      </c>
      <c r="O280" s="14">
        <f>'PIVOT TABLES'!$I$28-'PIVOT TABLES'!$I$27</f>
        <v>32.801999999999992</v>
      </c>
      <c r="P280" s="14">
        <f>200-SUM(Table3[[#This Row],[M - LIGHT]:[M - VIGOROUS]])</f>
        <v>68.792000000000002</v>
      </c>
      <c r="Q280" s="14">
        <f>'PIVOT TABLES'!$P$26</f>
        <v>62.64</v>
      </c>
      <c r="R280" s="14">
        <f>'PIVOT TABLES'!$P$27-'PIVOT TABLES'!$P$26</f>
        <v>31.320000000000007</v>
      </c>
      <c r="S280" s="14">
        <f>'PIVOT TABLES'!$P$28-'PIVOT TABLES'!$P$27</f>
        <v>31.319999999999993</v>
      </c>
      <c r="T280" s="14">
        <f>200-SUM(Table3[[#This Row],[W - LIGHT]:[W - VIGOROUS]])</f>
        <v>74.72</v>
      </c>
      <c r="U280" s="14">
        <f>'PIVOT TABLES'!$W$26</f>
        <v>55.895999999999994</v>
      </c>
      <c r="V280" s="14">
        <f>'PIVOT TABLES'!$W$27-'PIVOT TABLES'!$W$26</f>
        <v>27.948</v>
      </c>
      <c r="W280" s="14">
        <f>'PIVOT TABLES'!$W$28-'PIVOT TABLES'!$W$27</f>
        <v>27.947999999999993</v>
      </c>
      <c r="X280" s="14">
        <f>200-SUM(Table3[[#This Row],[S - LIGHT]:[S - VIGOROUS]])</f>
        <v>88.208000000000013</v>
      </c>
    </row>
    <row r="281" spans="1:24" x14ac:dyDescent="0.25">
      <c r="A281" s="17" t="s">
        <v>66</v>
      </c>
      <c r="B281" s="13" t="str">
        <f t="shared" si="4"/>
        <v>Striker</v>
      </c>
      <c r="C281" s="7">
        <v>45300</v>
      </c>
      <c r="D281" s="14">
        <v>7109</v>
      </c>
      <c r="E281" s="14">
        <v>0</v>
      </c>
      <c r="F281" s="14">
        <v>23</v>
      </c>
      <c r="G281" s="14">
        <v>15</v>
      </c>
      <c r="H281" s="14">
        <v>72.31</v>
      </c>
      <c r="I281" s="14">
        <f>'PIVOT TABLES'!$B$26</f>
        <v>60.283999999999999</v>
      </c>
      <c r="J281" s="14">
        <f>'PIVOT TABLES'!$B$27-'PIVOT TABLES'!$B$26</f>
        <v>30.142000000000003</v>
      </c>
      <c r="K281" s="14">
        <f>'PIVOT TABLES'!$B$28-'PIVOT TABLES'!$B$27</f>
        <v>30.141999999999996</v>
      </c>
      <c r="L281" s="14">
        <f>200-SUM(Table3[[#This Row],[D - LIGHT]:[D - VIGOROUS]])</f>
        <v>79.432000000000002</v>
      </c>
      <c r="M281" s="14">
        <f>'PIVOT TABLES'!$I$26</f>
        <v>65.603999999999999</v>
      </c>
      <c r="N281" s="14">
        <f>'PIVOT TABLES'!$I$27-'PIVOT TABLES'!$I$26</f>
        <v>32.802000000000007</v>
      </c>
      <c r="O281" s="14">
        <f>'PIVOT TABLES'!$I$28-'PIVOT TABLES'!$I$27</f>
        <v>32.801999999999992</v>
      </c>
      <c r="P281" s="14">
        <f>200-SUM(Table3[[#This Row],[M - LIGHT]:[M - VIGOROUS]])</f>
        <v>68.792000000000002</v>
      </c>
      <c r="Q281" s="14">
        <f>'PIVOT TABLES'!$P$26</f>
        <v>62.64</v>
      </c>
      <c r="R281" s="14">
        <f>'PIVOT TABLES'!$P$27-'PIVOT TABLES'!$P$26</f>
        <v>31.320000000000007</v>
      </c>
      <c r="S281" s="14">
        <f>'PIVOT TABLES'!$P$28-'PIVOT TABLES'!$P$27</f>
        <v>31.319999999999993</v>
      </c>
      <c r="T281" s="14">
        <f>200-SUM(Table3[[#This Row],[W - LIGHT]:[W - VIGOROUS]])</f>
        <v>74.72</v>
      </c>
      <c r="U281" s="14">
        <f>'PIVOT TABLES'!$W$26</f>
        <v>55.895999999999994</v>
      </c>
      <c r="V281" s="14">
        <f>'PIVOT TABLES'!$W$27-'PIVOT TABLES'!$W$26</f>
        <v>27.948</v>
      </c>
      <c r="W281" s="14">
        <f>'PIVOT TABLES'!$W$28-'PIVOT TABLES'!$W$27</f>
        <v>27.947999999999993</v>
      </c>
      <c r="X281" s="14">
        <f>200-SUM(Table3[[#This Row],[S - LIGHT]:[S - VIGOROUS]])</f>
        <v>88.208000000000013</v>
      </c>
    </row>
    <row r="282" spans="1:24" x14ac:dyDescent="0.25">
      <c r="A282" s="17" t="s">
        <v>78</v>
      </c>
      <c r="B282" s="13" t="str">
        <f t="shared" si="4"/>
        <v>Defender</v>
      </c>
      <c r="C282" s="7">
        <v>45300</v>
      </c>
      <c r="D282" s="14">
        <v>7436</v>
      </c>
      <c r="E282" s="14">
        <v>0</v>
      </c>
      <c r="F282" s="14">
        <v>26</v>
      </c>
      <c r="G282" s="14">
        <v>16</v>
      </c>
      <c r="H282" s="14">
        <v>75.72</v>
      </c>
      <c r="I282" s="14">
        <f>'PIVOT TABLES'!$B$26</f>
        <v>60.283999999999999</v>
      </c>
      <c r="J282" s="14">
        <f>'PIVOT TABLES'!$B$27-'PIVOT TABLES'!$B$26</f>
        <v>30.142000000000003</v>
      </c>
      <c r="K282" s="14">
        <f>'PIVOT TABLES'!$B$28-'PIVOT TABLES'!$B$27</f>
        <v>30.141999999999996</v>
      </c>
      <c r="L282" s="14">
        <f>200-SUM(Table3[[#This Row],[D - LIGHT]:[D - VIGOROUS]])</f>
        <v>79.432000000000002</v>
      </c>
      <c r="M282" s="14">
        <f>'PIVOT TABLES'!$I$26</f>
        <v>65.603999999999999</v>
      </c>
      <c r="N282" s="14">
        <f>'PIVOT TABLES'!$I$27-'PIVOT TABLES'!$I$26</f>
        <v>32.802000000000007</v>
      </c>
      <c r="O282" s="14">
        <f>'PIVOT TABLES'!$I$28-'PIVOT TABLES'!$I$27</f>
        <v>32.801999999999992</v>
      </c>
      <c r="P282" s="14">
        <f>200-SUM(Table3[[#This Row],[M - LIGHT]:[M - VIGOROUS]])</f>
        <v>68.792000000000002</v>
      </c>
      <c r="Q282" s="14">
        <f>'PIVOT TABLES'!$P$26</f>
        <v>62.64</v>
      </c>
      <c r="R282" s="14">
        <f>'PIVOT TABLES'!$P$27-'PIVOT TABLES'!$P$26</f>
        <v>31.320000000000007</v>
      </c>
      <c r="S282" s="14">
        <f>'PIVOT TABLES'!$P$28-'PIVOT TABLES'!$P$27</f>
        <v>31.319999999999993</v>
      </c>
      <c r="T282" s="14">
        <f>200-SUM(Table3[[#This Row],[W - LIGHT]:[W - VIGOROUS]])</f>
        <v>74.72</v>
      </c>
      <c r="U282" s="14">
        <f>'PIVOT TABLES'!$W$26</f>
        <v>55.895999999999994</v>
      </c>
      <c r="V282" s="14">
        <f>'PIVOT TABLES'!$W$27-'PIVOT TABLES'!$W$26</f>
        <v>27.948</v>
      </c>
      <c r="W282" s="14">
        <f>'PIVOT TABLES'!$W$28-'PIVOT TABLES'!$W$27</f>
        <v>27.947999999999993</v>
      </c>
      <c r="X282" s="14">
        <f>200-SUM(Table3[[#This Row],[S - LIGHT]:[S - VIGOROUS]])</f>
        <v>88.208000000000013</v>
      </c>
    </row>
    <row r="283" spans="1:24" x14ac:dyDescent="0.25">
      <c r="A283" s="17" t="s">
        <v>7</v>
      </c>
      <c r="B283" s="13" t="str">
        <f t="shared" si="4"/>
        <v>Winger</v>
      </c>
      <c r="C283" s="7">
        <v>45300</v>
      </c>
      <c r="D283" s="14">
        <v>7226</v>
      </c>
      <c r="E283" s="14">
        <v>20</v>
      </c>
      <c r="F283" s="14">
        <v>20</v>
      </c>
      <c r="G283" s="14">
        <v>22</v>
      </c>
      <c r="H283" s="14">
        <v>74.099999999999994</v>
      </c>
      <c r="I283" s="14">
        <f>'PIVOT TABLES'!$B$26</f>
        <v>60.283999999999999</v>
      </c>
      <c r="J283" s="14">
        <f>'PIVOT TABLES'!$B$27-'PIVOT TABLES'!$B$26</f>
        <v>30.142000000000003</v>
      </c>
      <c r="K283" s="14">
        <f>'PIVOT TABLES'!$B$28-'PIVOT TABLES'!$B$27</f>
        <v>30.141999999999996</v>
      </c>
      <c r="L283" s="14">
        <f>200-SUM(Table3[[#This Row],[D - LIGHT]:[D - VIGOROUS]])</f>
        <v>79.432000000000002</v>
      </c>
      <c r="M283" s="14">
        <f>'PIVOT TABLES'!$I$26</f>
        <v>65.603999999999999</v>
      </c>
      <c r="N283" s="14">
        <f>'PIVOT TABLES'!$I$27-'PIVOT TABLES'!$I$26</f>
        <v>32.802000000000007</v>
      </c>
      <c r="O283" s="14">
        <f>'PIVOT TABLES'!$I$28-'PIVOT TABLES'!$I$27</f>
        <v>32.801999999999992</v>
      </c>
      <c r="P283" s="14">
        <f>200-SUM(Table3[[#This Row],[M - LIGHT]:[M - VIGOROUS]])</f>
        <v>68.792000000000002</v>
      </c>
      <c r="Q283" s="14">
        <f>'PIVOT TABLES'!$P$26</f>
        <v>62.64</v>
      </c>
      <c r="R283" s="14">
        <f>'PIVOT TABLES'!$P$27-'PIVOT TABLES'!$P$26</f>
        <v>31.320000000000007</v>
      </c>
      <c r="S283" s="14">
        <f>'PIVOT TABLES'!$P$28-'PIVOT TABLES'!$P$27</f>
        <v>31.319999999999993</v>
      </c>
      <c r="T283" s="14">
        <f>200-SUM(Table3[[#This Row],[W - LIGHT]:[W - VIGOROUS]])</f>
        <v>74.72</v>
      </c>
      <c r="U283" s="14">
        <f>'PIVOT TABLES'!$W$26</f>
        <v>55.895999999999994</v>
      </c>
      <c r="V283" s="14">
        <f>'PIVOT TABLES'!$W$27-'PIVOT TABLES'!$W$26</f>
        <v>27.948</v>
      </c>
      <c r="W283" s="14">
        <f>'PIVOT TABLES'!$W$28-'PIVOT TABLES'!$W$27</f>
        <v>27.947999999999993</v>
      </c>
      <c r="X283" s="14">
        <f>200-SUM(Table3[[#This Row],[S - LIGHT]:[S - VIGOROUS]])</f>
        <v>88.208000000000013</v>
      </c>
    </row>
    <row r="284" spans="1:24" x14ac:dyDescent="0.25">
      <c r="A284" s="17" t="s">
        <v>8</v>
      </c>
      <c r="B284" s="13" t="str">
        <f t="shared" si="4"/>
        <v>Striker</v>
      </c>
      <c r="C284" s="7">
        <v>45300</v>
      </c>
      <c r="D284" s="14">
        <v>6602</v>
      </c>
      <c r="E284" s="14">
        <v>21</v>
      </c>
      <c r="F284" s="14">
        <v>18</v>
      </c>
      <c r="G284" s="14">
        <v>17</v>
      </c>
      <c r="H284" s="14">
        <v>67.709999999999994</v>
      </c>
      <c r="I284" s="14">
        <f>'PIVOT TABLES'!$B$26</f>
        <v>60.283999999999999</v>
      </c>
      <c r="J284" s="14">
        <f>'PIVOT TABLES'!$B$27-'PIVOT TABLES'!$B$26</f>
        <v>30.142000000000003</v>
      </c>
      <c r="K284" s="14">
        <f>'PIVOT TABLES'!$B$28-'PIVOT TABLES'!$B$27</f>
        <v>30.141999999999996</v>
      </c>
      <c r="L284" s="14">
        <f>200-SUM(Table3[[#This Row],[D - LIGHT]:[D - VIGOROUS]])</f>
        <v>79.432000000000002</v>
      </c>
      <c r="M284" s="14">
        <f>'PIVOT TABLES'!$I$26</f>
        <v>65.603999999999999</v>
      </c>
      <c r="N284" s="14">
        <f>'PIVOT TABLES'!$I$27-'PIVOT TABLES'!$I$26</f>
        <v>32.802000000000007</v>
      </c>
      <c r="O284" s="14">
        <f>'PIVOT TABLES'!$I$28-'PIVOT TABLES'!$I$27</f>
        <v>32.801999999999992</v>
      </c>
      <c r="P284" s="14">
        <f>200-SUM(Table3[[#This Row],[M - LIGHT]:[M - VIGOROUS]])</f>
        <v>68.792000000000002</v>
      </c>
      <c r="Q284" s="14">
        <f>'PIVOT TABLES'!$P$26</f>
        <v>62.64</v>
      </c>
      <c r="R284" s="14">
        <f>'PIVOT TABLES'!$P$27-'PIVOT TABLES'!$P$26</f>
        <v>31.320000000000007</v>
      </c>
      <c r="S284" s="14">
        <f>'PIVOT TABLES'!$P$28-'PIVOT TABLES'!$P$27</f>
        <v>31.319999999999993</v>
      </c>
      <c r="T284" s="14">
        <f>200-SUM(Table3[[#This Row],[W - LIGHT]:[W - VIGOROUS]])</f>
        <v>74.72</v>
      </c>
      <c r="U284" s="14">
        <f>'PIVOT TABLES'!$W$26</f>
        <v>55.895999999999994</v>
      </c>
      <c r="V284" s="14">
        <f>'PIVOT TABLES'!$W$27-'PIVOT TABLES'!$W$26</f>
        <v>27.948</v>
      </c>
      <c r="W284" s="14">
        <f>'PIVOT TABLES'!$W$28-'PIVOT TABLES'!$W$27</f>
        <v>27.947999999999993</v>
      </c>
      <c r="X284" s="14">
        <f>200-SUM(Table3[[#This Row],[S - LIGHT]:[S - VIGOROUS]])</f>
        <v>88.208000000000013</v>
      </c>
    </row>
    <row r="285" spans="1:24" x14ac:dyDescent="0.25">
      <c r="A285" s="17" t="s">
        <v>67</v>
      </c>
      <c r="B285" s="13" t="str">
        <f t="shared" si="4"/>
        <v>Midfielder</v>
      </c>
      <c r="C285" s="7">
        <v>45300</v>
      </c>
      <c r="D285" s="14">
        <v>7564</v>
      </c>
      <c r="E285" s="14">
        <v>0</v>
      </c>
      <c r="F285" s="14">
        <v>31</v>
      </c>
      <c r="G285" s="14">
        <v>18</v>
      </c>
      <c r="H285" s="14">
        <v>77.239999999999995</v>
      </c>
      <c r="I285" s="14">
        <f>'PIVOT TABLES'!$B$26</f>
        <v>60.283999999999999</v>
      </c>
      <c r="J285" s="14">
        <f>'PIVOT TABLES'!$B$27-'PIVOT TABLES'!$B$26</f>
        <v>30.142000000000003</v>
      </c>
      <c r="K285" s="14">
        <f>'PIVOT TABLES'!$B$28-'PIVOT TABLES'!$B$27</f>
        <v>30.141999999999996</v>
      </c>
      <c r="L285" s="14">
        <f>200-SUM(Table3[[#This Row],[D - LIGHT]:[D - VIGOROUS]])</f>
        <v>79.432000000000002</v>
      </c>
      <c r="M285" s="14">
        <f>'PIVOT TABLES'!$I$26</f>
        <v>65.603999999999999</v>
      </c>
      <c r="N285" s="14">
        <f>'PIVOT TABLES'!$I$27-'PIVOT TABLES'!$I$26</f>
        <v>32.802000000000007</v>
      </c>
      <c r="O285" s="14">
        <f>'PIVOT TABLES'!$I$28-'PIVOT TABLES'!$I$27</f>
        <v>32.801999999999992</v>
      </c>
      <c r="P285" s="14">
        <f>200-SUM(Table3[[#This Row],[M - LIGHT]:[M - VIGOROUS]])</f>
        <v>68.792000000000002</v>
      </c>
      <c r="Q285" s="14">
        <f>'PIVOT TABLES'!$P$26</f>
        <v>62.64</v>
      </c>
      <c r="R285" s="14">
        <f>'PIVOT TABLES'!$P$27-'PIVOT TABLES'!$P$26</f>
        <v>31.320000000000007</v>
      </c>
      <c r="S285" s="14">
        <f>'PIVOT TABLES'!$P$28-'PIVOT TABLES'!$P$27</f>
        <v>31.319999999999993</v>
      </c>
      <c r="T285" s="14">
        <f>200-SUM(Table3[[#This Row],[W - LIGHT]:[W - VIGOROUS]])</f>
        <v>74.72</v>
      </c>
      <c r="U285" s="14">
        <f>'PIVOT TABLES'!$W$26</f>
        <v>55.895999999999994</v>
      </c>
      <c r="V285" s="14">
        <f>'PIVOT TABLES'!$W$27-'PIVOT TABLES'!$W$26</f>
        <v>27.948</v>
      </c>
      <c r="W285" s="14">
        <f>'PIVOT TABLES'!$W$28-'PIVOT TABLES'!$W$27</f>
        <v>27.947999999999993</v>
      </c>
      <c r="X285" s="14">
        <f>200-SUM(Table3[[#This Row],[S - LIGHT]:[S - VIGOROUS]])</f>
        <v>88.208000000000013</v>
      </c>
    </row>
    <row r="286" spans="1:24" x14ac:dyDescent="0.25">
      <c r="A286" s="17" t="s">
        <v>69</v>
      </c>
      <c r="B286" s="13" t="str">
        <f t="shared" si="4"/>
        <v>Midfielder</v>
      </c>
      <c r="C286" s="7">
        <v>45300</v>
      </c>
      <c r="D286" s="14">
        <v>6837</v>
      </c>
      <c r="E286" s="14">
        <v>0</v>
      </c>
      <c r="F286" s="14">
        <v>32</v>
      </c>
      <c r="G286" s="14">
        <v>26</v>
      </c>
      <c r="H286" s="14">
        <v>70.17</v>
      </c>
      <c r="I286" s="14">
        <f>'PIVOT TABLES'!$B$26</f>
        <v>60.283999999999999</v>
      </c>
      <c r="J286" s="14">
        <f>'PIVOT TABLES'!$B$27-'PIVOT TABLES'!$B$26</f>
        <v>30.142000000000003</v>
      </c>
      <c r="K286" s="14">
        <f>'PIVOT TABLES'!$B$28-'PIVOT TABLES'!$B$27</f>
        <v>30.141999999999996</v>
      </c>
      <c r="L286" s="14">
        <f>200-SUM(Table3[[#This Row],[D - LIGHT]:[D - VIGOROUS]])</f>
        <v>79.432000000000002</v>
      </c>
      <c r="M286" s="14">
        <f>'PIVOT TABLES'!$I$26</f>
        <v>65.603999999999999</v>
      </c>
      <c r="N286" s="14">
        <f>'PIVOT TABLES'!$I$27-'PIVOT TABLES'!$I$26</f>
        <v>32.802000000000007</v>
      </c>
      <c r="O286" s="14">
        <f>'PIVOT TABLES'!$I$28-'PIVOT TABLES'!$I$27</f>
        <v>32.801999999999992</v>
      </c>
      <c r="P286" s="14">
        <f>200-SUM(Table3[[#This Row],[M - LIGHT]:[M - VIGOROUS]])</f>
        <v>68.792000000000002</v>
      </c>
      <c r="Q286" s="14">
        <f>'PIVOT TABLES'!$P$26</f>
        <v>62.64</v>
      </c>
      <c r="R286" s="14">
        <f>'PIVOT TABLES'!$P$27-'PIVOT TABLES'!$P$26</f>
        <v>31.320000000000007</v>
      </c>
      <c r="S286" s="14">
        <f>'PIVOT TABLES'!$P$28-'PIVOT TABLES'!$P$27</f>
        <v>31.319999999999993</v>
      </c>
      <c r="T286" s="14">
        <f>200-SUM(Table3[[#This Row],[W - LIGHT]:[W - VIGOROUS]])</f>
        <v>74.72</v>
      </c>
      <c r="U286" s="14">
        <f>'PIVOT TABLES'!$W$26</f>
        <v>55.895999999999994</v>
      </c>
      <c r="V286" s="14">
        <f>'PIVOT TABLES'!$W$27-'PIVOT TABLES'!$W$26</f>
        <v>27.948</v>
      </c>
      <c r="W286" s="14">
        <f>'PIVOT TABLES'!$W$28-'PIVOT TABLES'!$W$27</f>
        <v>27.947999999999993</v>
      </c>
      <c r="X286" s="14">
        <f>200-SUM(Table3[[#This Row],[S - LIGHT]:[S - VIGOROUS]])</f>
        <v>88.208000000000013</v>
      </c>
    </row>
    <row r="287" spans="1:24" x14ac:dyDescent="0.25">
      <c r="A287" s="17" t="s">
        <v>70</v>
      </c>
      <c r="B287" s="13" t="str">
        <f t="shared" si="4"/>
        <v>Winger</v>
      </c>
      <c r="C287" s="7">
        <v>45302.423425925925</v>
      </c>
      <c r="D287" s="14">
        <v>4706</v>
      </c>
      <c r="E287" s="14">
        <v>10</v>
      </c>
      <c r="F287" s="14">
        <v>18</v>
      </c>
      <c r="G287" s="14">
        <v>16</v>
      </c>
      <c r="H287" s="14">
        <v>48.4</v>
      </c>
      <c r="I287" s="14">
        <f>'PIVOT TABLES'!$B$26</f>
        <v>60.283999999999999</v>
      </c>
      <c r="J287" s="14">
        <f>'PIVOT TABLES'!$B$27-'PIVOT TABLES'!$B$26</f>
        <v>30.142000000000003</v>
      </c>
      <c r="K287" s="14">
        <f>'PIVOT TABLES'!$B$28-'PIVOT TABLES'!$B$27</f>
        <v>30.141999999999996</v>
      </c>
      <c r="L287" s="14">
        <f>200-SUM(Table3[[#This Row],[D - LIGHT]:[D - VIGOROUS]])</f>
        <v>79.432000000000002</v>
      </c>
      <c r="M287" s="14">
        <f>'PIVOT TABLES'!$I$26</f>
        <v>65.603999999999999</v>
      </c>
      <c r="N287" s="14">
        <f>'PIVOT TABLES'!$I$27-'PIVOT TABLES'!$I$26</f>
        <v>32.802000000000007</v>
      </c>
      <c r="O287" s="14">
        <f>'PIVOT TABLES'!$I$28-'PIVOT TABLES'!$I$27</f>
        <v>32.801999999999992</v>
      </c>
      <c r="P287" s="14">
        <f>200-SUM(Table3[[#This Row],[M - LIGHT]:[M - VIGOROUS]])</f>
        <v>68.792000000000002</v>
      </c>
      <c r="Q287" s="14">
        <f>'PIVOT TABLES'!$P$26</f>
        <v>62.64</v>
      </c>
      <c r="R287" s="14">
        <f>'PIVOT TABLES'!$P$27-'PIVOT TABLES'!$P$26</f>
        <v>31.320000000000007</v>
      </c>
      <c r="S287" s="14">
        <f>'PIVOT TABLES'!$P$28-'PIVOT TABLES'!$P$27</f>
        <v>31.319999999999993</v>
      </c>
      <c r="T287" s="14">
        <f>200-SUM(Table3[[#This Row],[W - LIGHT]:[W - VIGOROUS]])</f>
        <v>74.72</v>
      </c>
      <c r="U287" s="14">
        <f>'PIVOT TABLES'!$W$26</f>
        <v>55.895999999999994</v>
      </c>
      <c r="V287" s="14">
        <f>'PIVOT TABLES'!$W$27-'PIVOT TABLES'!$W$26</f>
        <v>27.948</v>
      </c>
      <c r="W287" s="14">
        <f>'PIVOT TABLES'!$W$28-'PIVOT TABLES'!$W$27</f>
        <v>27.947999999999993</v>
      </c>
      <c r="X287" s="14">
        <f>200-SUM(Table3[[#This Row],[S - LIGHT]:[S - VIGOROUS]])</f>
        <v>88.208000000000013</v>
      </c>
    </row>
    <row r="288" spans="1:24" x14ac:dyDescent="0.25">
      <c r="A288" s="17" t="s">
        <v>53</v>
      </c>
      <c r="B288" s="13" t="str">
        <f t="shared" si="4"/>
        <v>Midfielder</v>
      </c>
      <c r="C288" s="7">
        <v>45302.423425925925</v>
      </c>
      <c r="D288" s="14">
        <v>5404</v>
      </c>
      <c r="E288" s="14">
        <v>39</v>
      </c>
      <c r="F288" s="14">
        <v>11</v>
      </c>
      <c r="G288" s="14">
        <v>28</v>
      </c>
      <c r="H288" s="14">
        <v>56.21</v>
      </c>
      <c r="I288" s="14">
        <f>'PIVOT TABLES'!$B$26</f>
        <v>60.283999999999999</v>
      </c>
      <c r="J288" s="14">
        <f>'PIVOT TABLES'!$B$27-'PIVOT TABLES'!$B$26</f>
        <v>30.142000000000003</v>
      </c>
      <c r="K288" s="14">
        <f>'PIVOT TABLES'!$B$28-'PIVOT TABLES'!$B$27</f>
        <v>30.141999999999996</v>
      </c>
      <c r="L288" s="14">
        <f>200-SUM(Table3[[#This Row],[D - LIGHT]:[D - VIGOROUS]])</f>
        <v>79.432000000000002</v>
      </c>
      <c r="M288" s="14">
        <f>'PIVOT TABLES'!$I$26</f>
        <v>65.603999999999999</v>
      </c>
      <c r="N288" s="14">
        <f>'PIVOT TABLES'!$I$27-'PIVOT TABLES'!$I$26</f>
        <v>32.802000000000007</v>
      </c>
      <c r="O288" s="14">
        <f>'PIVOT TABLES'!$I$28-'PIVOT TABLES'!$I$27</f>
        <v>32.801999999999992</v>
      </c>
      <c r="P288" s="14">
        <f>200-SUM(Table3[[#This Row],[M - LIGHT]:[M - VIGOROUS]])</f>
        <v>68.792000000000002</v>
      </c>
      <c r="Q288" s="14">
        <f>'PIVOT TABLES'!$P$26</f>
        <v>62.64</v>
      </c>
      <c r="R288" s="14">
        <f>'PIVOT TABLES'!$P$27-'PIVOT TABLES'!$P$26</f>
        <v>31.320000000000007</v>
      </c>
      <c r="S288" s="14">
        <f>'PIVOT TABLES'!$P$28-'PIVOT TABLES'!$P$27</f>
        <v>31.319999999999993</v>
      </c>
      <c r="T288" s="14">
        <f>200-SUM(Table3[[#This Row],[W - LIGHT]:[W - VIGOROUS]])</f>
        <v>74.72</v>
      </c>
      <c r="U288" s="14">
        <f>'PIVOT TABLES'!$W$26</f>
        <v>55.895999999999994</v>
      </c>
      <c r="V288" s="14">
        <f>'PIVOT TABLES'!$W$27-'PIVOT TABLES'!$W$26</f>
        <v>27.948</v>
      </c>
      <c r="W288" s="14">
        <f>'PIVOT TABLES'!$W$28-'PIVOT TABLES'!$W$27</f>
        <v>27.947999999999993</v>
      </c>
      <c r="X288" s="14">
        <f>200-SUM(Table3[[#This Row],[S - LIGHT]:[S - VIGOROUS]])</f>
        <v>88.208000000000013</v>
      </c>
    </row>
    <row r="289" spans="1:24" x14ac:dyDescent="0.25">
      <c r="A289" s="17" t="s">
        <v>54</v>
      </c>
      <c r="B289" s="13" t="str">
        <f t="shared" si="4"/>
        <v>Striker</v>
      </c>
      <c r="C289" s="7">
        <v>45302.423425925925</v>
      </c>
      <c r="D289" s="14">
        <v>6623</v>
      </c>
      <c r="E289" s="14">
        <v>63</v>
      </c>
      <c r="F289" s="14">
        <v>24</v>
      </c>
      <c r="G289" s="14">
        <v>29</v>
      </c>
      <c r="H289" s="14">
        <v>69.66</v>
      </c>
      <c r="I289" s="14">
        <f>'PIVOT TABLES'!$B$26</f>
        <v>60.283999999999999</v>
      </c>
      <c r="J289" s="14">
        <f>'PIVOT TABLES'!$B$27-'PIVOT TABLES'!$B$26</f>
        <v>30.142000000000003</v>
      </c>
      <c r="K289" s="14">
        <f>'PIVOT TABLES'!$B$28-'PIVOT TABLES'!$B$27</f>
        <v>30.141999999999996</v>
      </c>
      <c r="L289" s="14">
        <f>200-SUM(Table3[[#This Row],[D - LIGHT]:[D - VIGOROUS]])</f>
        <v>79.432000000000002</v>
      </c>
      <c r="M289" s="14">
        <f>'PIVOT TABLES'!$I$26</f>
        <v>65.603999999999999</v>
      </c>
      <c r="N289" s="14">
        <f>'PIVOT TABLES'!$I$27-'PIVOT TABLES'!$I$26</f>
        <v>32.802000000000007</v>
      </c>
      <c r="O289" s="14">
        <f>'PIVOT TABLES'!$I$28-'PIVOT TABLES'!$I$27</f>
        <v>32.801999999999992</v>
      </c>
      <c r="P289" s="14">
        <f>200-SUM(Table3[[#This Row],[M - LIGHT]:[M - VIGOROUS]])</f>
        <v>68.792000000000002</v>
      </c>
      <c r="Q289" s="14">
        <f>'PIVOT TABLES'!$P$26</f>
        <v>62.64</v>
      </c>
      <c r="R289" s="14">
        <f>'PIVOT TABLES'!$P$27-'PIVOT TABLES'!$P$26</f>
        <v>31.320000000000007</v>
      </c>
      <c r="S289" s="14">
        <f>'PIVOT TABLES'!$P$28-'PIVOT TABLES'!$P$27</f>
        <v>31.319999999999993</v>
      </c>
      <c r="T289" s="14">
        <f>200-SUM(Table3[[#This Row],[W - LIGHT]:[W - VIGOROUS]])</f>
        <v>74.72</v>
      </c>
      <c r="U289" s="14">
        <f>'PIVOT TABLES'!$W$26</f>
        <v>55.895999999999994</v>
      </c>
      <c r="V289" s="14">
        <f>'PIVOT TABLES'!$W$27-'PIVOT TABLES'!$W$26</f>
        <v>27.948</v>
      </c>
      <c r="W289" s="14">
        <f>'PIVOT TABLES'!$W$28-'PIVOT TABLES'!$W$27</f>
        <v>27.947999999999993</v>
      </c>
      <c r="X289" s="14">
        <f>200-SUM(Table3[[#This Row],[S - LIGHT]:[S - VIGOROUS]])</f>
        <v>88.208000000000013</v>
      </c>
    </row>
    <row r="290" spans="1:24" x14ac:dyDescent="0.25">
      <c r="A290" s="17" t="s">
        <v>55</v>
      </c>
      <c r="B290" s="13" t="str">
        <f t="shared" si="4"/>
        <v>Striker</v>
      </c>
      <c r="C290" s="7">
        <v>45302.423425925925</v>
      </c>
      <c r="D290" s="14">
        <v>5945</v>
      </c>
      <c r="E290" s="14">
        <v>56</v>
      </c>
      <c r="F290" s="14">
        <v>12</v>
      </c>
      <c r="G290" s="14">
        <v>8</v>
      </c>
      <c r="H290" s="14">
        <v>61.77</v>
      </c>
      <c r="I290" s="14">
        <f>'PIVOT TABLES'!$B$26</f>
        <v>60.283999999999999</v>
      </c>
      <c r="J290" s="14">
        <f>'PIVOT TABLES'!$B$27-'PIVOT TABLES'!$B$26</f>
        <v>30.142000000000003</v>
      </c>
      <c r="K290" s="14">
        <f>'PIVOT TABLES'!$B$28-'PIVOT TABLES'!$B$27</f>
        <v>30.141999999999996</v>
      </c>
      <c r="L290" s="14">
        <f>200-SUM(Table3[[#This Row],[D - LIGHT]:[D - VIGOROUS]])</f>
        <v>79.432000000000002</v>
      </c>
      <c r="M290" s="14">
        <f>'PIVOT TABLES'!$I$26</f>
        <v>65.603999999999999</v>
      </c>
      <c r="N290" s="14">
        <f>'PIVOT TABLES'!$I$27-'PIVOT TABLES'!$I$26</f>
        <v>32.802000000000007</v>
      </c>
      <c r="O290" s="14">
        <f>'PIVOT TABLES'!$I$28-'PIVOT TABLES'!$I$27</f>
        <v>32.801999999999992</v>
      </c>
      <c r="P290" s="14">
        <f>200-SUM(Table3[[#This Row],[M - LIGHT]:[M - VIGOROUS]])</f>
        <v>68.792000000000002</v>
      </c>
      <c r="Q290" s="14">
        <f>'PIVOT TABLES'!$P$26</f>
        <v>62.64</v>
      </c>
      <c r="R290" s="14">
        <f>'PIVOT TABLES'!$P$27-'PIVOT TABLES'!$P$26</f>
        <v>31.320000000000007</v>
      </c>
      <c r="S290" s="14">
        <f>'PIVOT TABLES'!$P$28-'PIVOT TABLES'!$P$27</f>
        <v>31.319999999999993</v>
      </c>
      <c r="T290" s="14">
        <f>200-SUM(Table3[[#This Row],[W - LIGHT]:[W - VIGOROUS]])</f>
        <v>74.72</v>
      </c>
      <c r="U290" s="14">
        <f>'PIVOT TABLES'!$W$26</f>
        <v>55.895999999999994</v>
      </c>
      <c r="V290" s="14">
        <f>'PIVOT TABLES'!$W$27-'PIVOT TABLES'!$W$26</f>
        <v>27.948</v>
      </c>
      <c r="W290" s="14">
        <f>'PIVOT TABLES'!$W$28-'PIVOT TABLES'!$W$27</f>
        <v>27.947999999999993</v>
      </c>
      <c r="X290" s="14">
        <f>200-SUM(Table3[[#This Row],[S - LIGHT]:[S - VIGOROUS]])</f>
        <v>88.208000000000013</v>
      </c>
    </row>
    <row r="291" spans="1:24" x14ac:dyDescent="0.25">
      <c r="A291" s="17" t="s">
        <v>1</v>
      </c>
      <c r="B291" s="13" t="str">
        <f t="shared" si="4"/>
        <v>Defender</v>
      </c>
      <c r="C291" s="7">
        <v>45302.423425925925</v>
      </c>
      <c r="D291" s="14">
        <v>4606</v>
      </c>
      <c r="E291" s="14">
        <v>0</v>
      </c>
      <c r="F291" s="14">
        <v>12</v>
      </c>
      <c r="G291" s="14">
        <v>7</v>
      </c>
      <c r="H291" s="14">
        <v>46.68</v>
      </c>
      <c r="I291" s="14">
        <f>'PIVOT TABLES'!$B$26</f>
        <v>60.283999999999999</v>
      </c>
      <c r="J291" s="14">
        <f>'PIVOT TABLES'!$B$27-'PIVOT TABLES'!$B$26</f>
        <v>30.142000000000003</v>
      </c>
      <c r="K291" s="14">
        <f>'PIVOT TABLES'!$B$28-'PIVOT TABLES'!$B$27</f>
        <v>30.141999999999996</v>
      </c>
      <c r="L291" s="14">
        <f>200-SUM(Table3[[#This Row],[D - LIGHT]:[D - VIGOROUS]])</f>
        <v>79.432000000000002</v>
      </c>
      <c r="M291" s="14">
        <f>'PIVOT TABLES'!$I$26</f>
        <v>65.603999999999999</v>
      </c>
      <c r="N291" s="14">
        <f>'PIVOT TABLES'!$I$27-'PIVOT TABLES'!$I$26</f>
        <v>32.802000000000007</v>
      </c>
      <c r="O291" s="14">
        <f>'PIVOT TABLES'!$I$28-'PIVOT TABLES'!$I$27</f>
        <v>32.801999999999992</v>
      </c>
      <c r="P291" s="14">
        <f>200-SUM(Table3[[#This Row],[M - LIGHT]:[M - VIGOROUS]])</f>
        <v>68.792000000000002</v>
      </c>
      <c r="Q291" s="14">
        <f>'PIVOT TABLES'!$P$26</f>
        <v>62.64</v>
      </c>
      <c r="R291" s="14">
        <f>'PIVOT TABLES'!$P$27-'PIVOT TABLES'!$P$26</f>
        <v>31.320000000000007</v>
      </c>
      <c r="S291" s="14">
        <f>'PIVOT TABLES'!$P$28-'PIVOT TABLES'!$P$27</f>
        <v>31.319999999999993</v>
      </c>
      <c r="T291" s="14">
        <f>200-SUM(Table3[[#This Row],[W - LIGHT]:[W - VIGOROUS]])</f>
        <v>74.72</v>
      </c>
      <c r="U291" s="14">
        <f>'PIVOT TABLES'!$W$26</f>
        <v>55.895999999999994</v>
      </c>
      <c r="V291" s="14">
        <f>'PIVOT TABLES'!$W$27-'PIVOT TABLES'!$W$26</f>
        <v>27.948</v>
      </c>
      <c r="W291" s="14">
        <f>'PIVOT TABLES'!$W$28-'PIVOT TABLES'!$W$27</f>
        <v>27.947999999999993</v>
      </c>
      <c r="X291" s="14">
        <f>200-SUM(Table3[[#This Row],[S - LIGHT]:[S - VIGOROUS]])</f>
        <v>88.208000000000013</v>
      </c>
    </row>
    <row r="292" spans="1:24" x14ac:dyDescent="0.25">
      <c r="A292" s="17" t="s">
        <v>56</v>
      </c>
      <c r="B292" s="13" t="str">
        <f t="shared" si="4"/>
        <v>Midfielder</v>
      </c>
      <c r="C292" s="7">
        <v>45302.423425925925</v>
      </c>
      <c r="D292" s="14">
        <v>5796</v>
      </c>
      <c r="E292" s="14">
        <v>10</v>
      </c>
      <c r="F292" s="14">
        <v>15</v>
      </c>
      <c r="G292" s="14">
        <v>10</v>
      </c>
      <c r="H292" s="14">
        <v>59.06</v>
      </c>
      <c r="I292" s="14">
        <f>'PIVOT TABLES'!$B$26</f>
        <v>60.283999999999999</v>
      </c>
      <c r="J292" s="14">
        <f>'PIVOT TABLES'!$B$27-'PIVOT TABLES'!$B$26</f>
        <v>30.142000000000003</v>
      </c>
      <c r="K292" s="14">
        <f>'PIVOT TABLES'!$B$28-'PIVOT TABLES'!$B$27</f>
        <v>30.141999999999996</v>
      </c>
      <c r="L292" s="14">
        <f>200-SUM(Table3[[#This Row],[D - LIGHT]:[D - VIGOROUS]])</f>
        <v>79.432000000000002</v>
      </c>
      <c r="M292" s="14">
        <f>'PIVOT TABLES'!$I$26</f>
        <v>65.603999999999999</v>
      </c>
      <c r="N292" s="14">
        <f>'PIVOT TABLES'!$I$27-'PIVOT TABLES'!$I$26</f>
        <v>32.802000000000007</v>
      </c>
      <c r="O292" s="14">
        <f>'PIVOT TABLES'!$I$28-'PIVOT TABLES'!$I$27</f>
        <v>32.801999999999992</v>
      </c>
      <c r="P292" s="14">
        <f>200-SUM(Table3[[#This Row],[M - LIGHT]:[M - VIGOROUS]])</f>
        <v>68.792000000000002</v>
      </c>
      <c r="Q292" s="14">
        <f>'PIVOT TABLES'!$P$26</f>
        <v>62.64</v>
      </c>
      <c r="R292" s="14">
        <f>'PIVOT TABLES'!$P$27-'PIVOT TABLES'!$P$26</f>
        <v>31.320000000000007</v>
      </c>
      <c r="S292" s="14">
        <f>'PIVOT TABLES'!$P$28-'PIVOT TABLES'!$P$27</f>
        <v>31.319999999999993</v>
      </c>
      <c r="T292" s="14">
        <f>200-SUM(Table3[[#This Row],[W - LIGHT]:[W - VIGOROUS]])</f>
        <v>74.72</v>
      </c>
      <c r="U292" s="14">
        <f>'PIVOT TABLES'!$W$26</f>
        <v>55.895999999999994</v>
      </c>
      <c r="V292" s="14">
        <f>'PIVOT TABLES'!$W$27-'PIVOT TABLES'!$W$26</f>
        <v>27.948</v>
      </c>
      <c r="W292" s="14">
        <f>'PIVOT TABLES'!$W$28-'PIVOT TABLES'!$W$27</f>
        <v>27.947999999999993</v>
      </c>
      <c r="X292" s="14">
        <f>200-SUM(Table3[[#This Row],[S - LIGHT]:[S - VIGOROUS]])</f>
        <v>88.208000000000013</v>
      </c>
    </row>
    <row r="293" spans="1:24" x14ac:dyDescent="0.25">
      <c r="A293" s="17" t="s">
        <v>2</v>
      </c>
      <c r="B293" s="13" t="str">
        <f t="shared" si="4"/>
        <v>Defender</v>
      </c>
      <c r="C293" s="7">
        <v>45302.423425925925</v>
      </c>
      <c r="D293" s="14">
        <v>5368</v>
      </c>
      <c r="E293" s="14">
        <v>178</v>
      </c>
      <c r="F293" s="14">
        <v>25</v>
      </c>
      <c r="G293" s="14">
        <v>26</v>
      </c>
      <c r="H293" s="14">
        <v>60.54</v>
      </c>
      <c r="I293" s="14">
        <f>'PIVOT TABLES'!$B$26</f>
        <v>60.283999999999999</v>
      </c>
      <c r="J293" s="14">
        <f>'PIVOT TABLES'!$B$27-'PIVOT TABLES'!$B$26</f>
        <v>30.142000000000003</v>
      </c>
      <c r="K293" s="14">
        <f>'PIVOT TABLES'!$B$28-'PIVOT TABLES'!$B$27</f>
        <v>30.141999999999996</v>
      </c>
      <c r="L293" s="14">
        <f>200-SUM(Table3[[#This Row],[D - LIGHT]:[D - VIGOROUS]])</f>
        <v>79.432000000000002</v>
      </c>
      <c r="M293" s="14">
        <f>'PIVOT TABLES'!$I$26</f>
        <v>65.603999999999999</v>
      </c>
      <c r="N293" s="14">
        <f>'PIVOT TABLES'!$I$27-'PIVOT TABLES'!$I$26</f>
        <v>32.802000000000007</v>
      </c>
      <c r="O293" s="14">
        <f>'PIVOT TABLES'!$I$28-'PIVOT TABLES'!$I$27</f>
        <v>32.801999999999992</v>
      </c>
      <c r="P293" s="14">
        <f>200-SUM(Table3[[#This Row],[M - LIGHT]:[M - VIGOROUS]])</f>
        <v>68.792000000000002</v>
      </c>
      <c r="Q293" s="14">
        <f>'PIVOT TABLES'!$P$26</f>
        <v>62.64</v>
      </c>
      <c r="R293" s="14">
        <f>'PIVOT TABLES'!$P$27-'PIVOT TABLES'!$P$26</f>
        <v>31.320000000000007</v>
      </c>
      <c r="S293" s="14">
        <f>'PIVOT TABLES'!$P$28-'PIVOT TABLES'!$P$27</f>
        <v>31.319999999999993</v>
      </c>
      <c r="T293" s="14">
        <f>200-SUM(Table3[[#This Row],[W - LIGHT]:[W - VIGOROUS]])</f>
        <v>74.72</v>
      </c>
      <c r="U293" s="14">
        <f>'PIVOT TABLES'!$W$26</f>
        <v>55.895999999999994</v>
      </c>
      <c r="V293" s="14">
        <f>'PIVOT TABLES'!$W$27-'PIVOT TABLES'!$W$26</f>
        <v>27.948</v>
      </c>
      <c r="W293" s="14">
        <f>'PIVOT TABLES'!$W$28-'PIVOT TABLES'!$W$27</f>
        <v>27.947999999999993</v>
      </c>
      <c r="X293" s="14">
        <f>200-SUM(Table3[[#This Row],[S - LIGHT]:[S - VIGOROUS]])</f>
        <v>88.208000000000013</v>
      </c>
    </row>
    <row r="294" spans="1:24" x14ac:dyDescent="0.25">
      <c r="A294" s="17" t="s">
        <v>58</v>
      </c>
      <c r="B294" s="13" t="str">
        <f t="shared" si="4"/>
        <v>Defender</v>
      </c>
      <c r="C294" s="7">
        <v>45302.423425925925</v>
      </c>
      <c r="D294" s="14">
        <v>5724</v>
      </c>
      <c r="E294" s="14">
        <v>18</v>
      </c>
      <c r="F294" s="14">
        <v>16</v>
      </c>
      <c r="G294" s="14">
        <v>10</v>
      </c>
      <c r="H294" s="14">
        <v>58.62</v>
      </c>
      <c r="I294" s="14">
        <f>'PIVOT TABLES'!$B$26</f>
        <v>60.283999999999999</v>
      </c>
      <c r="J294" s="14">
        <f>'PIVOT TABLES'!$B$27-'PIVOT TABLES'!$B$26</f>
        <v>30.142000000000003</v>
      </c>
      <c r="K294" s="14">
        <f>'PIVOT TABLES'!$B$28-'PIVOT TABLES'!$B$27</f>
        <v>30.141999999999996</v>
      </c>
      <c r="L294" s="14">
        <f>200-SUM(Table3[[#This Row],[D - LIGHT]:[D - VIGOROUS]])</f>
        <v>79.432000000000002</v>
      </c>
      <c r="M294" s="14">
        <f>'PIVOT TABLES'!$I$26</f>
        <v>65.603999999999999</v>
      </c>
      <c r="N294" s="14">
        <f>'PIVOT TABLES'!$I$27-'PIVOT TABLES'!$I$26</f>
        <v>32.802000000000007</v>
      </c>
      <c r="O294" s="14">
        <f>'PIVOT TABLES'!$I$28-'PIVOT TABLES'!$I$27</f>
        <v>32.801999999999992</v>
      </c>
      <c r="P294" s="14">
        <f>200-SUM(Table3[[#This Row],[M - LIGHT]:[M - VIGOROUS]])</f>
        <v>68.792000000000002</v>
      </c>
      <c r="Q294" s="14">
        <f>'PIVOT TABLES'!$P$26</f>
        <v>62.64</v>
      </c>
      <c r="R294" s="14">
        <f>'PIVOT TABLES'!$P$27-'PIVOT TABLES'!$P$26</f>
        <v>31.320000000000007</v>
      </c>
      <c r="S294" s="14">
        <f>'PIVOT TABLES'!$P$28-'PIVOT TABLES'!$P$27</f>
        <v>31.319999999999993</v>
      </c>
      <c r="T294" s="14">
        <f>200-SUM(Table3[[#This Row],[W - LIGHT]:[W - VIGOROUS]])</f>
        <v>74.72</v>
      </c>
      <c r="U294" s="14">
        <f>'PIVOT TABLES'!$W$26</f>
        <v>55.895999999999994</v>
      </c>
      <c r="V294" s="14">
        <f>'PIVOT TABLES'!$W$27-'PIVOT TABLES'!$W$26</f>
        <v>27.948</v>
      </c>
      <c r="W294" s="14">
        <f>'PIVOT TABLES'!$W$28-'PIVOT TABLES'!$W$27</f>
        <v>27.947999999999993</v>
      </c>
      <c r="X294" s="14">
        <f>200-SUM(Table3[[#This Row],[S - LIGHT]:[S - VIGOROUS]])</f>
        <v>88.208000000000013</v>
      </c>
    </row>
    <row r="295" spans="1:24" x14ac:dyDescent="0.25">
      <c r="A295" s="17" t="s">
        <v>3</v>
      </c>
      <c r="B295" s="13" t="str">
        <f t="shared" si="4"/>
        <v>Defender</v>
      </c>
      <c r="C295" s="7">
        <v>45302.423425925925</v>
      </c>
      <c r="D295" s="14">
        <v>5555</v>
      </c>
      <c r="E295" s="14">
        <v>17</v>
      </c>
      <c r="F295" s="14">
        <v>10</v>
      </c>
      <c r="G295" s="14">
        <v>16</v>
      </c>
      <c r="H295" s="14">
        <v>56.78</v>
      </c>
      <c r="I295" s="14">
        <f>'PIVOT TABLES'!$B$26</f>
        <v>60.283999999999999</v>
      </c>
      <c r="J295" s="14">
        <f>'PIVOT TABLES'!$B$27-'PIVOT TABLES'!$B$26</f>
        <v>30.142000000000003</v>
      </c>
      <c r="K295" s="14">
        <f>'PIVOT TABLES'!$B$28-'PIVOT TABLES'!$B$27</f>
        <v>30.141999999999996</v>
      </c>
      <c r="L295" s="14">
        <f>200-SUM(Table3[[#This Row],[D - LIGHT]:[D - VIGOROUS]])</f>
        <v>79.432000000000002</v>
      </c>
      <c r="M295" s="14">
        <f>'PIVOT TABLES'!$I$26</f>
        <v>65.603999999999999</v>
      </c>
      <c r="N295" s="14">
        <f>'PIVOT TABLES'!$I$27-'PIVOT TABLES'!$I$26</f>
        <v>32.802000000000007</v>
      </c>
      <c r="O295" s="14">
        <f>'PIVOT TABLES'!$I$28-'PIVOT TABLES'!$I$27</f>
        <v>32.801999999999992</v>
      </c>
      <c r="P295" s="14">
        <f>200-SUM(Table3[[#This Row],[M - LIGHT]:[M - VIGOROUS]])</f>
        <v>68.792000000000002</v>
      </c>
      <c r="Q295" s="14">
        <f>'PIVOT TABLES'!$P$26</f>
        <v>62.64</v>
      </c>
      <c r="R295" s="14">
        <f>'PIVOT TABLES'!$P$27-'PIVOT TABLES'!$P$26</f>
        <v>31.320000000000007</v>
      </c>
      <c r="S295" s="14">
        <f>'PIVOT TABLES'!$P$28-'PIVOT TABLES'!$P$27</f>
        <v>31.319999999999993</v>
      </c>
      <c r="T295" s="14">
        <f>200-SUM(Table3[[#This Row],[W - LIGHT]:[W - VIGOROUS]])</f>
        <v>74.72</v>
      </c>
      <c r="U295" s="14">
        <f>'PIVOT TABLES'!$W$26</f>
        <v>55.895999999999994</v>
      </c>
      <c r="V295" s="14">
        <f>'PIVOT TABLES'!$W$27-'PIVOT TABLES'!$W$26</f>
        <v>27.948</v>
      </c>
      <c r="W295" s="14">
        <f>'PIVOT TABLES'!$W$28-'PIVOT TABLES'!$W$27</f>
        <v>27.947999999999993</v>
      </c>
      <c r="X295" s="14">
        <f>200-SUM(Table3[[#This Row],[S - LIGHT]:[S - VIGOROUS]])</f>
        <v>88.208000000000013</v>
      </c>
    </row>
    <row r="296" spans="1:24" x14ac:dyDescent="0.25">
      <c r="A296" s="17" t="s">
        <v>59</v>
      </c>
      <c r="B296" s="13" t="str">
        <f t="shared" si="4"/>
        <v>Striker</v>
      </c>
      <c r="C296" s="7">
        <v>45302.423425925925</v>
      </c>
      <c r="D296" s="14">
        <v>5676</v>
      </c>
      <c r="E296" s="14">
        <v>35</v>
      </c>
      <c r="F296" s="14">
        <v>17</v>
      </c>
      <c r="G296" s="14">
        <v>18</v>
      </c>
      <c r="H296" s="14">
        <v>58.85</v>
      </c>
      <c r="I296" s="14">
        <f>'PIVOT TABLES'!$B$26</f>
        <v>60.283999999999999</v>
      </c>
      <c r="J296" s="14">
        <f>'PIVOT TABLES'!$B$27-'PIVOT TABLES'!$B$26</f>
        <v>30.142000000000003</v>
      </c>
      <c r="K296" s="14">
        <f>'PIVOT TABLES'!$B$28-'PIVOT TABLES'!$B$27</f>
        <v>30.141999999999996</v>
      </c>
      <c r="L296" s="14">
        <f>200-SUM(Table3[[#This Row],[D - LIGHT]:[D - VIGOROUS]])</f>
        <v>79.432000000000002</v>
      </c>
      <c r="M296" s="14">
        <f>'PIVOT TABLES'!$I$26</f>
        <v>65.603999999999999</v>
      </c>
      <c r="N296" s="14">
        <f>'PIVOT TABLES'!$I$27-'PIVOT TABLES'!$I$26</f>
        <v>32.802000000000007</v>
      </c>
      <c r="O296" s="14">
        <f>'PIVOT TABLES'!$I$28-'PIVOT TABLES'!$I$27</f>
        <v>32.801999999999992</v>
      </c>
      <c r="P296" s="14">
        <f>200-SUM(Table3[[#This Row],[M - LIGHT]:[M - VIGOROUS]])</f>
        <v>68.792000000000002</v>
      </c>
      <c r="Q296" s="14">
        <f>'PIVOT TABLES'!$P$26</f>
        <v>62.64</v>
      </c>
      <c r="R296" s="14">
        <f>'PIVOT TABLES'!$P$27-'PIVOT TABLES'!$P$26</f>
        <v>31.320000000000007</v>
      </c>
      <c r="S296" s="14">
        <f>'PIVOT TABLES'!$P$28-'PIVOT TABLES'!$P$27</f>
        <v>31.319999999999993</v>
      </c>
      <c r="T296" s="14">
        <f>200-SUM(Table3[[#This Row],[W - LIGHT]:[W - VIGOROUS]])</f>
        <v>74.72</v>
      </c>
      <c r="U296" s="14">
        <f>'PIVOT TABLES'!$W$26</f>
        <v>55.895999999999994</v>
      </c>
      <c r="V296" s="14">
        <f>'PIVOT TABLES'!$W$27-'PIVOT TABLES'!$W$26</f>
        <v>27.948</v>
      </c>
      <c r="W296" s="14">
        <f>'PIVOT TABLES'!$W$28-'PIVOT TABLES'!$W$27</f>
        <v>27.947999999999993</v>
      </c>
      <c r="X296" s="14">
        <f>200-SUM(Table3[[#This Row],[S - LIGHT]:[S - VIGOROUS]])</f>
        <v>88.208000000000013</v>
      </c>
    </row>
    <row r="297" spans="1:24" x14ac:dyDescent="0.25">
      <c r="A297" s="17" t="s">
        <v>4</v>
      </c>
      <c r="B297" s="13" t="str">
        <f t="shared" si="4"/>
        <v>Midfielder</v>
      </c>
      <c r="C297" s="7">
        <v>45302.423425925925</v>
      </c>
      <c r="D297" s="14">
        <v>5776</v>
      </c>
      <c r="E297" s="14">
        <v>0</v>
      </c>
      <c r="F297" s="14">
        <v>9</v>
      </c>
      <c r="G297" s="14">
        <v>7</v>
      </c>
      <c r="H297" s="14">
        <v>58.26</v>
      </c>
      <c r="I297" s="14">
        <f>'PIVOT TABLES'!$B$26</f>
        <v>60.283999999999999</v>
      </c>
      <c r="J297" s="14">
        <f>'PIVOT TABLES'!$B$27-'PIVOT TABLES'!$B$26</f>
        <v>30.142000000000003</v>
      </c>
      <c r="K297" s="14">
        <f>'PIVOT TABLES'!$B$28-'PIVOT TABLES'!$B$27</f>
        <v>30.141999999999996</v>
      </c>
      <c r="L297" s="14">
        <f>200-SUM(Table3[[#This Row],[D - LIGHT]:[D - VIGOROUS]])</f>
        <v>79.432000000000002</v>
      </c>
      <c r="M297" s="14">
        <f>'PIVOT TABLES'!$I$26</f>
        <v>65.603999999999999</v>
      </c>
      <c r="N297" s="14">
        <f>'PIVOT TABLES'!$I$27-'PIVOT TABLES'!$I$26</f>
        <v>32.802000000000007</v>
      </c>
      <c r="O297" s="14">
        <f>'PIVOT TABLES'!$I$28-'PIVOT TABLES'!$I$27</f>
        <v>32.801999999999992</v>
      </c>
      <c r="P297" s="14">
        <f>200-SUM(Table3[[#This Row],[M - LIGHT]:[M - VIGOROUS]])</f>
        <v>68.792000000000002</v>
      </c>
      <c r="Q297" s="14">
        <f>'PIVOT TABLES'!$P$26</f>
        <v>62.64</v>
      </c>
      <c r="R297" s="14">
        <f>'PIVOT TABLES'!$P$27-'PIVOT TABLES'!$P$26</f>
        <v>31.320000000000007</v>
      </c>
      <c r="S297" s="14">
        <f>'PIVOT TABLES'!$P$28-'PIVOT TABLES'!$P$27</f>
        <v>31.319999999999993</v>
      </c>
      <c r="T297" s="14">
        <f>200-SUM(Table3[[#This Row],[W - LIGHT]:[W - VIGOROUS]])</f>
        <v>74.72</v>
      </c>
      <c r="U297" s="14">
        <f>'PIVOT TABLES'!$W$26</f>
        <v>55.895999999999994</v>
      </c>
      <c r="V297" s="14">
        <f>'PIVOT TABLES'!$W$27-'PIVOT TABLES'!$W$26</f>
        <v>27.948</v>
      </c>
      <c r="W297" s="14">
        <f>'PIVOT TABLES'!$W$28-'PIVOT TABLES'!$W$27</f>
        <v>27.947999999999993</v>
      </c>
      <c r="X297" s="14">
        <f>200-SUM(Table3[[#This Row],[S - LIGHT]:[S - VIGOROUS]])</f>
        <v>88.208000000000013</v>
      </c>
    </row>
    <row r="298" spans="1:24" x14ac:dyDescent="0.25">
      <c r="A298" s="17" t="s">
        <v>60</v>
      </c>
      <c r="B298" s="13" t="str">
        <f t="shared" si="4"/>
        <v>Winger</v>
      </c>
      <c r="C298" s="7">
        <v>45302.423425925925</v>
      </c>
      <c r="D298" s="14">
        <v>5970</v>
      </c>
      <c r="E298" s="14">
        <v>90</v>
      </c>
      <c r="F298" s="14">
        <v>16</v>
      </c>
      <c r="G298" s="14">
        <v>20</v>
      </c>
      <c r="H298" s="14">
        <v>63.44</v>
      </c>
      <c r="I298" s="14">
        <f>'PIVOT TABLES'!$B$26</f>
        <v>60.283999999999999</v>
      </c>
      <c r="J298" s="14">
        <f>'PIVOT TABLES'!$B$27-'PIVOT TABLES'!$B$26</f>
        <v>30.142000000000003</v>
      </c>
      <c r="K298" s="14">
        <f>'PIVOT TABLES'!$B$28-'PIVOT TABLES'!$B$27</f>
        <v>30.141999999999996</v>
      </c>
      <c r="L298" s="14">
        <f>200-SUM(Table3[[#This Row],[D - LIGHT]:[D - VIGOROUS]])</f>
        <v>79.432000000000002</v>
      </c>
      <c r="M298" s="14">
        <f>'PIVOT TABLES'!$I$26</f>
        <v>65.603999999999999</v>
      </c>
      <c r="N298" s="14">
        <f>'PIVOT TABLES'!$I$27-'PIVOT TABLES'!$I$26</f>
        <v>32.802000000000007</v>
      </c>
      <c r="O298" s="14">
        <f>'PIVOT TABLES'!$I$28-'PIVOT TABLES'!$I$27</f>
        <v>32.801999999999992</v>
      </c>
      <c r="P298" s="14">
        <f>200-SUM(Table3[[#This Row],[M - LIGHT]:[M - VIGOROUS]])</f>
        <v>68.792000000000002</v>
      </c>
      <c r="Q298" s="14">
        <f>'PIVOT TABLES'!$P$26</f>
        <v>62.64</v>
      </c>
      <c r="R298" s="14">
        <f>'PIVOT TABLES'!$P$27-'PIVOT TABLES'!$P$26</f>
        <v>31.320000000000007</v>
      </c>
      <c r="S298" s="14">
        <f>'PIVOT TABLES'!$P$28-'PIVOT TABLES'!$P$27</f>
        <v>31.319999999999993</v>
      </c>
      <c r="T298" s="14">
        <f>200-SUM(Table3[[#This Row],[W - LIGHT]:[W - VIGOROUS]])</f>
        <v>74.72</v>
      </c>
      <c r="U298" s="14">
        <f>'PIVOT TABLES'!$W$26</f>
        <v>55.895999999999994</v>
      </c>
      <c r="V298" s="14">
        <f>'PIVOT TABLES'!$W$27-'PIVOT TABLES'!$W$26</f>
        <v>27.948</v>
      </c>
      <c r="W298" s="14">
        <f>'PIVOT TABLES'!$W$28-'PIVOT TABLES'!$W$27</f>
        <v>27.947999999999993</v>
      </c>
      <c r="X298" s="14">
        <f>200-SUM(Table3[[#This Row],[S - LIGHT]:[S - VIGOROUS]])</f>
        <v>88.208000000000013</v>
      </c>
    </row>
    <row r="299" spans="1:24" x14ac:dyDescent="0.25">
      <c r="A299" s="17" t="s">
        <v>71</v>
      </c>
      <c r="B299" s="13" t="str">
        <f t="shared" si="4"/>
        <v>Midfielder</v>
      </c>
      <c r="C299" s="7">
        <v>45302.423425925925</v>
      </c>
      <c r="D299" s="14">
        <v>6338</v>
      </c>
      <c r="E299" s="14">
        <v>4</v>
      </c>
      <c r="F299" s="14">
        <v>25</v>
      </c>
      <c r="G299" s="14">
        <v>18</v>
      </c>
      <c r="H299" s="14">
        <v>64.86</v>
      </c>
      <c r="I299" s="14">
        <f>'PIVOT TABLES'!$B$26</f>
        <v>60.283999999999999</v>
      </c>
      <c r="J299" s="14">
        <f>'PIVOT TABLES'!$B$27-'PIVOT TABLES'!$B$26</f>
        <v>30.142000000000003</v>
      </c>
      <c r="K299" s="14">
        <f>'PIVOT TABLES'!$B$28-'PIVOT TABLES'!$B$27</f>
        <v>30.141999999999996</v>
      </c>
      <c r="L299" s="14">
        <f>200-SUM(Table3[[#This Row],[D - LIGHT]:[D - VIGOROUS]])</f>
        <v>79.432000000000002</v>
      </c>
      <c r="M299" s="14">
        <f>'PIVOT TABLES'!$I$26</f>
        <v>65.603999999999999</v>
      </c>
      <c r="N299" s="14">
        <f>'PIVOT TABLES'!$I$27-'PIVOT TABLES'!$I$26</f>
        <v>32.802000000000007</v>
      </c>
      <c r="O299" s="14">
        <f>'PIVOT TABLES'!$I$28-'PIVOT TABLES'!$I$27</f>
        <v>32.801999999999992</v>
      </c>
      <c r="P299" s="14">
        <f>200-SUM(Table3[[#This Row],[M - LIGHT]:[M - VIGOROUS]])</f>
        <v>68.792000000000002</v>
      </c>
      <c r="Q299" s="14">
        <f>'PIVOT TABLES'!$P$26</f>
        <v>62.64</v>
      </c>
      <c r="R299" s="14">
        <f>'PIVOT TABLES'!$P$27-'PIVOT TABLES'!$P$26</f>
        <v>31.320000000000007</v>
      </c>
      <c r="S299" s="14">
        <f>'PIVOT TABLES'!$P$28-'PIVOT TABLES'!$P$27</f>
        <v>31.319999999999993</v>
      </c>
      <c r="T299" s="14">
        <f>200-SUM(Table3[[#This Row],[W - LIGHT]:[W - VIGOROUS]])</f>
        <v>74.72</v>
      </c>
      <c r="U299" s="14">
        <f>'PIVOT TABLES'!$W$26</f>
        <v>55.895999999999994</v>
      </c>
      <c r="V299" s="14">
        <f>'PIVOT TABLES'!$W$27-'PIVOT TABLES'!$W$26</f>
        <v>27.948</v>
      </c>
      <c r="W299" s="14">
        <f>'PIVOT TABLES'!$W$28-'PIVOT TABLES'!$W$27</f>
        <v>27.947999999999993</v>
      </c>
      <c r="X299" s="14">
        <f>200-SUM(Table3[[#This Row],[S - LIGHT]:[S - VIGOROUS]])</f>
        <v>88.208000000000013</v>
      </c>
    </row>
    <row r="300" spans="1:24" x14ac:dyDescent="0.25">
      <c r="A300" s="17" t="s">
        <v>6</v>
      </c>
      <c r="B300" s="13" t="str">
        <f t="shared" si="4"/>
        <v>Midfielder</v>
      </c>
      <c r="C300" s="7">
        <v>45302.423425925925</v>
      </c>
      <c r="D300" s="14">
        <v>5723</v>
      </c>
      <c r="E300" s="14">
        <v>76</v>
      </c>
      <c r="F300" s="14">
        <v>19</v>
      </c>
      <c r="G300" s="14">
        <v>24</v>
      </c>
      <c r="H300" s="14">
        <v>60.75</v>
      </c>
      <c r="I300" s="14">
        <f>'PIVOT TABLES'!$B$26</f>
        <v>60.283999999999999</v>
      </c>
      <c r="J300" s="14">
        <f>'PIVOT TABLES'!$B$27-'PIVOT TABLES'!$B$26</f>
        <v>30.142000000000003</v>
      </c>
      <c r="K300" s="14">
        <f>'PIVOT TABLES'!$B$28-'PIVOT TABLES'!$B$27</f>
        <v>30.141999999999996</v>
      </c>
      <c r="L300" s="14">
        <f>200-SUM(Table3[[#This Row],[D - LIGHT]:[D - VIGOROUS]])</f>
        <v>79.432000000000002</v>
      </c>
      <c r="M300" s="14">
        <f>'PIVOT TABLES'!$I$26</f>
        <v>65.603999999999999</v>
      </c>
      <c r="N300" s="14">
        <f>'PIVOT TABLES'!$I$27-'PIVOT TABLES'!$I$26</f>
        <v>32.802000000000007</v>
      </c>
      <c r="O300" s="14">
        <f>'PIVOT TABLES'!$I$28-'PIVOT TABLES'!$I$27</f>
        <v>32.801999999999992</v>
      </c>
      <c r="P300" s="14">
        <f>200-SUM(Table3[[#This Row],[M - LIGHT]:[M - VIGOROUS]])</f>
        <v>68.792000000000002</v>
      </c>
      <c r="Q300" s="14">
        <f>'PIVOT TABLES'!$P$26</f>
        <v>62.64</v>
      </c>
      <c r="R300" s="14">
        <f>'PIVOT TABLES'!$P$27-'PIVOT TABLES'!$P$26</f>
        <v>31.320000000000007</v>
      </c>
      <c r="S300" s="14">
        <f>'PIVOT TABLES'!$P$28-'PIVOT TABLES'!$P$27</f>
        <v>31.319999999999993</v>
      </c>
      <c r="T300" s="14">
        <f>200-SUM(Table3[[#This Row],[W - LIGHT]:[W - VIGOROUS]])</f>
        <v>74.72</v>
      </c>
      <c r="U300" s="14">
        <f>'PIVOT TABLES'!$W$26</f>
        <v>55.895999999999994</v>
      </c>
      <c r="V300" s="14">
        <f>'PIVOT TABLES'!$W$27-'PIVOT TABLES'!$W$26</f>
        <v>27.948</v>
      </c>
      <c r="W300" s="14">
        <f>'PIVOT TABLES'!$W$28-'PIVOT TABLES'!$W$27</f>
        <v>27.947999999999993</v>
      </c>
      <c r="X300" s="14">
        <f>200-SUM(Table3[[#This Row],[S - LIGHT]:[S - VIGOROUS]])</f>
        <v>88.208000000000013</v>
      </c>
    </row>
    <row r="301" spans="1:24" x14ac:dyDescent="0.25">
      <c r="A301" s="17" t="s">
        <v>62</v>
      </c>
      <c r="B301" s="13" t="str">
        <f t="shared" si="4"/>
        <v>Midfielder</v>
      </c>
      <c r="C301" s="7">
        <v>45302.423425925925</v>
      </c>
      <c r="D301" s="14">
        <v>5467</v>
      </c>
      <c r="E301" s="14">
        <v>12</v>
      </c>
      <c r="F301" s="14">
        <v>16</v>
      </c>
      <c r="G301" s="14">
        <v>8</v>
      </c>
      <c r="H301" s="14">
        <v>55.83</v>
      </c>
      <c r="I301" s="14">
        <f>'PIVOT TABLES'!$B$26</f>
        <v>60.283999999999999</v>
      </c>
      <c r="J301" s="14">
        <f>'PIVOT TABLES'!$B$27-'PIVOT TABLES'!$B$26</f>
        <v>30.142000000000003</v>
      </c>
      <c r="K301" s="14">
        <f>'PIVOT TABLES'!$B$28-'PIVOT TABLES'!$B$27</f>
        <v>30.141999999999996</v>
      </c>
      <c r="L301" s="14">
        <f>200-SUM(Table3[[#This Row],[D - LIGHT]:[D - VIGOROUS]])</f>
        <v>79.432000000000002</v>
      </c>
      <c r="M301" s="14">
        <f>'PIVOT TABLES'!$I$26</f>
        <v>65.603999999999999</v>
      </c>
      <c r="N301" s="14">
        <f>'PIVOT TABLES'!$I$27-'PIVOT TABLES'!$I$26</f>
        <v>32.802000000000007</v>
      </c>
      <c r="O301" s="14">
        <f>'PIVOT TABLES'!$I$28-'PIVOT TABLES'!$I$27</f>
        <v>32.801999999999992</v>
      </c>
      <c r="P301" s="14">
        <f>200-SUM(Table3[[#This Row],[M - LIGHT]:[M - VIGOROUS]])</f>
        <v>68.792000000000002</v>
      </c>
      <c r="Q301" s="14">
        <f>'PIVOT TABLES'!$P$26</f>
        <v>62.64</v>
      </c>
      <c r="R301" s="14">
        <f>'PIVOT TABLES'!$P$27-'PIVOT TABLES'!$P$26</f>
        <v>31.320000000000007</v>
      </c>
      <c r="S301" s="14">
        <f>'PIVOT TABLES'!$P$28-'PIVOT TABLES'!$P$27</f>
        <v>31.319999999999993</v>
      </c>
      <c r="T301" s="14">
        <f>200-SUM(Table3[[#This Row],[W - LIGHT]:[W - VIGOROUS]])</f>
        <v>74.72</v>
      </c>
      <c r="U301" s="14">
        <f>'PIVOT TABLES'!$W$26</f>
        <v>55.895999999999994</v>
      </c>
      <c r="V301" s="14">
        <f>'PIVOT TABLES'!$W$27-'PIVOT TABLES'!$W$26</f>
        <v>27.948</v>
      </c>
      <c r="W301" s="14">
        <f>'PIVOT TABLES'!$W$28-'PIVOT TABLES'!$W$27</f>
        <v>27.947999999999993</v>
      </c>
      <c r="X301" s="14">
        <f>200-SUM(Table3[[#This Row],[S - LIGHT]:[S - VIGOROUS]])</f>
        <v>88.208000000000013</v>
      </c>
    </row>
    <row r="302" spans="1:24" x14ac:dyDescent="0.25">
      <c r="A302" s="17" t="s">
        <v>63</v>
      </c>
      <c r="B302" s="13" t="str">
        <f t="shared" si="4"/>
        <v>Winger</v>
      </c>
      <c r="C302" s="7">
        <v>45302.423425925925</v>
      </c>
      <c r="D302" s="14">
        <v>6248</v>
      </c>
      <c r="E302" s="14">
        <v>42</v>
      </c>
      <c r="F302" s="14">
        <v>28</v>
      </c>
      <c r="G302" s="14">
        <v>25</v>
      </c>
      <c r="H302" s="14">
        <v>65.36</v>
      </c>
      <c r="I302" s="14">
        <f>'PIVOT TABLES'!$B$26</f>
        <v>60.283999999999999</v>
      </c>
      <c r="J302" s="14">
        <f>'PIVOT TABLES'!$B$27-'PIVOT TABLES'!$B$26</f>
        <v>30.142000000000003</v>
      </c>
      <c r="K302" s="14">
        <f>'PIVOT TABLES'!$B$28-'PIVOT TABLES'!$B$27</f>
        <v>30.141999999999996</v>
      </c>
      <c r="L302" s="14">
        <f>200-SUM(Table3[[#This Row],[D - LIGHT]:[D - VIGOROUS]])</f>
        <v>79.432000000000002</v>
      </c>
      <c r="M302" s="14">
        <f>'PIVOT TABLES'!$I$26</f>
        <v>65.603999999999999</v>
      </c>
      <c r="N302" s="14">
        <f>'PIVOT TABLES'!$I$27-'PIVOT TABLES'!$I$26</f>
        <v>32.802000000000007</v>
      </c>
      <c r="O302" s="14">
        <f>'PIVOT TABLES'!$I$28-'PIVOT TABLES'!$I$27</f>
        <v>32.801999999999992</v>
      </c>
      <c r="P302" s="14">
        <f>200-SUM(Table3[[#This Row],[M - LIGHT]:[M - VIGOROUS]])</f>
        <v>68.792000000000002</v>
      </c>
      <c r="Q302" s="14">
        <f>'PIVOT TABLES'!$P$26</f>
        <v>62.64</v>
      </c>
      <c r="R302" s="14">
        <f>'PIVOT TABLES'!$P$27-'PIVOT TABLES'!$P$26</f>
        <v>31.320000000000007</v>
      </c>
      <c r="S302" s="14">
        <f>'PIVOT TABLES'!$P$28-'PIVOT TABLES'!$P$27</f>
        <v>31.319999999999993</v>
      </c>
      <c r="T302" s="14">
        <f>200-SUM(Table3[[#This Row],[W - LIGHT]:[W - VIGOROUS]])</f>
        <v>74.72</v>
      </c>
      <c r="U302" s="14">
        <f>'PIVOT TABLES'!$W$26</f>
        <v>55.895999999999994</v>
      </c>
      <c r="V302" s="14">
        <f>'PIVOT TABLES'!$W$27-'PIVOT TABLES'!$W$26</f>
        <v>27.948</v>
      </c>
      <c r="W302" s="14">
        <f>'PIVOT TABLES'!$W$28-'PIVOT TABLES'!$W$27</f>
        <v>27.947999999999993</v>
      </c>
      <c r="X302" s="14">
        <f>200-SUM(Table3[[#This Row],[S - LIGHT]:[S - VIGOROUS]])</f>
        <v>88.208000000000013</v>
      </c>
    </row>
    <row r="303" spans="1:24" x14ac:dyDescent="0.25">
      <c r="A303" s="17" t="s">
        <v>64</v>
      </c>
      <c r="B303" s="13" t="str">
        <f t="shared" si="4"/>
        <v>Midfielder</v>
      </c>
      <c r="C303" s="7">
        <v>45302.423425925925</v>
      </c>
      <c r="D303" s="14">
        <v>6934</v>
      </c>
      <c r="E303" s="14">
        <v>0</v>
      </c>
      <c r="F303" s="14">
        <v>7</v>
      </c>
      <c r="G303" s="14">
        <v>19</v>
      </c>
      <c r="H303" s="14">
        <v>70</v>
      </c>
      <c r="I303" s="14">
        <f>'PIVOT TABLES'!$B$26</f>
        <v>60.283999999999999</v>
      </c>
      <c r="J303" s="14">
        <f>'PIVOT TABLES'!$B$27-'PIVOT TABLES'!$B$26</f>
        <v>30.142000000000003</v>
      </c>
      <c r="K303" s="14">
        <f>'PIVOT TABLES'!$B$28-'PIVOT TABLES'!$B$27</f>
        <v>30.141999999999996</v>
      </c>
      <c r="L303" s="14">
        <f>200-SUM(Table3[[#This Row],[D - LIGHT]:[D - VIGOROUS]])</f>
        <v>79.432000000000002</v>
      </c>
      <c r="M303" s="14">
        <f>'PIVOT TABLES'!$I$26</f>
        <v>65.603999999999999</v>
      </c>
      <c r="N303" s="14">
        <f>'PIVOT TABLES'!$I$27-'PIVOT TABLES'!$I$26</f>
        <v>32.802000000000007</v>
      </c>
      <c r="O303" s="14">
        <f>'PIVOT TABLES'!$I$28-'PIVOT TABLES'!$I$27</f>
        <v>32.801999999999992</v>
      </c>
      <c r="P303" s="14">
        <f>200-SUM(Table3[[#This Row],[M - LIGHT]:[M - VIGOROUS]])</f>
        <v>68.792000000000002</v>
      </c>
      <c r="Q303" s="14">
        <f>'PIVOT TABLES'!$P$26</f>
        <v>62.64</v>
      </c>
      <c r="R303" s="14">
        <f>'PIVOT TABLES'!$P$27-'PIVOT TABLES'!$P$26</f>
        <v>31.320000000000007</v>
      </c>
      <c r="S303" s="14">
        <f>'PIVOT TABLES'!$P$28-'PIVOT TABLES'!$P$27</f>
        <v>31.319999999999993</v>
      </c>
      <c r="T303" s="14">
        <f>200-SUM(Table3[[#This Row],[W - LIGHT]:[W - VIGOROUS]])</f>
        <v>74.72</v>
      </c>
      <c r="U303" s="14">
        <f>'PIVOT TABLES'!$W$26</f>
        <v>55.895999999999994</v>
      </c>
      <c r="V303" s="14">
        <f>'PIVOT TABLES'!$W$27-'PIVOT TABLES'!$W$26</f>
        <v>27.948</v>
      </c>
      <c r="W303" s="14">
        <f>'PIVOT TABLES'!$W$28-'PIVOT TABLES'!$W$27</f>
        <v>27.947999999999993</v>
      </c>
      <c r="X303" s="14">
        <f>200-SUM(Table3[[#This Row],[S - LIGHT]:[S - VIGOROUS]])</f>
        <v>88.208000000000013</v>
      </c>
    </row>
    <row r="304" spans="1:24" x14ac:dyDescent="0.25">
      <c r="A304" s="17" t="s">
        <v>77</v>
      </c>
      <c r="B304" s="13" t="str">
        <f t="shared" si="4"/>
        <v>Defender</v>
      </c>
      <c r="C304" s="7">
        <v>45302.423425925925</v>
      </c>
      <c r="D304" s="14">
        <v>4923</v>
      </c>
      <c r="E304" s="14">
        <v>45</v>
      </c>
      <c r="F304" s="14">
        <v>23</v>
      </c>
      <c r="G304" s="14">
        <v>15</v>
      </c>
      <c r="H304" s="14">
        <v>51.8</v>
      </c>
      <c r="I304" s="14">
        <f>'PIVOT TABLES'!$B$26</f>
        <v>60.283999999999999</v>
      </c>
      <c r="J304" s="14">
        <f>'PIVOT TABLES'!$B$27-'PIVOT TABLES'!$B$26</f>
        <v>30.142000000000003</v>
      </c>
      <c r="K304" s="14">
        <f>'PIVOT TABLES'!$B$28-'PIVOT TABLES'!$B$27</f>
        <v>30.141999999999996</v>
      </c>
      <c r="L304" s="14">
        <f>200-SUM(Table3[[#This Row],[D - LIGHT]:[D - VIGOROUS]])</f>
        <v>79.432000000000002</v>
      </c>
      <c r="M304" s="14">
        <f>'PIVOT TABLES'!$I$26</f>
        <v>65.603999999999999</v>
      </c>
      <c r="N304" s="14">
        <f>'PIVOT TABLES'!$I$27-'PIVOT TABLES'!$I$26</f>
        <v>32.802000000000007</v>
      </c>
      <c r="O304" s="14">
        <f>'PIVOT TABLES'!$I$28-'PIVOT TABLES'!$I$27</f>
        <v>32.801999999999992</v>
      </c>
      <c r="P304" s="14">
        <f>200-SUM(Table3[[#This Row],[M - LIGHT]:[M - VIGOROUS]])</f>
        <v>68.792000000000002</v>
      </c>
      <c r="Q304" s="14">
        <f>'PIVOT TABLES'!$P$26</f>
        <v>62.64</v>
      </c>
      <c r="R304" s="14">
        <f>'PIVOT TABLES'!$P$27-'PIVOT TABLES'!$P$26</f>
        <v>31.320000000000007</v>
      </c>
      <c r="S304" s="14">
        <f>'PIVOT TABLES'!$P$28-'PIVOT TABLES'!$P$27</f>
        <v>31.319999999999993</v>
      </c>
      <c r="T304" s="14">
        <f>200-SUM(Table3[[#This Row],[W - LIGHT]:[W - VIGOROUS]])</f>
        <v>74.72</v>
      </c>
      <c r="U304" s="14">
        <f>'PIVOT TABLES'!$W$26</f>
        <v>55.895999999999994</v>
      </c>
      <c r="V304" s="14">
        <f>'PIVOT TABLES'!$W$27-'PIVOT TABLES'!$W$26</f>
        <v>27.948</v>
      </c>
      <c r="W304" s="14">
        <f>'PIVOT TABLES'!$W$28-'PIVOT TABLES'!$W$27</f>
        <v>27.947999999999993</v>
      </c>
      <c r="X304" s="14">
        <f>200-SUM(Table3[[#This Row],[S - LIGHT]:[S - VIGOROUS]])</f>
        <v>88.208000000000013</v>
      </c>
    </row>
    <row r="305" spans="1:24" x14ac:dyDescent="0.25">
      <c r="A305" s="17" t="s">
        <v>66</v>
      </c>
      <c r="B305" s="13" t="str">
        <f t="shared" si="4"/>
        <v>Striker</v>
      </c>
      <c r="C305" s="7">
        <v>45302.423425925925</v>
      </c>
      <c r="D305" s="14">
        <v>5683</v>
      </c>
      <c r="E305" s="14">
        <v>0</v>
      </c>
      <c r="F305" s="14">
        <v>23</v>
      </c>
      <c r="G305" s="14">
        <v>16</v>
      </c>
      <c r="H305" s="14">
        <v>58.07</v>
      </c>
      <c r="I305" s="14">
        <f>'PIVOT TABLES'!$B$26</f>
        <v>60.283999999999999</v>
      </c>
      <c r="J305" s="14">
        <f>'PIVOT TABLES'!$B$27-'PIVOT TABLES'!$B$26</f>
        <v>30.142000000000003</v>
      </c>
      <c r="K305" s="14">
        <f>'PIVOT TABLES'!$B$28-'PIVOT TABLES'!$B$27</f>
        <v>30.141999999999996</v>
      </c>
      <c r="L305" s="14">
        <f>200-SUM(Table3[[#This Row],[D - LIGHT]:[D - VIGOROUS]])</f>
        <v>79.432000000000002</v>
      </c>
      <c r="M305" s="14">
        <f>'PIVOT TABLES'!$I$26</f>
        <v>65.603999999999999</v>
      </c>
      <c r="N305" s="14">
        <f>'PIVOT TABLES'!$I$27-'PIVOT TABLES'!$I$26</f>
        <v>32.802000000000007</v>
      </c>
      <c r="O305" s="14">
        <f>'PIVOT TABLES'!$I$28-'PIVOT TABLES'!$I$27</f>
        <v>32.801999999999992</v>
      </c>
      <c r="P305" s="14">
        <f>200-SUM(Table3[[#This Row],[M - LIGHT]:[M - VIGOROUS]])</f>
        <v>68.792000000000002</v>
      </c>
      <c r="Q305" s="14">
        <f>'PIVOT TABLES'!$P$26</f>
        <v>62.64</v>
      </c>
      <c r="R305" s="14">
        <f>'PIVOT TABLES'!$P$27-'PIVOT TABLES'!$P$26</f>
        <v>31.320000000000007</v>
      </c>
      <c r="S305" s="14">
        <f>'PIVOT TABLES'!$P$28-'PIVOT TABLES'!$P$27</f>
        <v>31.319999999999993</v>
      </c>
      <c r="T305" s="14">
        <f>200-SUM(Table3[[#This Row],[W - LIGHT]:[W - VIGOROUS]])</f>
        <v>74.72</v>
      </c>
      <c r="U305" s="14">
        <f>'PIVOT TABLES'!$W$26</f>
        <v>55.895999999999994</v>
      </c>
      <c r="V305" s="14">
        <f>'PIVOT TABLES'!$W$27-'PIVOT TABLES'!$W$26</f>
        <v>27.948</v>
      </c>
      <c r="W305" s="14">
        <f>'PIVOT TABLES'!$W$28-'PIVOT TABLES'!$W$27</f>
        <v>27.947999999999993</v>
      </c>
      <c r="X305" s="14">
        <f>200-SUM(Table3[[#This Row],[S - LIGHT]:[S - VIGOROUS]])</f>
        <v>88.208000000000013</v>
      </c>
    </row>
    <row r="306" spans="1:24" x14ac:dyDescent="0.25">
      <c r="A306" s="17" t="s">
        <v>78</v>
      </c>
      <c r="B306" s="13" t="str">
        <f t="shared" si="4"/>
        <v>Defender</v>
      </c>
      <c r="C306" s="7">
        <v>45302.423425925925</v>
      </c>
      <c r="D306" s="14">
        <v>5985</v>
      </c>
      <c r="E306" s="14">
        <v>6</v>
      </c>
      <c r="F306" s="14">
        <v>13</v>
      </c>
      <c r="G306" s="14">
        <v>9</v>
      </c>
      <c r="H306" s="14">
        <v>60.73</v>
      </c>
      <c r="I306" s="14">
        <f>'PIVOT TABLES'!$B$26</f>
        <v>60.283999999999999</v>
      </c>
      <c r="J306" s="14">
        <f>'PIVOT TABLES'!$B$27-'PIVOT TABLES'!$B$26</f>
        <v>30.142000000000003</v>
      </c>
      <c r="K306" s="14">
        <f>'PIVOT TABLES'!$B$28-'PIVOT TABLES'!$B$27</f>
        <v>30.141999999999996</v>
      </c>
      <c r="L306" s="14">
        <f>200-SUM(Table3[[#This Row],[D - LIGHT]:[D - VIGOROUS]])</f>
        <v>79.432000000000002</v>
      </c>
      <c r="M306" s="14">
        <f>'PIVOT TABLES'!$I$26</f>
        <v>65.603999999999999</v>
      </c>
      <c r="N306" s="14">
        <f>'PIVOT TABLES'!$I$27-'PIVOT TABLES'!$I$26</f>
        <v>32.802000000000007</v>
      </c>
      <c r="O306" s="14">
        <f>'PIVOT TABLES'!$I$28-'PIVOT TABLES'!$I$27</f>
        <v>32.801999999999992</v>
      </c>
      <c r="P306" s="14">
        <f>200-SUM(Table3[[#This Row],[M - LIGHT]:[M - VIGOROUS]])</f>
        <v>68.792000000000002</v>
      </c>
      <c r="Q306" s="14">
        <f>'PIVOT TABLES'!$P$26</f>
        <v>62.64</v>
      </c>
      <c r="R306" s="14">
        <f>'PIVOT TABLES'!$P$27-'PIVOT TABLES'!$P$26</f>
        <v>31.320000000000007</v>
      </c>
      <c r="S306" s="14">
        <f>'PIVOT TABLES'!$P$28-'PIVOT TABLES'!$P$27</f>
        <v>31.319999999999993</v>
      </c>
      <c r="T306" s="14">
        <f>200-SUM(Table3[[#This Row],[W - LIGHT]:[W - VIGOROUS]])</f>
        <v>74.72</v>
      </c>
      <c r="U306" s="14">
        <f>'PIVOT TABLES'!$W$26</f>
        <v>55.895999999999994</v>
      </c>
      <c r="V306" s="14">
        <f>'PIVOT TABLES'!$W$27-'PIVOT TABLES'!$W$26</f>
        <v>27.948</v>
      </c>
      <c r="W306" s="14">
        <f>'PIVOT TABLES'!$W$28-'PIVOT TABLES'!$W$27</f>
        <v>27.947999999999993</v>
      </c>
      <c r="X306" s="14">
        <f>200-SUM(Table3[[#This Row],[S - LIGHT]:[S - VIGOROUS]])</f>
        <v>88.208000000000013</v>
      </c>
    </row>
    <row r="307" spans="1:24" x14ac:dyDescent="0.25">
      <c r="A307" s="17" t="s">
        <v>8</v>
      </c>
      <c r="B307" s="13" t="str">
        <f t="shared" si="4"/>
        <v>Striker</v>
      </c>
      <c r="C307" s="7">
        <v>45302.423425925925</v>
      </c>
      <c r="D307" s="14">
        <v>4852</v>
      </c>
      <c r="E307" s="14">
        <v>0</v>
      </c>
      <c r="F307" s="14">
        <v>16</v>
      </c>
      <c r="G307" s="14">
        <v>10</v>
      </c>
      <c r="H307" s="14">
        <v>49.36</v>
      </c>
      <c r="I307" s="14">
        <f>'PIVOT TABLES'!$B$26</f>
        <v>60.283999999999999</v>
      </c>
      <c r="J307" s="14">
        <f>'PIVOT TABLES'!$B$27-'PIVOT TABLES'!$B$26</f>
        <v>30.142000000000003</v>
      </c>
      <c r="K307" s="14">
        <f>'PIVOT TABLES'!$B$28-'PIVOT TABLES'!$B$27</f>
        <v>30.141999999999996</v>
      </c>
      <c r="L307" s="14">
        <f>200-SUM(Table3[[#This Row],[D - LIGHT]:[D - VIGOROUS]])</f>
        <v>79.432000000000002</v>
      </c>
      <c r="M307" s="14">
        <f>'PIVOT TABLES'!$I$26</f>
        <v>65.603999999999999</v>
      </c>
      <c r="N307" s="14">
        <f>'PIVOT TABLES'!$I$27-'PIVOT TABLES'!$I$26</f>
        <v>32.802000000000007</v>
      </c>
      <c r="O307" s="14">
        <f>'PIVOT TABLES'!$I$28-'PIVOT TABLES'!$I$27</f>
        <v>32.801999999999992</v>
      </c>
      <c r="P307" s="14">
        <f>200-SUM(Table3[[#This Row],[M - LIGHT]:[M - VIGOROUS]])</f>
        <v>68.792000000000002</v>
      </c>
      <c r="Q307" s="14">
        <f>'PIVOT TABLES'!$P$26</f>
        <v>62.64</v>
      </c>
      <c r="R307" s="14">
        <f>'PIVOT TABLES'!$P$27-'PIVOT TABLES'!$P$26</f>
        <v>31.320000000000007</v>
      </c>
      <c r="S307" s="14">
        <f>'PIVOT TABLES'!$P$28-'PIVOT TABLES'!$P$27</f>
        <v>31.319999999999993</v>
      </c>
      <c r="T307" s="14">
        <f>200-SUM(Table3[[#This Row],[W - LIGHT]:[W - VIGOROUS]])</f>
        <v>74.72</v>
      </c>
      <c r="U307" s="14">
        <f>'PIVOT TABLES'!$W$26</f>
        <v>55.895999999999994</v>
      </c>
      <c r="V307" s="14">
        <f>'PIVOT TABLES'!$W$27-'PIVOT TABLES'!$W$26</f>
        <v>27.948</v>
      </c>
      <c r="W307" s="14">
        <f>'PIVOT TABLES'!$W$28-'PIVOT TABLES'!$W$27</f>
        <v>27.947999999999993</v>
      </c>
      <c r="X307" s="14">
        <f>200-SUM(Table3[[#This Row],[S - LIGHT]:[S - VIGOROUS]])</f>
        <v>88.208000000000013</v>
      </c>
    </row>
    <row r="308" spans="1:24" x14ac:dyDescent="0.25">
      <c r="A308" s="17" t="s">
        <v>67</v>
      </c>
      <c r="B308" s="13" t="str">
        <f t="shared" si="4"/>
        <v>Midfielder</v>
      </c>
      <c r="C308" s="7">
        <v>45302.423425925925</v>
      </c>
      <c r="D308" s="14">
        <v>6050</v>
      </c>
      <c r="E308" s="14">
        <v>60</v>
      </c>
      <c r="F308" s="14">
        <v>28</v>
      </c>
      <c r="G308" s="14">
        <v>16</v>
      </c>
      <c r="H308" s="14">
        <v>63.74</v>
      </c>
      <c r="I308" s="14">
        <f>'PIVOT TABLES'!$B$26</f>
        <v>60.283999999999999</v>
      </c>
      <c r="J308" s="14">
        <f>'PIVOT TABLES'!$B$27-'PIVOT TABLES'!$B$26</f>
        <v>30.142000000000003</v>
      </c>
      <c r="K308" s="14">
        <f>'PIVOT TABLES'!$B$28-'PIVOT TABLES'!$B$27</f>
        <v>30.141999999999996</v>
      </c>
      <c r="L308" s="14">
        <f>200-SUM(Table3[[#This Row],[D - LIGHT]:[D - VIGOROUS]])</f>
        <v>79.432000000000002</v>
      </c>
      <c r="M308" s="14">
        <f>'PIVOT TABLES'!$I$26</f>
        <v>65.603999999999999</v>
      </c>
      <c r="N308" s="14">
        <f>'PIVOT TABLES'!$I$27-'PIVOT TABLES'!$I$26</f>
        <v>32.802000000000007</v>
      </c>
      <c r="O308" s="14">
        <f>'PIVOT TABLES'!$I$28-'PIVOT TABLES'!$I$27</f>
        <v>32.801999999999992</v>
      </c>
      <c r="P308" s="14">
        <f>200-SUM(Table3[[#This Row],[M - LIGHT]:[M - VIGOROUS]])</f>
        <v>68.792000000000002</v>
      </c>
      <c r="Q308" s="14">
        <f>'PIVOT TABLES'!$P$26</f>
        <v>62.64</v>
      </c>
      <c r="R308" s="14">
        <f>'PIVOT TABLES'!$P$27-'PIVOT TABLES'!$P$26</f>
        <v>31.320000000000007</v>
      </c>
      <c r="S308" s="14">
        <f>'PIVOT TABLES'!$P$28-'PIVOT TABLES'!$P$27</f>
        <v>31.319999999999993</v>
      </c>
      <c r="T308" s="14">
        <f>200-SUM(Table3[[#This Row],[W - LIGHT]:[W - VIGOROUS]])</f>
        <v>74.72</v>
      </c>
      <c r="U308" s="14">
        <f>'PIVOT TABLES'!$W$26</f>
        <v>55.895999999999994</v>
      </c>
      <c r="V308" s="14">
        <f>'PIVOT TABLES'!$W$27-'PIVOT TABLES'!$W$26</f>
        <v>27.948</v>
      </c>
      <c r="W308" s="14">
        <f>'PIVOT TABLES'!$W$28-'PIVOT TABLES'!$W$27</f>
        <v>27.947999999999993</v>
      </c>
      <c r="X308" s="14">
        <f>200-SUM(Table3[[#This Row],[S - LIGHT]:[S - VIGOROUS]])</f>
        <v>88.208000000000013</v>
      </c>
    </row>
    <row r="309" spans="1:24" x14ac:dyDescent="0.25">
      <c r="A309" s="17" t="s">
        <v>69</v>
      </c>
      <c r="B309" s="13" t="str">
        <f t="shared" si="4"/>
        <v>Midfielder</v>
      </c>
      <c r="C309" s="7">
        <v>45302.423425925925</v>
      </c>
      <c r="D309" s="14">
        <v>6174</v>
      </c>
      <c r="E309" s="14">
        <v>103</v>
      </c>
      <c r="F309" s="14">
        <v>23</v>
      </c>
      <c r="G309" s="14">
        <v>16</v>
      </c>
      <c r="H309" s="14">
        <v>66.069999999999993</v>
      </c>
      <c r="I309" s="14">
        <f>'PIVOT TABLES'!$B$26</f>
        <v>60.283999999999999</v>
      </c>
      <c r="J309" s="14">
        <f>'PIVOT TABLES'!$B$27-'PIVOT TABLES'!$B$26</f>
        <v>30.142000000000003</v>
      </c>
      <c r="K309" s="14">
        <f>'PIVOT TABLES'!$B$28-'PIVOT TABLES'!$B$27</f>
        <v>30.141999999999996</v>
      </c>
      <c r="L309" s="14">
        <f>200-SUM(Table3[[#This Row],[D - LIGHT]:[D - VIGOROUS]])</f>
        <v>79.432000000000002</v>
      </c>
      <c r="M309" s="14">
        <f>'PIVOT TABLES'!$I$26</f>
        <v>65.603999999999999</v>
      </c>
      <c r="N309" s="14">
        <f>'PIVOT TABLES'!$I$27-'PIVOT TABLES'!$I$26</f>
        <v>32.802000000000007</v>
      </c>
      <c r="O309" s="14">
        <f>'PIVOT TABLES'!$I$28-'PIVOT TABLES'!$I$27</f>
        <v>32.801999999999992</v>
      </c>
      <c r="P309" s="14">
        <f>200-SUM(Table3[[#This Row],[M - LIGHT]:[M - VIGOROUS]])</f>
        <v>68.792000000000002</v>
      </c>
      <c r="Q309" s="14">
        <f>'PIVOT TABLES'!$P$26</f>
        <v>62.64</v>
      </c>
      <c r="R309" s="14">
        <f>'PIVOT TABLES'!$P$27-'PIVOT TABLES'!$P$26</f>
        <v>31.320000000000007</v>
      </c>
      <c r="S309" s="14">
        <f>'PIVOT TABLES'!$P$28-'PIVOT TABLES'!$P$27</f>
        <v>31.319999999999993</v>
      </c>
      <c r="T309" s="14">
        <f>200-SUM(Table3[[#This Row],[W - LIGHT]:[W - VIGOROUS]])</f>
        <v>74.72</v>
      </c>
      <c r="U309" s="14">
        <f>'PIVOT TABLES'!$W$26</f>
        <v>55.895999999999994</v>
      </c>
      <c r="V309" s="14">
        <f>'PIVOT TABLES'!$W$27-'PIVOT TABLES'!$W$26</f>
        <v>27.948</v>
      </c>
      <c r="W309" s="14">
        <f>'PIVOT TABLES'!$W$28-'PIVOT TABLES'!$W$27</f>
        <v>27.947999999999993</v>
      </c>
      <c r="X309" s="14">
        <f>200-SUM(Table3[[#This Row],[S - LIGHT]:[S - VIGOROUS]])</f>
        <v>88.208000000000013</v>
      </c>
    </row>
    <row r="310" spans="1:24" x14ac:dyDescent="0.25">
      <c r="A310" s="17" t="s">
        <v>70</v>
      </c>
      <c r="B310" s="13" t="str">
        <f t="shared" si="4"/>
        <v>Winger</v>
      </c>
      <c r="C310" s="7">
        <v>45303.432685185187</v>
      </c>
      <c r="D310" s="14">
        <v>7495</v>
      </c>
      <c r="E310" s="14">
        <v>114</v>
      </c>
      <c r="F310" s="14">
        <v>15</v>
      </c>
      <c r="G310" s="14">
        <v>9</v>
      </c>
      <c r="H310" s="14">
        <v>79.150000000000006</v>
      </c>
      <c r="I310" s="14">
        <f>'PIVOT TABLES'!$B$26</f>
        <v>60.283999999999999</v>
      </c>
      <c r="J310" s="14">
        <f>'PIVOT TABLES'!$B$27-'PIVOT TABLES'!$B$26</f>
        <v>30.142000000000003</v>
      </c>
      <c r="K310" s="14">
        <f>'PIVOT TABLES'!$B$28-'PIVOT TABLES'!$B$27</f>
        <v>30.141999999999996</v>
      </c>
      <c r="L310" s="14">
        <f>200-SUM(Table3[[#This Row],[D - LIGHT]:[D - VIGOROUS]])</f>
        <v>79.432000000000002</v>
      </c>
      <c r="M310" s="14">
        <f>'PIVOT TABLES'!$I$26</f>
        <v>65.603999999999999</v>
      </c>
      <c r="N310" s="14">
        <f>'PIVOT TABLES'!$I$27-'PIVOT TABLES'!$I$26</f>
        <v>32.802000000000007</v>
      </c>
      <c r="O310" s="14">
        <f>'PIVOT TABLES'!$I$28-'PIVOT TABLES'!$I$27</f>
        <v>32.801999999999992</v>
      </c>
      <c r="P310" s="14">
        <f>200-SUM(Table3[[#This Row],[M - LIGHT]:[M - VIGOROUS]])</f>
        <v>68.792000000000002</v>
      </c>
      <c r="Q310" s="14">
        <f>'PIVOT TABLES'!$P$26</f>
        <v>62.64</v>
      </c>
      <c r="R310" s="14">
        <f>'PIVOT TABLES'!$P$27-'PIVOT TABLES'!$P$26</f>
        <v>31.320000000000007</v>
      </c>
      <c r="S310" s="14">
        <f>'PIVOT TABLES'!$P$28-'PIVOT TABLES'!$P$27</f>
        <v>31.319999999999993</v>
      </c>
      <c r="T310" s="14">
        <f>200-SUM(Table3[[#This Row],[W - LIGHT]:[W - VIGOROUS]])</f>
        <v>74.72</v>
      </c>
      <c r="U310" s="14">
        <f>'PIVOT TABLES'!$W$26</f>
        <v>55.895999999999994</v>
      </c>
      <c r="V310" s="14">
        <f>'PIVOT TABLES'!$W$27-'PIVOT TABLES'!$W$26</f>
        <v>27.948</v>
      </c>
      <c r="W310" s="14">
        <f>'PIVOT TABLES'!$W$28-'PIVOT TABLES'!$W$27</f>
        <v>27.947999999999993</v>
      </c>
      <c r="X310" s="14">
        <f>200-SUM(Table3[[#This Row],[S - LIGHT]:[S - VIGOROUS]])</f>
        <v>88.208000000000013</v>
      </c>
    </row>
    <row r="311" spans="1:24" x14ac:dyDescent="0.25">
      <c r="A311" s="17" t="s">
        <v>53</v>
      </c>
      <c r="B311" s="13" t="str">
        <f t="shared" si="4"/>
        <v>Midfielder</v>
      </c>
      <c r="C311" s="7">
        <v>45303.432685185187</v>
      </c>
      <c r="D311" s="14">
        <v>8407</v>
      </c>
      <c r="E311" s="14">
        <v>131</v>
      </c>
      <c r="F311" s="14">
        <v>12</v>
      </c>
      <c r="G311" s="14">
        <v>14</v>
      </c>
      <c r="H311" s="14">
        <v>88.76</v>
      </c>
      <c r="I311" s="14">
        <f>'PIVOT TABLES'!$B$26</f>
        <v>60.283999999999999</v>
      </c>
      <c r="J311" s="14">
        <f>'PIVOT TABLES'!$B$27-'PIVOT TABLES'!$B$26</f>
        <v>30.142000000000003</v>
      </c>
      <c r="K311" s="14">
        <f>'PIVOT TABLES'!$B$28-'PIVOT TABLES'!$B$27</f>
        <v>30.141999999999996</v>
      </c>
      <c r="L311" s="14">
        <f>200-SUM(Table3[[#This Row],[D - LIGHT]:[D - VIGOROUS]])</f>
        <v>79.432000000000002</v>
      </c>
      <c r="M311" s="14">
        <f>'PIVOT TABLES'!$I$26</f>
        <v>65.603999999999999</v>
      </c>
      <c r="N311" s="14">
        <f>'PIVOT TABLES'!$I$27-'PIVOT TABLES'!$I$26</f>
        <v>32.802000000000007</v>
      </c>
      <c r="O311" s="14">
        <f>'PIVOT TABLES'!$I$28-'PIVOT TABLES'!$I$27</f>
        <v>32.801999999999992</v>
      </c>
      <c r="P311" s="14">
        <f>200-SUM(Table3[[#This Row],[M - LIGHT]:[M - VIGOROUS]])</f>
        <v>68.792000000000002</v>
      </c>
      <c r="Q311" s="14">
        <f>'PIVOT TABLES'!$P$26</f>
        <v>62.64</v>
      </c>
      <c r="R311" s="14">
        <f>'PIVOT TABLES'!$P$27-'PIVOT TABLES'!$P$26</f>
        <v>31.320000000000007</v>
      </c>
      <c r="S311" s="14">
        <f>'PIVOT TABLES'!$P$28-'PIVOT TABLES'!$P$27</f>
        <v>31.319999999999993</v>
      </c>
      <c r="T311" s="14">
        <f>200-SUM(Table3[[#This Row],[W - LIGHT]:[W - VIGOROUS]])</f>
        <v>74.72</v>
      </c>
      <c r="U311" s="14">
        <f>'PIVOT TABLES'!$W$26</f>
        <v>55.895999999999994</v>
      </c>
      <c r="V311" s="14">
        <f>'PIVOT TABLES'!$W$27-'PIVOT TABLES'!$W$26</f>
        <v>27.948</v>
      </c>
      <c r="W311" s="14">
        <f>'PIVOT TABLES'!$W$28-'PIVOT TABLES'!$W$27</f>
        <v>27.947999999999993</v>
      </c>
      <c r="X311" s="14">
        <f>200-SUM(Table3[[#This Row],[S - LIGHT]:[S - VIGOROUS]])</f>
        <v>88.208000000000013</v>
      </c>
    </row>
    <row r="312" spans="1:24" x14ac:dyDescent="0.25">
      <c r="A312" s="17" t="s">
        <v>54</v>
      </c>
      <c r="B312" s="13" t="str">
        <f t="shared" si="4"/>
        <v>Striker</v>
      </c>
      <c r="C312" s="7">
        <v>45303.432685185187</v>
      </c>
      <c r="D312" s="14">
        <v>8638</v>
      </c>
      <c r="E312" s="14">
        <v>126</v>
      </c>
      <c r="F312" s="14">
        <v>28</v>
      </c>
      <c r="G312" s="14">
        <v>13</v>
      </c>
      <c r="H312" s="14">
        <v>91.54</v>
      </c>
      <c r="I312" s="14">
        <f>'PIVOT TABLES'!$B$26</f>
        <v>60.283999999999999</v>
      </c>
      <c r="J312" s="14">
        <f>'PIVOT TABLES'!$B$27-'PIVOT TABLES'!$B$26</f>
        <v>30.142000000000003</v>
      </c>
      <c r="K312" s="14">
        <f>'PIVOT TABLES'!$B$28-'PIVOT TABLES'!$B$27</f>
        <v>30.141999999999996</v>
      </c>
      <c r="L312" s="14">
        <f>200-SUM(Table3[[#This Row],[D - LIGHT]:[D - VIGOROUS]])</f>
        <v>79.432000000000002</v>
      </c>
      <c r="M312" s="14">
        <f>'PIVOT TABLES'!$I$26</f>
        <v>65.603999999999999</v>
      </c>
      <c r="N312" s="14">
        <f>'PIVOT TABLES'!$I$27-'PIVOT TABLES'!$I$26</f>
        <v>32.802000000000007</v>
      </c>
      <c r="O312" s="14">
        <f>'PIVOT TABLES'!$I$28-'PIVOT TABLES'!$I$27</f>
        <v>32.801999999999992</v>
      </c>
      <c r="P312" s="14">
        <f>200-SUM(Table3[[#This Row],[M - LIGHT]:[M - VIGOROUS]])</f>
        <v>68.792000000000002</v>
      </c>
      <c r="Q312" s="14">
        <f>'PIVOT TABLES'!$P$26</f>
        <v>62.64</v>
      </c>
      <c r="R312" s="14">
        <f>'PIVOT TABLES'!$P$27-'PIVOT TABLES'!$P$26</f>
        <v>31.320000000000007</v>
      </c>
      <c r="S312" s="14">
        <f>'PIVOT TABLES'!$P$28-'PIVOT TABLES'!$P$27</f>
        <v>31.319999999999993</v>
      </c>
      <c r="T312" s="14">
        <f>200-SUM(Table3[[#This Row],[W - LIGHT]:[W - VIGOROUS]])</f>
        <v>74.72</v>
      </c>
      <c r="U312" s="14">
        <f>'PIVOT TABLES'!$W$26</f>
        <v>55.895999999999994</v>
      </c>
      <c r="V312" s="14">
        <f>'PIVOT TABLES'!$W$27-'PIVOT TABLES'!$W$26</f>
        <v>27.948</v>
      </c>
      <c r="W312" s="14">
        <f>'PIVOT TABLES'!$W$28-'PIVOT TABLES'!$W$27</f>
        <v>27.947999999999993</v>
      </c>
      <c r="X312" s="14">
        <f>200-SUM(Table3[[#This Row],[S - LIGHT]:[S - VIGOROUS]])</f>
        <v>88.208000000000013</v>
      </c>
    </row>
    <row r="313" spans="1:24" x14ac:dyDescent="0.25">
      <c r="A313" s="17" t="s">
        <v>55</v>
      </c>
      <c r="B313" s="13" t="str">
        <f t="shared" si="4"/>
        <v>Striker</v>
      </c>
      <c r="C313" s="7">
        <v>45303.432685185187</v>
      </c>
      <c r="D313" s="14">
        <v>7540</v>
      </c>
      <c r="E313" s="14">
        <v>105</v>
      </c>
      <c r="F313" s="14">
        <v>18</v>
      </c>
      <c r="G313" s="14">
        <v>11</v>
      </c>
      <c r="H313" s="14">
        <v>79.489999999999995</v>
      </c>
      <c r="I313" s="14">
        <f>'PIVOT TABLES'!$B$26</f>
        <v>60.283999999999999</v>
      </c>
      <c r="J313" s="14">
        <f>'PIVOT TABLES'!$B$27-'PIVOT TABLES'!$B$26</f>
        <v>30.142000000000003</v>
      </c>
      <c r="K313" s="14">
        <f>'PIVOT TABLES'!$B$28-'PIVOT TABLES'!$B$27</f>
        <v>30.141999999999996</v>
      </c>
      <c r="L313" s="14">
        <f>200-SUM(Table3[[#This Row],[D - LIGHT]:[D - VIGOROUS]])</f>
        <v>79.432000000000002</v>
      </c>
      <c r="M313" s="14">
        <f>'PIVOT TABLES'!$I$26</f>
        <v>65.603999999999999</v>
      </c>
      <c r="N313" s="14">
        <f>'PIVOT TABLES'!$I$27-'PIVOT TABLES'!$I$26</f>
        <v>32.802000000000007</v>
      </c>
      <c r="O313" s="14">
        <f>'PIVOT TABLES'!$I$28-'PIVOT TABLES'!$I$27</f>
        <v>32.801999999999992</v>
      </c>
      <c r="P313" s="14">
        <f>200-SUM(Table3[[#This Row],[M - LIGHT]:[M - VIGOROUS]])</f>
        <v>68.792000000000002</v>
      </c>
      <c r="Q313" s="14">
        <f>'PIVOT TABLES'!$P$26</f>
        <v>62.64</v>
      </c>
      <c r="R313" s="14">
        <f>'PIVOT TABLES'!$P$27-'PIVOT TABLES'!$P$26</f>
        <v>31.320000000000007</v>
      </c>
      <c r="S313" s="14">
        <f>'PIVOT TABLES'!$P$28-'PIVOT TABLES'!$P$27</f>
        <v>31.319999999999993</v>
      </c>
      <c r="T313" s="14">
        <f>200-SUM(Table3[[#This Row],[W - LIGHT]:[W - VIGOROUS]])</f>
        <v>74.72</v>
      </c>
      <c r="U313" s="14">
        <f>'PIVOT TABLES'!$W$26</f>
        <v>55.895999999999994</v>
      </c>
      <c r="V313" s="14">
        <f>'PIVOT TABLES'!$W$27-'PIVOT TABLES'!$W$26</f>
        <v>27.948</v>
      </c>
      <c r="W313" s="14">
        <f>'PIVOT TABLES'!$W$28-'PIVOT TABLES'!$W$27</f>
        <v>27.947999999999993</v>
      </c>
      <c r="X313" s="14">
        <f>200-SUM(Table3[[#This Row],[S - LIGHT]:[S - VIGOROUS]])</f>
        <v>88.208000000000013</v>
      </c>
    </row>
    <row r="314" spans="1:24" x14ac:dyDescent="0.25">
      <c r="A314" s="17" t="s">
        <v>1</v>
      </c>
      <c r="B314" s="13" t="str">
        <f t="shared" si="4"/>
        <v>Defender</v>
      </c>
      <c r="C314" s="7">
        <v>45303.432685185187</v>
      </c>
      <c r="D314" s="14">
        <v>6699</v>
      </c>
      <c r="E314" s="14">
        <v>79</v>
      </c>
      <c r="F314" s="14">
        <v>16</v>
      </c>
      <c r="G314" s="14">
        <v>13</v>
      </c>
      <c r="H314" s="14">
        <v>70.260000000000005</v>
      </c>
      <c r="I314" s="14">
        <f>'PIVOT TABLES'!$B$26</f>
        <v>60.283999999999999</v>
      </c>
      <c r="J314" s="14">
        <f>'PIVOT TABLES'!$B$27-'PIVOT TABLES'!$B$26</f>
        <v>30.142000000000003</v>
      </c>
      <c r="K314" s="14">
        <f>'PIVOT TABLES'!$B$28-'PIVOT TABLES'!$B$27</f>
        <v>30.141999999999996</v>
      </c>
      <c r="L314" s="14">
        <f>200-SUM(Table3[[#This Row],[D - LIGHT]:[D - VIGOROUS]])</f>
        <v>79.432000000000002</v>
      </c>
      <c r="M314" s="14">
        <f>'PIVOT TABLES'!$I$26</f>
        <v>65.603999999999999</v>
      </c>
      <c r="N314" s="14">
        <f>'PIVOT TABLES'!$I$27-'PIVOT TABLES'!$I$26</f>
        <v>32.802000000000007</v>
      </c>
      <c r="O314" s="14">
        <f>'PIVOT TABLES'!$I$28-'PIVOT TABLES'!$I$27</f>
        <v>32.801999999999992</v>
      </c>
      <c r="P314" s="14">
        <f>200-SUM(Table3[[#This Row],[M - LIGHT]:[M - VIGOROUS]])</f>
        <v>68.792000000000002</v>
      </c>
      <c r="Q314" s="14">
        <f>'PIVOT TABLES'!$P$26</f>
        <v>62.64</v>
      </c>
      <c r="R314" s="14">
        <f>'PIVOT TABLES'!$P$27-'PIVOT TABLES'!$P$26</f>
        <v>31.320000000000007</v>
      </c>
      <c r="S314" s="14">
        <f>'PIVOT TABLES'!$P$28-'PIVOT TABLES'!$P$27</f>
        <v>31.319999999999993</v>
      </c>
      <c r="T314" s="14">
        <f>200-SUM(Table3[[#This Row],[W - LIGHT]:[W - VIGOROUS]])</f>
        <v>74.72</v>
      </c>
      <c r="U314" s="14">
        <f>'PIVOT TABLES'!$W$26</f>
        <v>55.895999999999994</v>
      </c>
      <c r="V314" s="14">
        <f>'PIVOT TABLES'!$W$27-'PIVOT TABLES'!$W$26</f>
        <v>27.948</v>
      </c>
      <c r="W314" s="14">
        <f>'PIVOT TABLES'!$W$28-'PIVOT TABLES'!$W$27</f>
        <v>27.947999999999993</v>
      </c>
      <c r="X314" s="14">
        <f>200-SUM(Table3[[#This Row],[S - LIGHT]:[S - VIGOROUS]])</f>
        <v>88.208000000000013</v>
      </c>
    </row>
    <row r="315" spans="1:24" x14ac:dyDescent="0.25">
      <c r="A315" s="17" t="s">
        <v>56</v>
      </c>
      <c r="B315" s="13" t="str">
        <f t="shared" si="4"/>
        <v>Midfielder</v>
      </c>
      <c r="C315" s="7">
        <v>45303.432685185187</v>
      </c>
      <c r="D315" s="14">
        <v>8471</v>
      </c>
      <c r="E315" s="14">
        <v>48</v>
      </c>
      <c r="F315" s="14">
        <v>15</v>
      </c>
      <c r="G315" s="14">
        <v>9</v>
      </c>
      <c r="H315" s="14">
        <v>86.93</v>
      </c>
      <c r="I315" s="14">
        <f>'PIVOT TABLES'!$B$26</f>
        <v>60.283999999999999</v>
      </c>
      <c r="J315" s="14">
        <f>'PIVOT TABLES'!$B$27-'PIVOT TABLES'!$B$26</f>
        <v>30.142000000000003</v>
      </c>
      <c r="K315" s="14">
        <f>'PIVOT TABLES'!$B$28-'PIVOT TABLES'!$B$27</f>
        <v>30.141999999999996</v>
      </c>
      <c r="L315" s="14">
        <f>200-SUM(Table3[[#This Row],[D - LIGHT]:[D - VIGOROUS]])</f>
        <v>79.432000000000002</v>
      </c>
      <c r="M315" s="14">
        <f>'PIVOT TABLES'!$I$26</f>
        <v>65.603999999999999</v>
      </c>
      <c r="N315" s="14">
        <f>'PIVOT TABLES'!$I$27-'PIVOT TABLES'!$I$26</f>
        <v>32.802000000000007</v>
      </c>
      <c r="O315" s="14">
        <f>'PIVOT TABLES'!$I$28-'PIVOT TABLES'!$I$27</f>
        <v>32.801999999999992</v>
      </c>
      <c r="P315" s="14">
        <f>200-SUM(Table3[[#This Row],[M - LIGHT]:[M - VIGOROUS]])</f>
        <v>68.792000000000002</v>
      </c>
      <c r="Q315" s="14">
        <f>'PIVOT TABLES'!$P$26</f>
        <v>62.64</v>
      </c>
      <c r="R315" s="14">
        <f>'PIVOT TABLES'!$P$27-'PIVOT TABLES'!$P$26</f>
        <v>31.320000000000007</v>
      </c>
      <c r="S315" s="14">
        <f>'PIVOT TABLES'!$P$28-'PIVOT TABLES'!$P$27</f>
        <v>31.319999999999993</v>
      </c>
      <c r="T315" s="14">
        <f>200-SUM(Table3[[#This Row],[W - LIGHT]:[W - VIGOROUS]])</f>
        <v>74.72</v>
      </c>
      <c r="U315" s="14">
        <f>'PIVOT TABLES'!$W$26</f>
        <v>55.895999999999994</v>
      </c>
      <c r="V315" s="14">
        <f>'PIVOT TABLES'!$W$27-'PIVOT TABLES'!$W$26</f>
        <v>27.948</v>
      </c>
      <c r="W315" s="14">
        <f>'PIVOT TABLES'!$W$28-'PIVOT TABLES'!$W$27</f>
        <v>27.947999999999993</v>
      </c>
      <c r="X315" s="14">
        <f>200-SUM(Table3[[#This Row],[S - LIGHT]:[S - VIGOROUS]])</f>
        <v>88.208000000000013</v>
      </c>
    </row>
    <row r="316" spans="1:24" x14ac:dyDescent="0.25">
      <c r="A316" s="17" t="s">
        <v>57</v>
      </c>
      <c r="B316" s="13" t="str">
        <f t="shared" si="4"/>
        <v>Midfielder</v>
      </c>
      <c r="C316" s="7">
        <v>45303.432685185187</v>
      </c>
      <c r="D316" s="14">
        <v>5872</v>
      </c>
      <c r="E316" s="14">
        <v>47</v>
      </c>
      <c r="F316" s="14">
        <v>13</v>
      </c>
      <c r="G316" s="14">
        <v>10</v>
      </c>
      <c r="H316" s="14">
        <v>60.85</v>
      </c>
      <c r="I316" s="14">
        <f>'PIVOT TABLES'!$B$26</f>
        <v>60.283999999999999</v>
      </c>
      <c r="J316" s="14">
        <f>'PIVOT TABLES'!$B$27-'PIVOT TABLES'!$B$26</f>
        <v>30.142000000000003</v>
      </c>
      <c r="K316" s="14">
        <f>'PIVOT TABLES'!$B$28-'PIVOT TABLES'!$B$27</f>
        <v>30.141999999999996</v>
      </c>
      <c r="L316" s="14">
        <f>200-SUM(Table3[[#This Row],[D - LIGHT]:[D - VIGOROUS]])</f>
        <v>79.432000000000002</v>
      </c>
      <c r="M316" s="14">
        <f>'PIVOT TABLES'!$I$26</f>
        <v>65.603999999999999</v>
      </c>
      <c r="N316" s="14">
        <f>'PIVOT TABLES'!$I$27-'PIVOT TABLES'!$I$26</f>
        <v>32.802000000000007</v>
      </c>
      <c r="O316" s="14">
        <f>'PIVOT TABLES'!$I$28-'PIVOT TABLES'!$I$27</f>
        <v>32.801999999999992</v>
      </c>
      <c r="P316" s="14">
        <f>200-SUM(Table3[[#This Row],[M - LIGHT]:[M - VIGOROUS]])</f>
        <v>68.792000000000002</v>
      </c>
      <c r="Q316" s="14">
        <f>'PIVOT TABLES'!$P$26</f>
        <v>62.64</v>
      </c>
      <c r="R316" s="14">
        <f>'PIVOT TABLES'!$P$27-'PIVOT TABLES'!$P$26</f>
        <v>31.320000000000007</v>
      </c>
      <c r="S316" s="14">
        <f>'PIVOT TABLES'!$P$28-'PIVOT TABLES'!$P$27</f>
        <v>31.319999999999993</v>
      </c>
      <c r="T316" s="14">
        <f>200-SUM(Table3[[#This Row],[W - LIGHT]:[W - VIGOROUS]])</f>
        <v>74.72</v>
      </c>
      <c r="U316" s="14">
        <f>'PIVOT TABLES'!$W$26</f>
        <v>55.895999999999994</v>
      </c>
      <c r="V316" s="14">
        <f>'PIVOT TABLES'!$W$27-'PIVOT TABLES'!$W$26</f>
        <v>27.948</v>
      </c>
      <c r="W316" s="14">
        <f>'PIVOT TABLES'!$W$28-'PIVOT TABLES'!$W$27</f>
        <v>27.947999999999993</v>
      </c>
      <c r="X316" s="14">
        <f>200-SUM(Table3[[#This Row],[S - LIGHT]:[S - VIGOROUS]])</f>
        <v>88.208000000000013</v>
      </c>
    </row>
    <row r="317" spans="1:24" x14ac:dyDescent="0.25">
      <c r="A317" s="17" t="s">
        <v>2</v>
      </c>
      <c r="B317" s="13" t="str">
        <f t="shared" si="4"/>
        <v>Defender</v>
      </c>
      <c r="C317" s="7">
        <v>45303.432685185187</v>
      </c>
      <c r="D317" s="14">
        <v>7292</v>
      </c>
      <c r="E317" s="14">
        <v>341</v>
      </c>
      <c r="F317" s="14">
        <v>20</v>
      </c>
      <c r="G317" s="14">
        <v>26</v>
      </c>
      <c r="H317" s="14">
        <v>84.47</v>
      </c>
      <c r="I317" s="14">
        <f>'PIVOT TABLES'!$B$26</f>
        <v>60.283999999999999</v>
      </c>
      <c r="J317" s="14">
        <f>'PIVOT TABLES'!$B$27-'PIVOT TABLES'!$B$26</f>
        <v>30.142000000000003</v>
      </c>
      <c r="K317" s="14">
        <f>'PIVOT TABLES'!$B$28-'PIVOT TABLES'!$B$27</f>
        <v>30.141999999999996</v>
      </c>
      <c r="L317" s="14">
        <f>200-SUM(Table3[[#This Row],[D - LIGHT]:[D - VIGOROUS]])</f>
        <v>79.432000000000002</v>
      </c>
      <c r="M317" s="14">
        <f>'PIVOT TABLES'!$I$26</f>
        <v>65.603999999999999</v>
      </c>
      <c r="N317" s="14">
        <f>'PIVOT TABLES'!$I$27-'PIVOT TABLES'!$I$26</f>
        <v>32.802000000000007</v>
      </c>
      <c r="O317" s="14">
        <f>'PIVOT TABLES'!$I$28-'PIVOT TABLES'!$I$27</f>
        <v>32.801999999999992</v>
      </c>
      <c r="P317" s="14">
        <f>200-SUM(Table3[[#This Row],[M - LIGHT]:[M - VIGOROUS]])</f>
        <v>68.792000000000002</v>
      </c>
      <c r="Q317" s="14">
        <f>'PIVOT TABLES'!$P$26</f>
        <v>62.64</v>
      </c>
      <c r="R317" s="14">
        <f>'PIVOT TABLES'!$P$27-'PIVOT TABLES'!$P$26</f>
        <v>31.320000000000007</v>
      </c>
      <c r="S317" s="14">
        <f>'PIVOT TABLES'!$P$28-'PIVOT TABLES'!$P$27</f>
        <v>31.319999999999993</v>
      </c>
      <c r="T317" s="14">
        <f>200-SUM(Table3[[#This Row],[W - LIGHT]:[W - VIGOROUS]])</f>
        <v>74.72</v>
      </c>
      <c r="U317" s="14">
        <f>'PIVOT TABLES'!$W$26</f>
        <v>55.895999999999994</v>
      </c>
      <c r="V317" s="14">
        <f>'PIVOT TABLES'!$W$27-'PIVOT TABLES'!$W$26</f>
        <v>27.948</v>
      </c>
      <c r="W317" s="14">
        <f>'PIVOT TABLES'!$W$28-'PIVOT TABLES'!$W$27</f>
        <v>27.947999999999993</v>
      </c>
      <c r="X317" s="14">
        <f>200-SUM(Table3[[#This Row],[S - LIGHT]:[S - VIGOROUS]])</f>
        <v>88.208000000000013</v>
      </c>
    </row>
    <row r="318" spans="1:24" x14ac:dyDescent="0.25">
      <c r="A318" s="17" t="s">
        <v>58</v>
      </c>
      <c r="B318" s="13" t="str">
        <f t="shared" si="4"/>
        <v>Defender</v>
      </c>
      <c r="C318" s="7">
        <v>45303.432685185187</v>
      </c>
      <c r="D318" s="14">
        <v>7051</v>
      </c>
      <c r="E318" s="14">
        <v>127</v>
      </c>
      <c r="F318" s="14">
        <v>22</v>
      </c>
      <c r="G318" s="14">
        <v>10</v>
      </c>
      <c r="H318" s="14">
        <v>75.400000000000006</v>
      </c>
      <c r="I318" s="14">
        <f>'PIVOT TABLES'!$B$26</f>
        <v>60.283999999999999</v>
      </c>
      <c r="J318" s="14">
        <f>'PIVOT TABLES'!$B$27-'PIVOT TABLES'!$B$26</f>
        <v>30.142000000000003</v>
      </c>
      <c r="K318" s="14">
        <f>'PIVOT TABLES'!$B$28-'PIVOT TABLES'!$B$27</f>
        <v>30.141999999999996</v>
      </c>
      <c r="L318" s="14">
        <f>200-SUM(Table3[[#This Row],[D - LIGHT]:[D - VIGOROUS]])</f>
        <v>79.432000000000002</v>
      </c>
      <c r="M318" s="14">
        <f>'PIVOT TABLES'!$I$26</f>
        <v>65.603999999999999</v>
      </c>
      <c r="N318" s="14">
        <f>'PIVOT TABLES'!$I$27-'PIVOT TABLES'!$I$26</f>
        <v>32.802000000000007</v>
      </c>
      <c r="O318" s="14">
        <f>'PIVOT TABLES'!$I$28-'PIVOT TABLES'!$I$27</f>
        <v>32.801999999999992</v>
      </c>
      <c r="P318" s="14">
        <f>200-SUM(Table3[[#This Row],[M - LIGHT]:[M - VIGOROUS]])</f>
        <v>68.792000000000002</v>
      </c>
      <c r="Q318" s="14">
        <f>'PIVOT TABLES'!$P$26</f>
        <v>62.64</v>
      </c>
      <c r="R318" s="14">
        <f>'PIVOT TABLES'!$P$27-'PIVOT TABLES'!$P$26</f>
        <v>31.320000000000007</v>
      </c>
      <c r="S318" s="14">
        <f>'PIVOT TABLES'!$P$28-'PIVOT TABLES'!$P$27</f>
        <v>31.319999999999993</v>
      </c>
      <c r="T318" s="14">
        <f>200-SUM(Table3[[#This Row],[W - LIGHT]:[W - VIGOROUS]])</f>
        <v>74.72</v>
      </c>
      <c r="U318" s="14">
        <f>'PIVOT TABLES'!$W$26</f>
        <v>55.895999999999994</v>
      </c>
      <c r="V318" s="14">
        <f>'PIVOT TABLES'!$W$27-'PIVOT TABLES'!$W$26</f>
        <v>27.948</v>
      </c>
      <c r="W318" s="14">
        <f>'PIVOT TABLES'!$W$28-'PIVOT TABLES'!$W$27</f>
        <v>27.947999999999993</v>
      </c>
      <c r="X318" s="14">
        <f>200-SUM(Table3[[#This Row],[S - LIGHT]:[S - VIGOROUS]])</f>
        <v>88.208000000000013</v>
      </c>
    </row>
    <row r="319" spans="1:24" x14ac:dyDescent="0.25">
      <c r="A319" s="17" t="s">
        <v>3</v>
      </c>
      <c r="B319" s="13" t="str">
        <f t="shared" si="4"/>
        <v>Defender</v>
      </c>
      <c r="C319" s="7">
        <v>45303.432685185187</v>
      </c>
      <c r="D319" s="14">
        <v>7622</v>
      </c>
      <c r="E319" s="14">
        <v>101</v>
      </c>
      <c r="F319" s="14">
        <v>29</v>
      </c>
      <c r="G319" s="14">
        <v>23</v>
      </c>
      <c r="H319" s="14">
        <v>80.87</v>
      </c>
      <c r="I319" s="14">
        <f>'PIVOT TABLES'!$B$26</f>
        <v>60.283999999999999</v>
      </c>
      <c r="J319" s="14">
        <f>'PIVOT TABLES'!$B$27-'PIVOT TABLES'!$B$26</f>
        <v>30.142000000000003</v>
      </c>
      <c r="K319" s="14">
        <f>'PIVOT TABLES'!$B$28-'PIVOT TABLES'!$B$27</f>
        <v>30.141999999999996</v>
      </c>
      <c r="L319" s="14">
        <f>200-SUM(Table3[[#This Row],[D - LIGHT]:[D - VIGOROUS]])</f>
        <v>79.432000000000002</v>
      </c>
      <c r="M319" s="14">
        <f>'PIVOT TABLES'!$I$26</f>
        <v>65.603999999999999</v>
      </c>
      <c r="N319" s="14">
        <f>'PIVOT TABLES'!$I$27-'PIVOT TABLES'!$I$26</f>
        <v>32.802000000000007</v>
      </c>
      <c r="O319" s="14">
        <f>'PIVOT TABLES'!$I$28-'PIVOT TABLES'!$I$27</f>
        <v>32.801999999999992</v>
      </c>
      <c r="P319" s="14">
        <f>200-SUM(Table3[[#This Row],[M - LIGHT]:[M - VIGOROUS]])</f>
        <v>68.792000000000002</v>
      </c>
      <c r="Q319" s="14">
        <f>'PIVOT TABLES'!$P$26</f>
        <v>62.64</v>
      </c>
      <c r="R319" s="14">
        <f>'PIVOT TABLES'!$P$27-'PIVOT TABLES'!$P$26</f>
        <v>31.320000000000007</v>
      </c>
      <c r="S319" s="14">
        <f>'PIVOT TABLES'!$P$28-'PIVOT TABLES'!$P$27</f>
        <v>31.319999999999993</v>
      </c>
      <c r="T319" s="14">
        <f>200-SUM(Table3[[#This Row],[W - LIGHT]:[W - VIGOROUS]])</f>
        <v>74.72</v>
      </c>
      <c r="U319" s="14">
        <f>'PIVOT TABLES'!$W$26</f>
        <v>55.895999999999994</v>
      </c>
      <c r="V319" s="14">
        <f>'PIVOT TABLES'!$W$27-'PIVOT TABLES'!$W$26</f>
        <v>27.948</v>
      </c>
      <c r="W319" s="14">
        <f>'PIVOT TABLES'!$W$28-'PIVOT TABLES'!$W$27</f>
        <v>27.947999999999993</v>
      </c>
      <c r="X319" s="14">
        <f>200-SUM(Table3[[#This Row],[S - LIGHT]:[S - VIGOROUS]])</f>
        <v>88.208000000000013</v>
      </c>
    </row>
    <row r="320" spans="1:24" x14ac:dyDescent="0.25">
      <c r="A320" s="17" t="s">
        <v>59</v>
      </c>
      <c r="B320" s="13" t="str">
        <f t="shared" si="4"/>
        <v>Striker</v>
      </c>
      <c r="C320" s="7">
        <v>45303.432685185187</v>
      </c>
      <c r="D320" s="14">
        <v>7433</v>
      </c>
      <c r="E320" s="14">
        <v>145</v>
      </c>
      <c r="F320" s="14">
        <v>21</v>
      </c>
      <c r="G320" s="14">
        <v>16</v>
      </c>
      <c r="H320" s="14">
        <v>79.84</v>
      </c>
      <c r="I320" s="14">
        <f>'PIVOT TABLES'!$B$26</f>
        <v>60.283999999999999</v>
      </c>
      <c r="J320" s="14">
        <f>'PIVOT TABLES'!$B$27-'PIVOT TABLES'!$B$26</f>
        <v>30.142000000000003</v>
      </c>
      <c r="K320" s="14">
        <f>'PIVOT TABLES'!$B$28-'PIVOT TABLES'!$B$27</f>
        <v>30.141999999999996</v>
      </c>
      <c r="L320" s="14">
        <f>200-SUM(Table3[[#This Row],[D - LIGHT]:[D - VIGOROUS]])</f>
        <v>79.432000000000002</v>
      </c>
      <c r="M320" s="14">
        <f>'PIVOT TABLES'!$I$26</f>
        <v>65.603999999999999</v>
      </c>
      <c r="N320" s="14">
        <f>'PIVOT TABLES'!$I$27-'PIVOT TABLES'!$I$26</f>
        <v>32.802000000000007</v>
      </c>
      <c r="O320" s="14">
        <f>'PIVOT TABLES'!$I$28-'PIVOT TABLES'!$I$27</f>
        <v>32.801999999999992</v>
      </c>
      <c r="P320" s="14">
        <f>200-SUM(Table3[[#This Row],[M - LIGHT]:[M - VIGOROUS]])</f>
        <v>68.792000000000002</v>
      </c>
      <c r="Q320" s="14">
        <f>'PIVOT TABLES'!$P$26</f>
        <v>62.64</v>
      </c>
      <c r="R320" s="14">
        <f>'PIVOT TABLES'!$P$27-'PIVOT TABLES'!$P$26</f>
        <v>31.320000000000007</v>
      </c>
      <c r="S320" s="14">
        <f>'PIVOT TABLES'!$P$28-'PIVOT TABLES'!$P$27</f>
        <v>31.319999999999993</v>
      </c>
      <c r="T320" s="14">
        <f>200-SUM(Table3[[#This Row],[W - LIGHT]:[W - VIGOROUS]])</f>
        <v>74.72</v>
      </c>
      <c r="U320" s="14">
        <f>'PIVOT TABLES'!$W$26</f>
        <v>55.895999999999994</v>
      </c>
      <c r="V320" s="14">
        <f>'PIVOT TABLES'!$W$27-'PIVOT TABLES'!$W$26</f>
        <v>27.948</v>
      </c>
      <c r="W320" s="14">
        <f>'PIVOT TABLES'!$W$28-'PIVOT TABLES'!$W$27</f>
        <v>27.947999999999993</v>
      </c>
      <c r="X320" s="14">
        <f>200-SUM(Table3[[#This Row],[S - LIGHT]:[S - VIGOROUS]])</f>
        <v>88.208000000000013</v>
      </c>
    </row>
    <row r="321" spans="1:24" x14ac:dyDescent="0.25">
      <c r="A321" s="17" t="s">
        <v>4</v>
      </c>
      <c r="B321" s="13" t="str">
        <f t="shared" si="4"/>
        <v>Midfielder</v>
      </c>
      <c r="C321" s="7">
        <v>45303.432685185187</v>
      </c>
      <c r="D321" s="14">
        <v>7304</v>
      </c>
      <c r="E321" s="14">
        <v>74</v>
      </c>
      <c r="F321" s="14">
        <v>6</v>
      </c>
      <c r="G321" s="14">
        <v>22</v>
      </c>
      <c r="H321" s="14">
        <v>75.94</v>
      </c>
      <c r="I321" s="14">
        <f>'PIVOT TABLES'!$B$26</f>
        <v>60.283999999999999</v>
      </c>
      <c r="J321" s="14">
        <f>'PIVOT TABLES'!$B$27-'PIVOT TABLES'!$B$26</f>
        <v>30.142000000000003</v>
      </c>
      <c r="K321" s="14">
        <f>'PIVOT TABLES'!$B$28-'PIVOT TABLES'!$B$27</f>
        <v>30.141999999999996</v>
      </c>
      <c r="L321" s="14">
        <f>200-SUM(Table3[[#This Row],[D - LIGHT]:[D - VIGOROUS]])</f>
        <v>79.432000000000002</v>
      </c>
      <c r="M321" s="14">
        <f>'PIVOT TABLES'!$I$26</f>
        <v>65.603999999999999</v>
      </c>
      <c r="N321" s="14">
        <f>'PIVOT TABLES'!$I$27-'PIVOT TABLES'!$I$26</f>
        <v>32.802000000000007</v>
      </c>
      <c r="O321" s="14">
        <f>'PIVOT TABLES'!$I$28-'PIVOT TABLES'!$I$27</f>
        <v>32.801999999999992</v>
      </c>
      <c r="P321" s="14">
        <f>200-SUM(Table3[[#This Row],[M - LIGHT]:[M - VIGOROUS]])</f>
        <v>68.792000000000002</v>
      </c>
      <c r="Q321" s="14">
        <f>'PIVOT TABLES'!$P$26</f>
        <v>62.64</v>
      </c>
      <c r="R321" s="14">
        <f>'PIVOT TABLES'!$P$27-'PIVOT TABLES'!$P$26</f>
        <v>31.320000000000007</v>
      </c>
      <c r="S321" s="14">
        <f>'PIVOT TABLES'!$P$28-'PIVOT TABLES'!$P$27</f>
        <v>31.319999999999993</v>
      </c>
      <c r="T321" s="14">
        <f>200-SUM(Table3[[#This Row],[W - LIGHT]:[W - VIGOROUS]])</f>
        <v>74.72</v>
      </c>
      <c r="U321" s="14">
        <f>'PIVOT TABLES'!$W$26</f>
        <v>55.895999999999994</v>
      </c>
      <c r="V321" s="14">
        <f>'PIVOT TABLES'!$W$27-'PIVOT TABLES'!$W$26</f>
        <v>27.948</v>
      </c>
      <c r="W321" s="14">
        <f>'PIVOT TABLES'!$W$28-'PIVOT TABLES'!$W$27</f>
        <v>27.947999999999993</v>
      </c>
      <c r="X321" s="14">
        <f>200-SUM(Table3[[#This Row],[S - LIGHT]:[S - VIGOROUS]])</f>
        <v>88.208000000000013</v>
      </c>
    </row>
    <row r="322" spans="1:24" x14ac:dyDescent="0.25">
      <c r="A322" s="17" t="s">
        <v>60</v>
      </c>
      <c r="B322" s="13" t="str">
        <f t="shared" si="4"/>
        <v>Winger</v>
      </c>
      <c r="C322" s="7">
        <v>45303.432685185187</v>
      </c>
      <c r="D322" s="14">
        <v>8414</v>
      </c>
      <c r="E322" s="14">
        <v>226</v>
      </c>
      <c r="F322" s="14">
        <v>24</v>
      </c>
      <c r="G322" s="14">
        <v>19</v>
      </c>
      <c r="H322" s="14">
        <v>92.26</v>
      </c>
      <c r="I322" s="14">
        <f>'PIVOT TABLES'!$B$26</f>
        <v>60.283999999999999</v>
      </c>
      <c r="J322" s="14">
        <f>'PIVOT TABLES'!$B$27-'PIVOT TABLES'!$B$26</f>
        <v>30.142000000000003</v>
      </c>
      <c r="K322" s="14">
        <f>'PIVOT TABLES'!$B$28-'PIVOT TABLES'!$B$27</f>
        <v>30.141999999999996</v>
      </c>
      <c r="L322" s="14">
        <f>200-SUM(Table3[[#This Row],[D - LIGHT]:[D - VIGOROUS]])</f>
        <v>79.432000000000002</v>
      </c>
      <c r="M322" s="14">
        <f>'PIVOT TABLES'!$I$26</f>
        <v>65.603999999999999</v>
      </c>
      <c r="N322" s="14">
        <f>'PIVOT TABLES'!$I$27-'PIVOT TABLES'!$I$26</f>
        <v>32.802000000000007</v>
      </c>
      <c r="O322" s="14">
        <f>'PIVOT TABLES'!$I$28-'PIVOT TABLES'!$I$27</f>
        <v>32.801999999999992</v>
      </c>
      <c r="P322" s="14">
        <f>200-SUM(Table3[[#This Row],[M - LIGHT]:[M - VIGOROUS]])</f>
        <v>68.792000000000002</v>
      </c>
      <c r="Q322" s="14">
        <f>'PIVOT TABLES'!$P$26</f>
        <v>62.64</v>
      </c>
      <c r="R322" s="14">
        <f>'PIVOT TABLES'!$P$27-'PIVOT TABLES'!$P$26</f>
        <v>31.320000000000007</v>
      </c>
      <c r="S322" s="14">
        <f>'PIVOT TABLES'!$P$28-'PIVOT TABLES'!$P$27</f>
        <v>31.319999999999993</v>
      </c>
      <c r="T322" s="14">
        <f>200-SUM(Table3[[#This Row],[W - LIGHT]:[W - VIGOROUS]])</f>
        <v>74.72</v>
      </c>
      <c r="U322" s="14">
        <f>'PIVOT TABLES'!$W$26</f>
        <v>55.895999999999994</v>
      </c>
      <c r="V322" s="14">
        <f>'PIVOT TABLES'!$W$27-'PIVOT TABLES'!$W$26</f>
        <v>27.948</v>
      </c>
      <c r="W322" s="14">
        <f>'PIVOT TABLES'!$W$28-'PIVOT TABLES'!$W$27</f>
        <v>27.947999999999993</v>
      </c>
      <c r="X322" s="14">
        <f>200-SUM(Table3[[#This Row],[S - LIGHT]:[S - VIGOROUS]])</f>
        <v>88.208000000000013</v>
      </c>
    </row>
    <row r="323" spans="1:24" x14ac:dyDescent="0.25">
      <c r="A323" s="17" t="s">
        <v>71</v>
      </c>
      <c r="B323" s="13" t="str">
        <f t="shared" ref="B323:B386" si="5">IF(A323="Sihle Gum","Defender",IF(A323="Kenny Langa","Defender",IF(A323="Tshepang Makara","Defender",IF(A323="Tshepiso Mahlangu","Defender",IF(A323="Neo Ramashala","Defender",IF(A323="Keabetswe Nkogatse","Defender",IF(A323="Kaketso Harold Majadibodu","Defender",IF(A323="Samuel Julies","Midfielder",IF(A323="Frank Mpedi","Midfielder",IF(A323="Sapholwethu Kelepu","Midfielder",IF(A323="Manelisi Sithole","Midfielder",IF(A323="Thabiso Mokoena","Midfielder",IF(A323="Khomotso Marebane","Midfielder",IF(A323="Tebogo Mohlamonyane","Midfielder",IF(A323="Thulani Zandamela","Midfielder",IF(A323="Mdevulana Camagu","Midfielder",IF(A323="Promise Mkhuma","Midfielder",IF(A323="Essien Makwarimba","Midfielder",IF(A323="Ayanda Mvambi","Winger",IF(A323="Delano Abrahams","Winger",IF(A323="Thokozani Sekotlong","Winger",IF(A323="Maselaelo Seanego","Winger",IF(A323="Lesedi Motha","Winger",IF(A323="Malekgene Mampuru","Winger",IF(A323="Matome Rangata","Winger",IF(A323="Thabang Sibanyoni","Striker",IF(A323="Tebogo Makungo","Striker",IF(A323="Neo Dikgale","Striker",IF(A323="Kamohelo Pheeane","Striker",IF(A323="Athenkosi Tonisi","Striker",IF(A323="Jesse Francis","Striker","####")))))))))))))))))))))))))))))))</f>
        <v>Midfielder</v>
      </c>
      <c r="C323" s="7">
        <v>45303.432685185187</v>
      </c>
      <c r="D323" s="14">
        <v>9366</v>
      </c>
      <c r="E323" s="14">
        <v>53</v>
      </c>
      <c r="F323" s="14">
        <v>25</v>
      </c>
      <c r="G323" s="14">
        <v>12</v>
      </c>
      <c r="H323" s="14">
        <v>96.49</v>
      </c>
      <c r="I323" s="14">
        <f>'PIVOT TABLES'!$B$26</f>
        <v>60.283999999999999</v>
      </c>
      <c r="J323" s="14">
        <f>'PIVOT TABLES'!$B$27-'PIVOT TABLES'!$B$26</f>
        <v>30.142000000000003</v>
      </c>
      <c r="K323" s="14">
        <f>'PIVOT TABLES'!$B$28-'PIVOT TABLES'!$B$27</f>
        <v>30.141999999999996</v>
      </c>
      <c r="L323" s="14">
        <f>200-SUM(Table3[[#This Row],[D - LIGHT]:[D - VIGOROUS]])</f>
        <v>79.432000000000002</v>
      </c>
      <c r="M323" s="14">
        <f>'PIVOT TABLES'!$I$26</f>
        <v>65.603999999999999</v>
      </c>
      <c r="N323" s="14">
        <f>'PIVOT TABLES'!$I$27-'PIVOT TABLES'!$I$26</f>
        <v>32.802000000000007</v>
      </c>
      <c r="O323" s="14">
        <f>'PIVOT TABLES'!$I$28-'PIVOT TABLES'!$I$27</f>
        <v>32.801999999999992</v>
      </c>
      <c r="P323" s="14">
        <f>200-SUM(Table3[[#This Row],[M - LIGHT]:[M - VIGOROUS]])</f>
        <v>68.792000000000002</v>
      </c>
      <c r="Q323" s="14">
        <f>'PIVOT TABLES'!$P$26</f>
        <v>62.64</v>
      </c>
      <c r="R323" s="14">
        <f>'PIVOT TABLES'!$P$27-'PIVOT TABLES'!$P$26</f>
        <v>31.320000000000007</v>
      </c>
      <c r="S323" s="14">
        <f>'PIVOT TABLES'!$P$28-'PIVOT TABLES'!$P$27</f>
        <v>31.319999999999993</v>
      </c>
      <c r="T323" s="14">
        <f>200-SUM(Table3[[#This Row],[W - LIGHT]:[W - VIGOROUS]])</f>
        <v>74.72</v>
      </c>
      <c r="U323" s="14">
        <f>'PIVOT TABLES'!$W$26</f>
        <v>55.895999999999994</v>
      </c>
      <c r="V323" s="14">
        <f>'PIVOT TABLES'!$W$27-'PIVOT TABLES'!$W$26</f>
        <v>27.948</v>
      </c>
      <c r="W323" s="14">
        <f>'PIVOT TABLES'!$W$28-'PIVOT TABLES'!$W$27</f>
        <v>27.947999999999993</v>
      </c>
      <c r="X323" s="14">
        <f>200-SUM(Table3[[#This Row],[S - LIGHT]:[S - VIGOROUS]])</f>
        <v>88.208000000000013</v>
      </c>
    </row>
    <row r="324" spans="1:24" x14ac:dyDescent="0.25">
      <c r="A324" s="17" t="s">
        <v>5</v>
      </c>
      <c r="B324" s="13" t="str">
        <f t="shared" si="5"/>
        <v>Midfielder</v>
      </c>
      <c r="C324" s="7">
        <v>45303.432685185187</v>
      </c>
      <c r="D324" s="14">
        <v>7582</v>
      </c>
      <c r="E324" s="14">
        <v>122</v>
      </c>
      <c r="F324" s="14">
        <v>18</v>
      </c>
      <c r="G324" s="14">
        <v>17</v>
      </c>
      <c r="H324" s="14">
        <v>80.540000000000006</v>
      </c>
      <c r="I324" s="14">
        <f>'PIVOT TABLES'!$B$26</f>
        <v>60.283999999999999</v>
      </c>
      <c r="J324" s="14">
        <f>'PIVOT TABLES'!$B$27-'PIVOT TABLES'!$B$26</f>
        <v>30.142000000000003</v>
      </c>
      <c r="K324" s="14">
        <f>'PIVOT TABLES'!$B$28-'PIVOT TABLES'!$B$27</f>
        <v>30.141999999999996</v>
      </c>
      <c r="L324" s="14">
        <f>200-SUM(Table3[[#This Row],[D - LIGHT]:[D - VIGOROUS]])</f>
        <v>79.432000000000002</v>
      </c>
      <c r="M324" s="14">
        <f>'PIVOT TABLES'!$I$26</f>
        <v>65.603999999999999</v>
      </c>
      <c r="N324" s="14">
        <f>'PIVOT TABLES'!$I$27-'PIVOT TABLES'!$I$26</f>
        <v>32.802000000000007</v>
      </c>
      <c r="O324" s="14">
        <f>'PIVOT TABLES'!$I$28-'PIVOT TABLES'!$I$27</f>
        <v>32.801999999999992</v>
      </c>
      <c r="P324" s="14">
        <f>200-SUM(Table3[[#This Row],[M - LIGHT]:[M - VIGOROUS]])</f>
        <v>68.792000000000002</v>
      </c>
      <c r="Q324" s="14">
        <f>'PIVOT TABLES'!$P$26</f>
        <v>62.64</v>
      </c>
      <c r="R324" s="14">
        <f>'PIVOT TABLES'!$P$27-'PIVOT TABLES'!$P$26</f>
        <v>31.320000000000007</v>
      </c>
      <c r="S324" s="14">
        <f>'PIVOT TABLES'!$P$28-'PIVOT TABLES'!$P$27</f>
        <v>31.319999999999993</v>
      </c>
      <c r="T324" s="14">
        <f>200-SUM(Table3[[#This Row],[W - LIGHT]:[W - VIGOROUS]])</f>
        <v>74.72</v>
      </c>
      <c r="U324" s="14">
        <f>'PIVOT TABLES'!$W$26</f>
        <v>55.895999999999994</v>
      </c>
      <c r="V324" s="14">
        <f>'PIVOT TABLES'!$W$27-'PIVOT TABLES'!$W$26</f>
        <v>27.948</v>
      </c>
      <c r="W324" s="14">
        <f>'PIVOT TABLES'!$W$28-'PIVOT TABLES'!$W$27</f>
        <v>27.947999999999993</v>
      </c>
      <c r="X324" s="14">
        <f>200-SUM(Table3[[#This Row],[S - LIGHT]:[S - VIGOROUS]])</f>
        <v>88.208000000000013</v>
      </c>
    </row>
    <row r="325" spans="1:24" x14ac:dyDescent="0.25">
      <c r="A325" s="17" t="s">
        <v>6</v>
      </c>
      <c r="B325" s="13" t="str">
        <f t="shared" si="5"/>
        <v>Midfielder</v>
      </c>
      <c r="C325" s="7">
        <v>45303.432685185187</v>
      </c>
      <c r="D325" s="14">
        <v>8169</v>
      </c>
      <c r="E325" s="14">
        <v>210</v>
      </c>
      <c r="F325" s="14">
        <v>24</v>
      </c>
      <c r="G325" s="14">
        <v>16</v>
      </c>
      <c r="H325" s="14">
        <v>89.27</v>
      </c>
      <c r="I325" s="14">
        <f>'PIVOT TABLES'!$B$26</f>
        <v>60.283999999999999</v>
      </c>
      <c r="J325" s="14">
        <f>'PIVOT TABLES'!$B$27-'PIVOT TABLES'!$B$26</f>
        <v>30.142000000000003</v>
      </c>
      <c r="K325" s="14">
        <f>'PIVOT TABLES'!$B$28-'PIVOT TABLES'!$B$27</f>
        <v>30.141999999999996</v>
      </c>
      <c r="L325" s="14">
        <f>200-SUM(Table3[[#This Row],[D - LIGHT]:[D - VIGOROUS]])</f>
        <v>79.432000000000002</v>
      </c>
      <c r="M325" s="14">
        <f>'PIVOT TABLES'!$I$26</f>
        <v>65.603999999999999</v>
      </c>
      <c r="N325" s="14">
        <f>'PIVOT TABLES'!$I$27-'PIVOT TABLES'!$I$26</f>
        <v>32.802000000000007</v>
      </c>
      <c r="O325" s="14">
        <f>'PIVOT TABLES'!$I$28-'PIVOT TABLES'!$I$27</f>
        <v>32.801999999999992</v>
      </c>
      <c r="P325" s="14">
        <f>200-SUM(Table3[[#This Row],[M - LIGHT]:[M - VIGOROUS]])</f>
        <v>68.792000000000002</v>
      </c>
      <c r="Q325" s="14">
        <f>'PIVOT TABLES'!$P$26</f>
        <v>62.64</v>
      </c>
      <c r="R325" s="14">
        <f>'PIVOT TABLES'!$P$27-'PIVOT TABLES'!$P$26</f>
        <v>31.320000000000007</v>
      </c>
      <c r="S325" s="14">
        <f>'PIVOT TABLES'!$P$28-'PIVOT TABLES'!$P$27</f>
        <v>31.319999999999993</v>
      </c>
      <c r="T325" s="14">
        <f>200-SUM(Table3[[#This Row],[W - LIGHT]:[W - VIGOROUS]])</f>
        <v>74.72</v>
      </c>
      <c r="U325" s="14">
        <f>'PIVOT TABLES'!$W$26</f>
        <v>55.895999999999994</v>
      </c>
      <c r="V325" s="14">
        <f>'PIVOT TABLES'!$W$27-'PIVOT TABLES'!$W$26</f>
        <v>27.948</v>
      </c>
      <c r="W325" s="14">
        <f>'PIVOT TABLES'!$W$28-'PIVOT TABLES'!$W$27</f>
        <v>27.947999999999993</v>
      </c>
      <c r="X325" s="14">
        <f>200-SUM(Table3[[#This Row],[S - LIGHT]:[S - VIGOROUS]])</f>
        <v>88.208000000000013</v>
      </c>
    </row>
    <row r="326" spans="1:24" x14ac:dyDescent="0.25">
      <c r="A326" s="17" t="s">
        <v>62</v>
      </c>
      <c r="B326" s="13" t="str">
        <f t="shared" si="5"/>
        <v>Midfielder</v>
      </c>
      <c r="C326" s="7">
        <v>45303.432685185187</v>
      </c>
      <c r="D326" s="14">
        <v>7124</v>
      </c>
      <c r="E326" s="14">
        <v>47</v>
      </c>
      <c r="F326" s="14">
        <v>12</v>
      </c>
      <c r="G326" s="14">
        <v>7</v>
      </c>
      <c r="H326" s="14">
        <v>73.27</v>
      </c>
      <c r="I326" s="14">
        <f>'PIVOT TABLES'!$B$26</f>
        <v>60.283999999999999</v>
      </c>
      <c r="J326" s="14">
        <f>'PIVOT TABLES'!$B$27-'PIVOT TABLES'!$B$26</f>
        <v>30.142000000000003</v>
      </c>
      <c r="K326" s="14">
        <f>'PIVOT TABLES'!$B$28-'PIVOT TABLES'!$B$27</f>
        <v>30.141999999999996</v>
      </c>
      <c r="L326" s="14">
        <f>200-SUM(Table3[[#This Row],[D - LIGHT]:[D - VIGOROUS]])</f>
        <v>79.432000000000002</v>
      </c>
      <c r="M326" s="14">
        <f>'PIVOT TABLES'!$I$26</f>
        <v>65.603999999999999</v>
      </c>
      <c r="N326" s="14">
        <f>'PIVOT TABLES'!$I$27-'PIVOT TABLES'!$I$26</f>
        <v>32.802000000000007</v>
      </c>
      <c r="O326" s="14">
        <f>'PIVOT TABLES'!$I$28-'PIVOT TABLES'!$I$27</f>
        <v>32.801999999999992</v>
      </c>
      <c r="P326" s="14">
        <f>200-SUM(Table3[[#This Row],[M - LIGHT]:[M - VIGOROUS]])</f>
        <v>68.792000000000002</v>
      </c>
      <c r="Q326" s="14">
        <f>'PIVOT TABLES'!$P$26</f>
        <v>62.64</v>
      </c>
      <c r="R326" s="14">
        <f>'PIVOT TABLES'!$P$27-'PIVOT TABLES'!$P$26</f>
        <v>31.320000000000007</v>
      </c>
      <c r="S326" s="14">
        <f>'PIVOT TABLES'!$P$28-'PIVOT TABLES'!$P$27</f>
        <v>31.319999999999993</v>
      </c>
      <c r="T326" s="14">
        <f>200-SUM(Table3[[#This Row],[W - LIGHT]:[W - VIGOROUS]])</f>
        <v>74.72</v>
      </c>
      <c r="U326" s="14">
        <f>'PIVOT TABLES'!$W$26</f>
        <v>55.895999999999994</v>
      </c>
      <c r="V326" s="14">
        <f>'PIVOT TABLES'!$W$27-'PIVOT TABLES'!$W$26</f>
        <v>27.948</v>
      </c>
      <c r="W326" s="14">
        <f>'PIVOT TABLES'!$W$28-'PIVOT TABLES'!$W$27</f>
        <v>27.947999999999993</v>
      </c>
      <c r="X326" s="14">
        <f>200-SUM(Table3[[#This Row],[S - LIGHT]:[S - VIGOROUS]])</f>
        <v>88.208000000000013</v>
      </c>
    </row>
    <row r="327" spans="1:24" x14ac:dyDescent="0.25">
      <c r="A327" s="17" t="s">
        <v>63</v>
      </c>
      <c r="B327" s="13" t="str">
        <f t="shared" si="5"/>
        <v>Winger</v>
      </c>
      <c r="C327" s="7">
        <v>45303.432685185187</v>
      </c>
      <c r="D327" s="14">
        <v>6886</v>
      </c>
      <c r="E327" s="14">
        <v>149</v>
      </c>
      <c r="F327" s="14">
        <v>24</v>
      </c>
      <c r="G327" s="14">
        <v>13</v>
      </c>
      <c r="H327" s="14">
        <v>74.55</v>
      </c>
      <c r="I327" s="14">
        <f>'PIVOT TABLES'!$B$26</f>
        <v>60.283999999999999</v>
      </c>
      <c r="J327" s="14">
        <f>'PIVOT TABLES'!$B$27-'PIVOT TABLES'!$B$26</f>
        <v>30.142000000000003</v>
      </c>
      <c r="K327" s="14">
        <f>'PIVOT TABLES'!$B$28-'PIVOT TABLES'!$B$27</f>
        <v>30.141999999999996</v>
      </c>
      <c r="L327" s="14">
        <f>200-SUM(Table3[[#This Row],[D - LIGHT]:[D - VIGOROUS]])</f>
        <v>79.432000000000002</v>
      </c>
      <c r="M327" s="14">
        <f>'PIVOT TABLES'!$I$26</f>
        <v>65.603999999999999</v>
      </c>
      <c r="N327" s="14">
        <f>'PIVOT TABLES'!$I$27-'PIVOT TABLES'!$I$26</f>
        <v>32.802000000000007</v>
      </c>
      <c r="O327" s="14">
        <f>'PIVOT TABLES'!$I$28-'PIVOT TABLES'!$I$27</f>
        <v>32.801999999999992</v>
      </c>
      <c r="P327" s="14">
        <f>200-SUM(Table3[[#This Row],[M - LIGHT]:[M - VIGOROUS]])</f>
        <v>68.792000000000002</v>
      </c>
      <c r="Q327" s="14">
        <f>'PIVOT TABLES'!$P$26</f>
        <v>62.64</v>
      </c>
      <c r="R327" s="14">
        <f>'PIVOT TABLES'!$P$27-'PIVOT TABLES'!$P$26</f>
        <v>31.320000000000007</v>
      </c>
      <c r="S327" s="14">
        <f>'PIVOT TABLES'!$P$28-'PIVOT TABLES'!$P$27</f>
        <v>31.319999999999993</v>
      </c>
      <c r="T327" s="14">
        <f>200-SUM(Table3[[#This Row],[W - LIGHT]:[W - VIGOROUS]])</f>
        <v>74.72</v>
      </c>
      <c r="U327" s="14">
        <f>'PIVOT TABLES'!$W$26</f>
        <v>55.895999999999994</v>
      </c>
      <c r="V327" s="14">
        <f>'PIVOT TABLES'!$W$27-'PIVOT TABLES'!$W$26</f>
        <v>27.948</v>
      </c>
      <c r="W327" s="14">
        <f>'PIVOT TABLES'!$W$28-'PIVOT TABLES'!$W$27</f>
        <v>27.947999999999993</v>
      </c>
      <c r="X327" s="14">
        <f>200-SUM(Table3[[#This Row],[S - LIGHT]:[S - VIGOROUS]])</f>
        <v>88.208000000000013</v>
      </c>
    </row>
    <row r="328" spans="1:24" x14ac:dyDescent="0.25">
      <c r="A328" s="17" t="s">
        <v>64</v>
      </c>
      <c r="B328" s="13" t="str">
        <f t="shared" si="5"/>
        <v>Midfielder</v>
      </c>
      <c r="C328" s="7">
        <v>45303.432685185187</v>
      </c>
      <c r="D328" s="14">
        <v>8700</v>
      </c>
      <c r="E328" s="14">
        <v>66</v>
      </c>
      <c r="F328" s="14">
        <v>20</v>
      </c>
      <c r="G328" s="14">
        <v>9</v>
      </c>
      <c r="H328" s="14">
        <v>89.96</v>
      </c>
      <c r="I328" s="14">
        <f>'PIVOT TABLES'!$B$26</f>
        <v>60.283999999999999</v>
      </c>
      <c r="J328" s="14">
        <f>'PIVOT TABLES'!$B$27-'PIVOT TABLES'!$B$26</f>
        <v>30.142000000000003</v>
      </c>
      <c r="K328" s="14">
        <f>'PIVOT TABLES'!$B$28-'PIVOT TABLES'!$B$27</f>
        <v>30.141999999999996</v>
      </c>
      <c r="L328" s="14">
        <f>200-SUM(Table3[[#This Row],[D - LIGHT]:[D - VIGOROUS]])</f>
        <v>79.432000000000002</v>
      </c>
      <c r="M328" s="14">
        <f>'PIVOT TABLES'!$I$26</f>
        <v>65.603999999999999</v>
      </c>
      <c r="N328" s="14">
        <f>'PIVOT TABLES'!$I$27-'PIVOT TABLES'!$I$26</f>
        <v>32.802000000000007</v>
      </c>
      <c r="O328" s="14">
        <f>'PIVOT TABLES'!$I$28-'PIVOT TABLES'!$I$27</f>
        <v>32.801999999999992</v>
      </c>
      <c r="P328" s="14">
        <f>200-SUM(Table3[[#This Row],[M - LIGHT]:[M - VIGOROUS]])</f>
        <v>68.792000000000002</v>
      </c>
      <c r="Q328" s="14">
        <f>'PIVOT TABLES'!$P$26</f>
        <v>62.64</v>
      </c>
      <c r="R328" s="14">
        <f>'PIVOT TABLES'!$P$27-'PIVOT TABLES'!$P$26</f>
        <v>31.320000000000007</v>
      </c>
      <c r="S328" s="14">
        <f>'PIVOT TABLES'!$P$28-'PIVOT TABLES'!$P$27</f>
        <v>31.319999999999993</v>
      </c>
      <c r="T328" s="14">
        <f>200-SUM(Table3[[#This Row],[W - LIGHT]:[W - VIGOROUS]])</f>
        <v>74.72</v>
      </c>
      <c r="U328" s="14">
        <f>'PIVOT TABLES'!$W$26</f>
        <v>55.895999999999994</v>
      </c>
      <c r="V328" s="14">
        <f>'PIVOT TABLES'!$W$27-'PIVOT TABLES'!$W$26</f>
        <v>27.948</v>
      </c>
      <c r="W328" s="14">
        <f>'PIVOT TABLES'!$W$28-'PIVOT TABLES'!$W$27</f>
        <v>27.947999999999993</v>
      </c>
      <c r="X328" s="14">
        <f>200-SUM(Table3[[#This Row],[S - LIGHT]:[S - VIGOROUS]])</f>
        <v>88.208000000000013</v>
      </c>
    </row>
    <row r="329" spans="1:24" x14ac:dyDescent="0.25">
      <c r="A329" s="17" t="s">
        <v>65</v>
      </c>
      <c r="B329" s="13" t="str">
        <f t="shared" si="5"/>
        <v>Winger</v>
      </c>
      <c r="C329" s="7">
        <v>45303.432685185187</v>
      </c>
      <c r="D329" s="14">
        <v>7169</v>
      </c>
      <c r="E329" s="14">
        <v>43</v>
      </c>
      <c r="F329" s="14">
        <v>8</v>
      </c>
      <c r="G329" s="14">
        <v>6</v>
      </c>
      <c r="H329" s="14">
        <v>73.42</v>
      </c>
      <c r="I329" s="14">
        <f>'PIVOT TABLES'!$B$26</f>
        <v>60.283999999999999</v>
      </c>
      <c r="J329" s="14">
        <f>'PIVOT TABLES'!$B$27-'PIVOT TABLES'!$B$26</f>
        <v>30.142000000000003</v>
      </c>
      <c r="K329" s="14">
        <f>'PIVOT TABLES'!$B$28-'PIVOT TABLES'!$B$27</f>
        <v>30.141999999999996</v>
      </c>
      <c r="L329" s="14">
        <f>200-SUM(Table3[[#This Row],[D - LIGHT]:[D - VIGOROUS]])</f>
        <v>79.432000000000002</v>
      </c>
      <c r="M329" s="14">
        <f>'PIVOT TABLES'!$I$26</f>
        <v>65.603999999999999</v>
      </c>
      <c r="N329" s="14">
        <f>'PIVOT TABLES'!$I$27-'PIVOT TABLES'!$I$26</f>
        <v>32.802000000000007</v>
      </c>
      <c r="O329" s="14">
        <f>'PIVOT TABLES'!$I$28-'PIVOT TABLES'!$I$27</f>
        <v>32.801999999999992</v>
      </c>
      <c r="P329" s="14">
        <f>200-SUM(Table3[[#This Row],[M - LIGHT]:[M - VIGOROUS]])</f>
        <v>68.792000000000002</v>
      </c>
      <c r="Q329" s="14">
        <f>'PIVOT TABLES'!$P$26</f>
        <v>62.64</v>
      </c>
      <c r="R329" s="14">
        <f>'PIVOT TABLES'!$P$27-'PIVOT TABLES'!$P$26</f>
        <v>31.320000000000007</v>
      </c>
      <c r="S329" s="14">
        <f>'PIVOT TABLES'!$P$28-'PIVOT TABLES'!$P$27</f>
        <v>31.319999999999993</v>
      </c>
      <c r="T329" s="14">
        <f>200-SUM(Table3[[#This Row],[W - LIGHT]:[W - VIGOROUS]])</f>
        <v>74.72</v>
      </c>
      <c r="U329" s="14">
        <f>'PIVOT TABLES'!$W$26</f>
        <v>55.895999999999994</v>
      </c>
      <c r="V329" s="14">
        <f>'PIVOT TABLES'!$W$27-'PIVOT TABLES'!$W$26</f>
        <v>27.948</v>
      </c>
      <c r="W329" s="14">
        <f>'PIVOT TABLES'!$W$28-'PIVOT TABLES'!$W$27</f>
        <v>27.947999999999993</v>
      </c>
      <c r="X329" s="14">
        <f>200-SUM(Table3[[#This Row],[S - LIGHT]:[S - VIGOROUS]])</f>
        <v>88.208000000000013</v>
      </c>
    </row>
    <row r="330" spans="1:24" x14ac:dyDescent="0.25">
      <c r="A330" s="17" t="s">
        <v>77</v>
      </c>
      <c r="B330" s="13" t="str">
        <f t="shared" si="5"/>
        <v>Defender</v>
      </c>
      <c r="C330" s="7">
        <v>45303.432685185187</v>
      </c>
      <c r="D330" s="14">
        <v>6857</v>
      </c>
      <c r="E330" s="14">
        <v>188</v>
      </c>
      <c r="F330" s="14">
        <v>19</v>
      </c>
      <c r="G330" s="14">
        <v>18</v>
      </c>
      <c r="H330" s="14">
        <v>75.33</v>
      </c>
      <c r="I330" s="14">
        <f>'PIVOT TABLES'!$B$26</f>
        <v>60.283999999999999</v>
      </c>
      <c r="J330" s="14">
        <f>'PIVOT TABLES'!$B$27-'PIVOT TABLES'!$B$26</f>
        <v>30.142000000000003</v>
      </c>
      <c r="K330" s="14">
        <f>'PIVOT TABLES'!$B$28-'PIVOT TABLES'!$B$27</f>
        <v>30.141999999999996</v>
      </c>
      <c r="L330" s="14">
        <f>200-SUM(Table3[[#This Row],[D - LIGHT]:[D - VIGOROUS]])</f>
        <v>79.432000000000002</v>
      </c>
      <c r="M330" s="14">
        <f>'PIVOT TABLES'!$I$26</f>
        <v>65.603999999999999</v>
      </c>
      <c r="N330" s="14">
        <f>'PIVOT TABLES'!$I$27-'PIVOT TABLES'!$I$26</f>
        <v>32.802000000000007</v>
      </c>
      <c r="O330" s="14">
        <f>'PIVOT TABLES'!$I$28-'PIVOT TABLES'!$I$27</f>
        <v>32.801999999999992</v>
      </c>
      <c r="P330" s="14">
        <f>200-SUM(Table3[[#This Row],[M - LIGHT]:[M - VIGOROUS]])</f>
        <v>68.792000000000002</v>
      </c>
      <c r="Q330" s="14">
        <f>'PIVOT TABLES'!$P$26</f>
        <v>62.64</v>
      </c>
      <c r="R330" s="14">
        <f>'PIVOT TABLES'!$P$27-'PIVOT TABLES'!$P$26</f>
        <v>31.320000000000007</v>
      </c>
      <c r="S330" s="14">
        <f>'PIVOT TABLES'!$P$28-'PIVOT TABLES'!$P$27</f>
        <v>31.319999999999993</v>
      </c>
      <c r="T330" s="14">
        <f>200-SUM(Table3[[#This Row],[W - LIGHT]:[W - VIGOROUS]])</f>
        <v>74.72</v>
      </c>
      <c r="U330" s="14">
        <f>'PIVOT TABLES'!$W$26</f>
        <v>55.895999999999994</v>
      </c>
      <c r="V330" s="14">
        <f>'PIVOT TABLES'!$W$27-'PIVOT TABLES'!$W$26</f>
        <v>27.948</v>
      </c>
      <c r="W330" s="14">
        <f>'PIVOT TABLES'!$W$28-'PIVOT TABLES'!$W$27</f>
        <v>27.947999999999993</v>
      </c>
      <c r="X330" s="14">
        <f>200-SUM(Table3[[#This Row],[S - LIGHT]:[S - VIGOROUS]])</f>
        <v>88.208000000000013</v>
      </c>
    </row>
    <row r="331" spans="1:24" x14ac:dyDescent="0.25">
      <c r="A331" s="17" t="s">
        <v>66</v>
      </c>
      <c r="B331" s="13" t="str">
        <f t="shared" si="5"/>
        <v>Striker</v>
      </c>
      <c r="C331" s="7">
        <v>45303.432685185187</v>
      </c>
      <c r="D331" s="14">
        <v>7468</v>
      </c>
      <c r="E331" s="14">
        <v>32</v>
      </c>
      <c r="F331" s="14">
        <v>22</v>
      </c>
      <c r="G331" s="14">
        <v>21</v>
      </c>
      <c r="H331" s="14">
        <v>76.94</v>
      </c>
      <c r="I331" s="14">
        <f>'PIVOT TABLES'!$B$26</f>
        <v>60.283999999999999</v>
      </c>
      <c r="J331" s="14">
        <f>'PIVOT TABLES'!$B$27-'PIVOT TABLES'!$B$26</f>
        <v>30.142000000000003</v>
      </c>
      <c r="K331" s="14">
        <f>'PIVOT TABLES'!$B$28-'PIVOT TABLES'!$B$27</f>
        <v>30.141999999999996</v>
      </c>
      <c r="L331" s="14">
        <f>200-SUM(Table3[[#This Row],[D - LIGHT]:[D - VIGOROUS]])</f>
        <v>79.432000000000002</v>
      </c>
      <c r="M331" s="14">
        <f>'PIVOT TABLES'!$I$26</f>
        <v>65.603999999999999</v>
      </c>
      <c r="N331" s="14">
        <f>'PIVOT TABLES'!$I$27-'PIVOT TABLES'!$I$26</f>
        <v>32.802000000000007</v>
      </c>
      <c r="O331" s="14">
        <f>'PIVOT TABLES'!$I$28-'PIVOT TABLES'!$I$27</f>
        <v>32.801999999999992</v>
      </c>
      <c r="P331" s="14">
        <f>200-SUM(Table3[[#This Row],[M - LIGHT]:[M - VIGOROUS]])</f>
        <v>68.792000000000002</v>
      </c>
      <c r="Q331" s="14">
        <f>'PIVOT TABLES'!$P$26</f>
        <v>62.64</v>
      </c>
      <c r="R331" s="14">
        <f>'PIVOT TABLES'!$P$27-'PIVOT TABLES'!$P$26</f>
        <v>31.320000000000007</v>
      </c>
      <c r="S331" s="14">
        <f>'PIVOT TABLES'!$P$28-'PIVOT TABLES'!$P$27</f>
        <v>31.319999999999993</v>
      </c>
      <c r="T331" s="14">
        <f>200-SUM(Table3[[#This Row],[W - LIGHT]:[W - VIGOROUS]])</f>
        <v>74.72</v>
      </c>
      <c r="U331" s="14">
        <f>'PIVOT TABLES'!$W$26</f>
        <v>55.895999999999994</v>
      </c>
      <c r="V331" s="14">
        <f>'PIVOT TABLES'!$W$27-'PIVOT TABLES'!$W$26</f>
        <v>27.948</v>
      </c>
      <c r="W331" s="14">
        <f>'PIVOT TABLES'!$W$28-'PIVOT TABLES'!$W$27</f>
        <v>27.947999999999993</v>
      </c>
      <c r="X331" s="14">
        <f>200-SUM(Table3[[#This Row],[S - LIGHT]:[S - VIGOROUS]])</f>
        <v>88.208000000000013</v>
      </c>
    </row>
    <row r="332" spans="1:24" x14ac:dyDescent="0.25">
      <c r="A332" s="17" t="s">
        <v>78</v>
      </c>
      <c r="B332" s="13" t="str">
        <f t="shared" si="5"/>
        <v>Defender</v>
      </c>
      <c r="C332" s="7">
        <v>45303.432685185187</v>
      </c>
      <c r="D332" s="14">
        <v>7359</v>
      </c>
      <c r="E332" s="14">
        <v>133</v>
      </c>
      <c r="F332" s="14">
        <v>15</v>
      </c>
      <c r="G332" s="14">
        <v>12</v>
      </c>
      <c r="H332" s="14">
        <v>78.42</v>
      </c>
      <c r="I332" s="14">
        <f>'PIVOT TABLES'!$B$26</f>
        <v>60.283999999999999</v>
      </c>
      <c r="J332" s="14">
        <f>'PIVOT TABLES'!$B$27-'PIVOT TABLES'!$B$26</f>
        <v>30.142000000000003</v>
      </c>
      <c r="K332" s="14">
        <f>'PIVOT TABLES'!$B$28-'PIVOT TABLES'!$B$27</f>
        <v>30.141999999999996</v>
      </c>
      <c r="L332" s="14">
        <f>200-SUM(Table3[[#This Row],[D - LIGHT]:[D - VIGOROUS]])</f>
        <v>79.432000000000002</v>
      </c>
      <c r="M332" s="14">
        <f>'PIVOT TABLES'!$I$26</f>
        <v>65.603999999999999</v>
      </c>
      <c r="N332" s="14">
        <f>'PIVOT TABLES'!$I$27-'PIVOT TABLES'!$I$26</f>
        <v>32.802000000000007</v>
      </c>
      <c r="O332" s="14">
        <f>'PIVOT TABLES'!$I$28-'PIVOT TABLES'!$I$27</f>
        <v>32.801999999999992</v>
      </c>
      <c r="P332" s="14">
        <f>200-SUM(Table3[[#This Row],[M - LIGHT]:[M - VIGOROUS]])</f>
        <v>68.792000000000002</v>
      </c>
      <c r="Q332" s="14">
        <f>'PIVOT TABLES'!$P$26</f>
        <v>62.64</v>
      </c>
      <c r="R332" s="14">
        <f>'PIVOT TABLES'!$P$27-'PIVOT TABLES'!$P$26</f>
        <v>31.320000000000007</v>
      </c>
      <c r="S332" s="14">
        <f>'PIVOT TABLES'!$P$28-'PIVOT TABLES'!$P$27</f>
        <v>31.319999999999993</v>
      </c>
      <c r="T332" s="14">
        <f>200-SUM(Table3[[#This Row],[W - LIGHT]:[W - VIGOROUS]])</f>
        <v>74.72</v>
      </c>
      <c r="U332" s="14">
        <f>'PIVOT TABLES'!$W$26</f>
        <v>55.895999999999994</v>
      </c>
      <c r="V332" s="14">
        <f>'PIVOT TABLES'!$W$27-'PIVOT TABLES'!$W$26</f>
        <v>27.948</v>
      </c>
      <c r="W332" s="14">
        <f>'PIVOT TABLES'!$W$28-'PIVOT TABLES'!$W$27</f>
        <v>27.947999999999993</v>
      </c>
      <c r="X332" s="14">
        <f>200-SUM(Table3[[#This Row],[S - LIGHT]:[S - VIGOROUS]])</f>
        <v>88.208000000000013</v>
      </c>
    </row>
    <row r="333" spans="1:24" x14ac:dyDescent="0.25">
      <c r="A333" s="17" t="s">
        <v>7</v>
      </c>
      <c r="B333" s="13" t="str">
        <f t="shared" si="5"/>
        <v>Winger</v>
      </c>
      <c r="C333" s="7">
        <v>45303.432685185187</v>
      </c>
      <c r="D333" s="14">
        <v>7903</v>
      </c>
      <c r="E333" s="14">
        <v>133</v>
      </c>
      <c r="F333" s="14">
        <v>38</v>
      </c>
      <c r="G333" s="14">
        <v>30</v>
      </c>
      <c r="H333" s="14">
        <v>85.14</v>
      </c>
      <c r="I333" s="14">
        <f>'PIVOT TABLES'!$B$26</f>
        <v>60.283999999999999</v>
      </c>
      <c r="J333" s="14">
        <f>'PIVOT TABLES'!$B$27-'PIVOT TABLES'!$B$26</f>
        <v>30.142000000000003</v>
      </c>
      <c r="K333" s="14">
        <f>'PIVOT TABLES'!$B$28-'PIVOT TABLES'!$B$27</f>
        <v>30.141999999999996</v>
      </c>
      <c r="L333" s="14">
        <f>200-SUM(Table3[[#This Row],[D - LIGHT]:[D - VIGOROUS]])</f>
        <v>79.432000000000002</v>
      </c>
      <c r="M333" s="14">
        <f>'PIVOT TABLES'!$I$26</f>
        <v>65.603999999999999</v>
      </c>
      <c r="N333" s="14">
        <f>'PIVOT TABLES'!$I$27-'PIVOT TABLES'!$I$26</f>
        <v>32.802000000000007</v>
      </c>
      <c r="O333" s="14">
        <f>'PIVOT TABLES'!$I$28-'PIVOT TABLES'!$I$27</f>
        <v>32.801999999999992</v>
      </c>
      <c r="P333" s="14">
        <f>200-SUM(Table3[[#This Row],[M - LIGHT]:[M - VIGOROUS]])</f>
        <v>68.792000000000002</v>
      </c>
      <c r="Q333" s="14">
        <f>'PIVOT TABLES'!$P$26</f>
        <v>62.64</v>
      </c>
      <c r="R333" s="14">
        <f>'PIVOT TABLES'!$P$27-'PIVOT TABLES'!$P$26</f>
        <v>31.320000000000007</v>
      </c>
      <c r="S333" s="14">
        <f>'PIVOT TABLES'!$P$28-'PIVOT TABLES'!$P$27</f>
        <v>31.319999999999993</v>
      </c>
      <c r="T333" s="14">
        <f>200-SUM(Table3[[#This Row],[W - LIGHT]:[W - VIGOROUS]])</f>
        <v>74.72</v>
      </c>
      <c r="U333" s="14">
        <f>'PIVOT TABLES'!$W$26</f>
        <v>55.895999999999994</v>
      </c>
      <c r="V333" s="14">
        <f>'PIVOT TABLES'!$W$27-'PIVOT TABLES'!$W$26</f>
        <v>27.948</v>
      </c>
      <c r="W333" s="14">
        <f>'PIVOT TABLES'!$W$28-'PIVOT TABLES'!$W$27</f>
        <v>27.947999999999993</v>
      </c>
      <c r="X333" s="14">
        <f>200-SUM(Table3[[#This Row],[S - LIGHT]:[S - VIGOROUS]])</f>
        <v>88.208000000000013</v>
      </c>
    </row>
    <row r="334" spans="1:24" x14ac:dyDescent="0.25">
      <c r="A334" s="17" t="s">
        <v>8</v>
      </c>
      <c r="B334" s="13" t="str">
        <f t="shared" si="5"/>
        <v>Striker</v>
      </c>
      <c r="C334" s="7">
        <v>45303.432685185187</v>
      </c>
      <c r="D334" s="14">
        <v>6691</v>
      </c>
      <c r="E334" s="14">
        <v>160</v>
      </c>
      <c r="F334" s="14">
        <v>24</v>
      </c>
      <c r="G334" s="14">
        <v>27</v>
      </c>
      <c r="H334" s="14">
        <v>73.209999999999994</v>
      </c>
      <c r="I334" s="14">
        <f>'PIVOT TABLES'!$B$26</f>
        <v>60.283999999999999</v>
      </c>
      <c r="J334" s="14">
        <f>'PIVOT TABLES'!$B$27-'PIVOT TABLES'!$B$26</f>
        <v>30.142000000000003</v>
      </c>
      <c r="K334" s="14">
        <f>'PIVOT TABLES'!$B$28-'PIVOT TABLES'!$B$27</f>
        <v>30.141999999999996</v>
      </c>
      <c r="L334" s="14">
        <f>200-SUM(Table3[[#This Row],[D - LIGHT]:[D - VIGOROUS]])</f>
        <v>79.432000000000002</v>
      </c>
      <c r="M334" s="14">
        <f>'PIVOT TABLES'!$I$26</f>
        <v>65.603999999999999</v>
      </c>
      <c r="N334" s="14">
        <f>'PIVOT TABLES'!$I$27-'PIVOT TABLES'!$I$26</f>
        <v>32.802000000000007</v>
      </c>
      <c r="O334" s="14">
        <f>'PIVOT TABLES'!$I$28-'PIVOT TABLES'!$I$27</f>
        <v>32.801999999999992</v>
      </c>
      <c r="P334" s="14">
        <f>200-SUM(Table3[[#This Row],[M - LIGHT]:[M - VIGOROUS]])</f>
        <v>68.792000000000002</v>
      </c>
      <c r="Q334" s="14">
        <f>'PIVOT TABLES'!$P$26</f>
        <v>62.64</v>
      </c>
      <c r="R334" s="14">
        <f>'PIVOT TABLES'!$P$27-'PIVOT TABLES'!$P$26</f>
        <v>31.320000000000007</v>
      </c>
      <c r="S334" s="14">
        <f>'PIVOT TABLES'!$P$28-'PIVOT TABLES'!$P$27</f>
        <v>31.319999999999993</v>
      </c>
      <c r="T334" s="14">
        <f>200-SUM(Table3[[#This Row],[W - LIGHT]:[W - VIGOROUS]])</f>
        <v>74.72</v>
      </c>
      <c r="U334" s="14">
        <f>'PIVOT TABLES'!$W$26</f>
        <v>55.895999999999994</v>
      </c>
      <c r="V334" s="14">
        <f>'PIVOT TABLES'!$W$27-'PIVOT TABLES'!$W$26</f>
        <v>27.948</v>
      </c>
      <c r="W334" s="14">
        <f>'PIVOT TABLES'!$W$28-'PIVOT TABLES'!$W$27</f>
        <v>27.947999999999993</v>
      </c>
      <c r="X334" s="14">
        <f>200-SUM(Table3[[#This Row],[S - LIGHT]:[S - VIGOROUS]])</f>
        <v>88.208000000000013</v>
      </c>
    </row>
    <row r="335" spans="1:24" x14ac:dyDescent="0.25">
      <c r="A335" s="17" t="s">
        <v>67</v>
      </c>
      <c r="B335" s="13" t="str">
        <f t="shared" si="5"/>
        <v>Midfielder</v>
      </c>
      <c r="C335" s="7">
        <v>45303.432685185187</v>
      </c>
      <c r="D335" s="14">
        <v>8000</v>
      </c>
      <c r="E335" s="14">
        <v>137</v>
      </c>
      <c r="F335" s="14">
        <v>36</v>
      </c>
      <c r="G335" s="14">
        <v>20</v>
      </c>
      <c r="H335" s="14">
        <v>85.95</v>
      </c>
      <c r="I335" s="14">
        <f>'PIVOT TABLES'!$B$26</f>
        <v>60.283999999999999</v>
      </c>
      <c r="J335" s="14">
        <f>'PIVOT TABLES'!$B$27-'PIVOT TABLES'!$B$26</f>
        <v>30.142000000000003</v>
      </c>
      <c r="K335" s="14">
        <f>'PIVOT TABLES'!$B$28-'PIVOT TABLES'!$B$27</f>
        <v>30.141999999999996</v>
      </c>
      <c r="L335" s="14">
        <f>200-SUM(Table3[[#This Row],[D - LIGHT]:[D - VIGOROUS]])</f>
        <v>79.432000000000002</v>
      </c>
      <c r="M335" s="14">
        <f>'PIVOT TABLES'!$I$26</f>
        <v>65.603999999999999</v>
      </c>
      <c r="N335" s="14">
        <f>'PIVOT TABLES'!$I$27-'PIVOT TABLES'!$I$26</f>
        <v>32.802000000000007</v>
      </c>
      <c r="O335" s="14">
        <f>'PIVOT TABLES'!$I$28-'PIVOT TABLES'!$I$27</f>
        <v>32.801999999999992</v>
      </c>
      <c r="P335" s="14">
        <f>200-SUM(Table3[[#This Row],[M - LIGHT]:[M - VIGOROUS]])</f>
        <v>68.792000000000002</v>
      </c>
      <c r="Q335" s="14">
        <f>'PIVOT TABLES'!$P$26</f>
        <v>62.64</v>
      </c>
      <c r="R335" s="14">
        <f>'PIVOT TABLES'!$P$27-'PIVOT TABLES'!$P$26</f>
        <v>31.320000000000007</v>
      </c>
      <c r="S335" s="14">
        <f>'PIVOT TABLES'!$P$28-'PIVOT TABLES'!$P$27</f>
        <v>31.319999999999993</v>
      </c>
      <c r="T335" s="14">
        <f>200-SUM(Table3[[#This Row],[W - LIGHT]:[W - VIGOROUS]])</f>
        <v>74.72</v>
      </c>
      <c r="U335" s="14">
        <f>'PIVOT TABLES'!$W$26</f>
        <v>55.895999999999994</v>
      </c>
      <c r="V335" s="14">
        <f>'PIVOT TABLES'!$W$27-'PIVOT TABLES'!$W$26</f>
        <v>27.948</v>
      </c>
      <c r="W335" s="14">
        <f>'PIVOT TABLES'!$W$28-'PIVOT TABLES'!$W$27</f>
        <v>27.947999999999993</v>
      </c>
      <c r="X335" s="14">
        <f>200-SUM(Table3[[#This Row],[S - LIGHT]:[S - VIGOROUS]])</f>
        <v>88.208000000000013</v>
      </c>
    </row>
    <row r="336" spans="1:24" x14ac:dyDescent="0.25">
      <c r="A336" s="17" t="s">
        <v>69</v>
      </c>
      <c r="B336" s="13" t="str">
        <f t="shared" si="5"/>
        <v>Midfielder</v>
      </c>
      <c r="C336" s="7">
        <v>45303.432685185187</v>
      </c>
      <c r="D336" s="14">
        <v>8133</v>
      </c>
      <c r="E336" s="14">
        <v>278</v>
      </c>
      <c r="F336" s="14">
        <v>29</v>
      </c>
      <c r="G336" s="14">
        <v>23</v>
      </c>
      <c r="H336" s="14">
        <f>((((D336*1)+(F336*4)+(E336*3)+(G336*2))))/100</f>
        <v>91.29</v>
      </c>
      <c r="I336" s="14">
        <f>'PIVOT TABLES'!$B$26</f>
        <v>60.283999999999999</v>
      </c>
      <c r="J336" s="14">
        <f>'PIVOT TABLES'!$B$27-'PIVOT TABLES'!$B$26</f>
        <v>30.142000000000003</v>
      </c>
      <c r="K336" s="14">
        <f>'PIVOT TABLES'!$B$28-'PIVOT TABLES'!$B$27</f>
        <v>30.141999999999996</v>
      </c>
      <c r="L336" s="14">
        <f>200-SUM(Table3[[#This Row],[D - LIGHT]:[D - VIGOROUS]])</f>
        <v>79.432000000000002</v>
      </c>
      <c r="M336" s="14">
        <f>'PIVOT TABLES'!$I$26</f>
        <v>65.603999999999999</v>
      </c>
      <c r="N336" s="14">
        <f>'PIVOT TABLES'!$I$27-'PIVOT TABLES'!$I$26</f>
        <v>32.802000000000007</v>
      </c>
      <c r="O336" s="14">
        <f>'PIVOT TABLES'!$I$28-'PIVOT TABLES'!$I$27</f>
        <v>32.801999999999992</v>
      </c>
      <c r="P336" s="14">
        <f>200-SUM(Table3[[#This Row],[M - LIGHT]:[M - VIGOROUS]])</f>
        <v>68.792000000000002</v>
      </c>
      <c r="Q336" s="14">
        <f>'PIVOT TABLES'!$P$26</f>
        <v>62.64</v>
      </c>
      <c r="R336" s="14">
        <f>'PIVOT TABLES'!$P$27-'PIVOT TABLES'!$P$26</f>
        <v>31.320000000000007</v>
      </c>
      <c r="S336" s="14">
        <f>'PIVOT TABLES'!$P$28-'PIVOT TABLES'!$P$27</f>
        <v>31.319999999999993</v>
      </c>
      <c r="T336" s="14">
        <f>200-SUM(Table3[[#This Row],[W - LIGHT]:[W - VIGOROUS]])</f>
        <v>74.72</v>
      </c>
      <c r="U336" s="14">
        <f>'PIVOT TABLES'!$W$26</f>
        <v>55.895999999999994</v>
      </c>
      <c r="V336" s="14">
        <f>'PIVOT TABLES'!$W$27-'PIVOT TABLES'!$W$26</f>
        <v>27.948</v>
      </c>
      <c r="W336" s="14">
        <f>'PIVOT TABLES'!$W$28-'PIVOT TABLES'!$W$27</f>
        <v>27.947999999999993</v>
      </c>
      <c r="X336" s="14">
        <f>200-SUM(Table3[[#This Row],[S - LIGHT]:[S - VIGOROUS]])</f>
        <v>88.208000000000013</v>
      </c>
    </row>
    <row r="337" spans="1:24" x14ac:dyDescent="0.25">
      <c r="A337" s="17" t="s">
        <v>70</v>
      </c>
      <c r="B337" s="13" t="str">
        <f t="shared" si="5"/>
        <v>Winger</v>
      </c>
      <c r="C337" s="7">
        <v>45306.689699074072</v>
      </c>
      <c r="D337" s="14">
        <v>2421</v>
      </c>
      <c r="E337" s="14">
        <v>0</v>
      </c>
      <c r="F337" s="14">
        <v>16</v>
      </c>
      <c r="G337" s="14">
        <v>37</v>
      </c>
      <c r="H337" s="14">
        <v>25.59</v>
      </c>
      <c r="I337" s="14">
        <f>'PIVOT TABLES'!$B$26</f>
        <v>60.283999999999999</v>
      </c>
      <c r="J337" s="14">
        <f>'PIVOT TABLES'!$B$27-'PIVOT TABLES'!$B$26</f>
        <v>30.142000000000003</v>
      </c>
      <c r="K337" s="14">
        <f>'PIVOT TABLES'!$B$28-'PIVOT TABLES'!$B$27</f>
        <v>30.141999999999996</v>
      </c>
      <c r="L337" s="14">
        <f>200-SUM(Table3[[#This Row],[D - LIGHT]:[D - VIGOROUS]])</f>
        <v>79.432000000000002</v>
      </c>
      <c r="M337" s="14">
        <f>'PIVOT TABLES'!$I$26</f>
        <v>65.603999999999999</v>
      </c>
      <c r="N337" s="14">
        <f>'PIVOT TABLES'!$I$27-'PIVOT TABLES'!$I$26</f>
        <v>32.802000000000007</v>
      </c>
      <c r="O337" s="14">
        <f>'PIVOT TABLES'!$I$28-'PIVOT TABLES'!$I$27</f>
        <v>32.801999999999992</v>
      </c>
      <c r="P337" s="14">
        <f>200-SUM(Table3[[#This Row],[M - LIGHT]:[M - VIGOROUS]])</f>
        <v>68.792000000000002</v>
      </c>
      <c r="Q337" s="14">
        <f>'PIVOT TABLES'!$P$26</f>
        <v>62.64</v>
      </c>
      <c r="R337" s="14">
        <f>'PIVOT TABLES'!$P$27-'PIVOT TABLES'!$P$26</f>
        <v>31.320000000000007</v>
      </c>
      <c r="S337" s="14">
        <f>'PIVOT TABLES'!$P$28-'PIVOT TABLES'!$P$27</f>
        <v>31.319999999999993</v>
      </c>
      <c r="T337" s="14">
        <f>200-SUM(Table3[[#This Row],[W - LIGHT]:[W - VIGOROUS]])</f>
        <v>74.72</v>
      </c>
      <c r="U337" s="14">
        <f>'PIVOT TABLES'!$W$26</f>
        <v>55.895999999999994</v>
      </c>
      <c r="V337" s="14">
        <f>'PIVOT TABLES'!$W$27-'PIVOT TABLES'!$W$26</f>
        <v>27.948</v>
      </c>
      <c r="W337" s="14">
        <f>'PIVOT TABLES'!$W$28-'PIVOT TABLES'!$W$27</f>
        <v>27.947999999999993</v>
      </c>
      <c r="X337" s="14">
        <f>200-SUM(Table3[[#This Row],[S - LIGHT]:[S - VIGOROUS]])</f>
        <v>88.208000000000013</v>
      </c>
    </row>
    <row r="338" spans="1:24" x14ac:dyDescent="0.25">
      <c r="A338" s="17" t="s">
        <v>53</v>
      </c>
      <c r="B338" s="13" t="str">
        <f t="shared" si="5"/>
        <v>Midfielder</v>
      </c>
      <c r="C338" s="7">
        <v>45306.689699074072</v>
      </c>
      <c r="D338" s="14">
        <v>2476</v>
      </c>
      <c r="E338" s="14">
        <v>0</v>
      </c>
      <c r="F338" s="14">
        <v>18</v>
      </c>
      <c r="G338" s="14">
        <v>36</v>
      </c>
      <c r="H338" s="14">
        <v>26.2</v>
      </c>
      <c r="I338" s="14">
        <f>'PIVOT TABLES'!$B$26</f>
        <v>60.283999999999999</v>
      </c>
      <c r="J338" s="14">
        <f>'PIVOT TABLES'!$B$27-'PIVOT TABLES'!$B$26</f>
        <v>30.142000000000003</v>
      </c>
      <c r="K338" s="14">
        <f>'PIVOT TABLES'!$B$28-'PIVOT TABLES'!$B$27</f>
        <v>30.141999999999996</v>
      </c>
      <c r="L338" s="14">
        <f>200-SUM(Table3[[#This Row],[D - LIGHT]:[D - VIGOROUS]])</f>
        <v>79.432000000000002</v>
      </c>
      <c r="M338" s="14">
        <f>'PIVOT TABLES'!$I$26</f>
        <v>65.603999999999999</v>
      </c>
      <c r="N338" s="14">
        <f>'PIVOT TABLES'!$I$27-'PIVOT TABLES'!$I$26</f>
        <v>32.802000000000007</v>
      </c>
      <c r="O338" s="14">
        <f>'PIVOT TABLES'!$I$28-'PIVOT TABLES'!$I$27</f>
        <v>32.801999999999992</v>
      </c>
      <c r="P338" s="14">
        <f>200-SUM(Table3[[#This Row],[M - LIGHT]:[M - VIGOROUS]])</f>
        <v>68.792000000000002</v>
      </c>
      <c r="Q338" s="14">
        <f>'PIVOT TABLES'!$P$26</f>
        <v>62.64</v>
      </c>
      <c r="R338" s="14">
        <f>'PIVOT TABLES'!$P$27-'PIVOT TABLES'!$P$26</f>
        <v>31.320000000000007</v>
      </c>
      <c r="S338" s="14">
        <f>'PIVOT TABLES'!$P$28-'PIVOT TABLES'!$P$27</f>
        <v>31.319999999999993</v>
      </c>
      <c r="T338" s="14">
        <f>200-SUM(Table3[[#This Row],[W - LIGHT]:[W - VIGOROUS]])</f>
        <v>74.72</v>
      </c>
      <c r="U338" s="14">
        <f>'PIVOT TABLES'!$W$26</f>
        <v>55.895999999999994</v>
      </c>
      <c r="V338" s="14">
        <f>'PIVOT TABLES'!$W$27-'PIVOT TABLES'!$W$26</f>
        <v>27.948</v>
      </c>
      <c r="W338" s="14">
        <f>'PIVOT TABLES'!$W$28-'PIVOT TABLES'!$W$27</f>
        <v>27.947999999999993</v>
      </c>
      <c r="X338" s="14">
        <f>200-SUM(Table3[[#This Row],[S - LIGHT]:[S - VIGOROUS]])</f>
        <v>88.208000000000013</v>
      </c>
    </row>
    <row r="339" spans="1:24" x14ac:dyDescent="0.25">
      <c r="A339" s="17" t="s">
        <v>54</v>
      </c>
      <c r="B339" s="13" t="str">
        <f t="shared" si="5"/>
        <v>Striker</v>
      </c>
      <c r="C339" s="7">
        <v>45306.689699074072</v>
      </c>
      <c r="D339" s="14">
        <v>2926</v>
      </c>
      <c r="E339" s="14">
        <v>0</v>
      </c>
      <c r="F339" s="14">
        <v>30</v>
      </c>
      <c r="G339" s="14">
        <v>34</v>
      </c>
      <c r="H339" s="14">
        <v>31.14</v>
      </c>
      <c r="I339" s="14">
        <f>'PIVOT TABLES'!$B$26</f>
        <v>60.283999999999999</v>
      </c>
      <c r="J339" s="14">
        <f>'PIVOT TABLES'!$B$27-'PIVOT TABLES'!$B$26</f>
        <v>30.142000000000003</v>
      </c>
      <c r="K339" s="14">
        <f>'PIVOT TABLES'!$B$28-'PIVOT TABLES'!$B$27</f>
        <v>30.141999999999996</v>
      </c>
      <c r="L339" s="14">
        <f>200-SUM(Table3[[#This Row],[D - LIGHT]:[D - VIGOROUS]])</f>
        <v>79.432000000000002</v>
      </c>
      <c r="M339" s="14">
        <f>'PIVOT TABLES'!$I$26</f>
        <v>65.603999999999999</v>
      </c>
      <c r="N339" s="14">
        <f>'PIVOT TABLES'!$I$27-'PIVOT TABLES'!$I$26</f>
        <v>32.802000000000007</v>
      </c>
      <c r="O339" s="14">
        <f>'PIVOT TABLES'!$I$28-'PIVOT TABLES'!$I$27</f>
        <v>32.801999999999992</v>
      </c>
      <c r="P339" s="14">
        <f>200-SUM(Table3[[#This Row],[M - LIGHT]:[M - VIGOROUS]])</f>
        <v>68.792000000000002</v>
      </c>
      <c r="Q339" s="14">
        <f>'PIVOT TABLES'!$P$26</f>
        <v>62.64</v>
      </c>
      <c r="R339" s="14">
        <f>'PIVOT TABLES'!$P$27-'PIVOT TABLES'!$P$26</f>
        <v>31.320000000000007</v>
      </c>
      <c r="S339" s="14">
        <f>'PIVOT TABLES'!$P$28-'PIVOT TABLES'!$P$27</f>
        <v>31.319999999999993</v>
      </c>
      <c r="T339" s="14">
        <f>200-SUM(Table3[[#This Row],[W - LIGHT]:[W - VIGOROUS]])</f>
        <v>74.72</v>
      </c>
      <c r="U339" s="14">
        <f>'PIVOT TABLES'!$W$26</f>
        <v>55.895999999999994</v>
      </c>
      <c r="V339" s="14">
        <f>'PIVOT TABLES'!$W$27-'PIVOT TABLES'!$W$26</f>
        <v>27.948</v>
      </c>
      <c r="W339" s="14">
        <f>'PIVOT TABLES'!$W$28-'PIVOT TABLES'!$W$27</f>
        <v>27.947999999999993</v>
      </c>
      <c r="X339" s="14">
        <f>200-SUM(Table3[[#This Row],[S - LIGHT]:[S - VIGOROUS]])</f>
        <v>88.208000000000013</v>
      </c>
    </row>
    <row r="340" spans="1:24" x14ac:dyDescent="0.25">
      <c r="A340" s="17" t="s">
        <v>55</v>
      </c>
      <c r="B340" s="13" t="str">
        <f t="shared" si="5"/>
        <v>Striker</v>
      </c>
      <c r="C340" s="7">
        <v>45306.689699074072</v>
      </c>
      <c r="D340" s="14">
        <v>2262</v>
      </c>
      <c r="E340" s="14">
        <v>0</v>
      </c>
      <c r="F340" s="14">
        <v>17</v>
      </c>
      <c r="G340" s="14">
        <v>44</v>
      </c>
      <c r="H340" s="14">
        <v>24.18</v>
      </c>
      <c r="I340" s="14">
        <f>'PIVOT TABLES'!$B$26</f>
        <v>60.283999999999999</v>
      </c>
      <c r="J340" s="14">
        <f>'PIVOT TABLES'!$B$27-'PIVOT TABLES'!$B$26</f>
        <v>30.142000000000003</v>
      </c>
      <c r="K340" s="14">
        <f>'PIVOT TABLES'!$B$28-'PIVOT TABLES'!$B$27</f>
        <v>30.141999999999996</v>
      </c>
      <c r="L340" s="14">
        <f>200-SUM(Table3[[#This Row],[D - LIGHT]:[D - VIGOROUS]])</f>
        <v>79.432000000000002</v>
      </c>
      <c r="M340" s="14">
        <f>'PIVOT TABLES'!$I$26</f>
        <v>65.603999999999999</v>
      </c>
      <c r="N340" s="14">
        <f>'PIVOT TABLES'!$I$27-'PIVOT TABLES'!$I$26</f>
        <v>32.802000000000007</v>
      </c>
      <c r="O340" s="14">
        <f>'PIVOT TABLES'!$I$28-'PIVOT TABLES'!$I$27</f>
        <v>32.801999999999992</v>
      </c>
      <c r="P340" s="14">
        <f>200-SUM(Table3[[#This Row],[M - LIGHT]:[M - VIGOROUS]])</f>
        <v>68.792000000000002</v>
      </c>
      <c r="Q340" s="14">
        <f>'PIVOT TABLES'!$P$26</f>
        <v>62.64</v>
      </c>
      <c r="R340" s="14">
        <f>'PIVOT TABLES'!$P$27-'PIVOT TABLES'!$P$26</f>
        <v>31.320000000000007</v>
      </c>
      <c r="S340" s="14">
        <f>'PIVOT TABLES'!$P$28-'PIVOT TABLES'!$P$27</f>
        <v>31.319999999999993</v>
      </c>
      <c r="T340" s="14">
        <f>200-SUM(Table3[[#This Row],[W - LIGHT]:[W - VIGOROUS]])</f>
        <v>74.72</v>
      </c>
      <c r="U340" s="14">
        <f>'PIVOT TABLES'!$W$26</f>
        <v>55.895999999999994</v>
      </c>
      <c r="V340" s="14">
        <f>'PIVOT TABLES'!$W$27-'PIVOT TABLES'!$W$26</f>
        <v>27.948</v>
      </c>
      <c r="W340" s="14">
        <f>'PIVOT TABLES'!$W$28-'PIVOT TABLES'!$W$27</f>
        <v>27.947999999999993</v>
      </c>
      <c r="X340" s="14">
        <f>200-SUM(Table3[[#This Row],[S - LIGHT]:[S - VIGOROUS]])</f>
        <v>88.208000000000013</v>
      </c>
    </row>
    <row r="341" spans="1:24" x14ac:dyDescent="0.25">
      <c r="A341" s="17" t="s">
        <v>1</v>
      </c>
      <c r="B341" s="13" t="str">
        <f t="shared" si="5"/>
        <v>Defender</v>
      </c>
      <c r="C341" s="7">
        <v>45306.689699074072</v>
      </c>
      <c r="D341" s="14">
        <v>2559</v>
      </c>
      <c r="E341" s="14">
        <v>0</v>
      </c>
      <c r="F341" s="14">
        <v>23</v>
      </c>
      <c r="G341" s="14">
        <v>35</v>
      </c>
      <c r="H341" s="14">
        <v>27.21</v>
      </c>
      <c r="I341" s="14">
        <f>'PIVOT TABLES'!$B$26</f>
        <v>60.283999999999999</v>
      </c>
      <c r="J341" s="14">
        <f>'PIVOT TABLES'!$B$27-'PIVOT TABLES'!$B$26</f>
        <v>30.142000000000003</v>
      </c>
      <c r="K341" s="14">
        <f>'PIVOT TABLES'!$B$28-'PIVOT TABLES'!$B$27</f>
        <v>30.141999999999996</v>
      </c>
      <c r="L341" s="14">
        <f>200-SUM(Table3[[#This Row],[D - LIGHT]:[D - VIGOROUS]])</f>
        <v>79.432000000000002</v>
      </c>
      <c r="M341" s="14">
        <f>'PIVOT TABLES'!$I$26</f>
        <v>65.603999999999999</v>
      </c>
      <c r="N341" s="14">
        <f>'PIVOT TABLES'!$I$27-'PIVOT TABLES'!$I$26</f>
        <v>32.802000000000007</v>
      </c>
      <c r="O341" s="14">
        <f>'PIVOT TABLES'!$I$28-'PIVOT TABLES'!$I$27</f>
        <v>32.801999999999992</v>
      </c>
      <c r="P341" s="14">
        <f>200-SUM(Table3[[#This Row],[M - LIGHT]:[M - VIGOROUS]])</f>
        <v>68.792000000000002</v>
      </c>
      <c r="Q341" s="14">
        <f>'PIVOT TABLES'!$P$26</f>
        <v>62.64</v>
      </c>
      <c r="R341" s="14">
        <f>'PIVOT TABLES'!$P$27-'PIVOT TABLES'!$P$26</f>
        <v>31.320000000000007</v>
      </c>
      <c r="S341" s="14">
        <f>'PIVOT TABLES'!$P$28-'PIVOT TABLES'!$P$27</f>
        <v>31.319999999999993</v>
      </c>
      <c r="T341" s="14">
        <f>200-SUM(Table3[[#This Row],[W - LIGHT]:[W - VIGOROUS]])</f>
        <v>74.72</v>
      </c>
      <c r="U341" s="14">
        <f>'PIVOT TABLES'!$W$26</f>
        <v>55.895999999999994</v>
      </c>
      <c r="V341" s="14">
        <f>'PIVOT TABLES'!$W$27-'PIVOT TABLES'!$W$26</f>
        <v>27.948</v>
      </c>
      <c r="W341" s="14">
        <f>'PIVOT TABLES'!$W$28-'PIVOT TABLES'!$W$27</f>
        <v>27.947999999999993</v>
      </c>
      <c r="X341" s="14">
        <f>200-SUM(Table3[[#This Row],[S - LIGHT]:[S - VIGOROUS]])</f>
        <v>88.208000000000013</v>
      </c>
    </row>
    <row r="342" spans="1:24" x14ac:dyDescent="0.25">
      <c r="A342" s="17" t="s">
        <v>56</v>
      </c>
      <c r="B342" s="13" t="str">
        <f t="shared" si="5"/>
        <v>Midfielder</v>
      </c>
      <c r="C342" s="7">
        <v>45306.689699074072</v>
      </c>
      <c r="D342" s="14">
        <v>2551</v>
      </c>
      <c r="E342" s="14">
        <v>0</v>
      </c>
      <c r="F342" s="14">
        <v>15</v>
      </c>
      <c r="G342" s="14">
        <v>30</v>
      </c>
      <c r="H342" s="14">
        <v>26.71</v>
      </c>
      <c r="I342" s="14">
        <f>'PIVOT TABLES'!$B$26</f>
        <v>60.283999999999999</v>
      </c>
      <c r="J342" s="14">
        <f>'PIVOT TABLES'!$B$27-'PIVOT TABLES'!$B$26</f>
        <v>30.142000000000003</v>
      </c>
      <c r="K342" s="14">
        <f>'PIVOT TABLES'!$B$28-'PIVOT TABLES'!$B$27</f>
        <v>30.141999999999996</v>
      </c>
      <c r="L342" s="14">
        <f>200-SUM(Table3[[#This Row],[D - LIGHT]:[D - VIGOROUS]])</f>
        <v>79.432000000000002</v>
      </c>
      <c r="M342" s="14">
        <f>'PIVOT TABLES'!$I$26</f>
        <v>65.603999999999999</v>
      </c>
      <c r="N342" s="14">
        <f>'PIVOT TABLES'!$I$27-'PIVOT TABLES'!$I$26</f>
        <v>32.802000000000007</v>
      </c>
      <c r="O342" s="14">
        <f>'PIVOT TABLES'!$I$28-'PIVOT TABLES'!$I$27</f>
        <v>32.801999999999992</v>
      </c>
      <c r="P342" s="14">
        <f>200-SUM(Table3[[#This Row],[M - LIGHT]:[M - VIGOROUS]])</f>
        <v>68.792000000000002</v>
      </c>
      <c r="Q342" s="14">
        <f>'PIVOT TABLES'!$P$26</f>
        <v>62.64</v>
      </c>
      <c r="R342" s="14">
        <f>'PIVOT TABLES'!$P$27-'PIVOT TABLES'!$P$26</f>
        <v>31.320000000000007</v>
      </c>
      <c r="S342" s="14">
        <f>'PIVOT TABLES'!$P$28-'PIVOT TABLES'!$P$27</f>
        <v>31.319999999999993</v>
      </c>
      <c r="T342" s="14">
        <f>200-SUM(Table3[[#This Row],[W - LIGHT]:[W - VIGOROUS]])</f>
        <v>74.72</v>
      </c>
      <c r="U342" s="14">
        <f>'PIVOT TABLES'!$W$26</f>
        <v>55.895999999999994</v>
      </c>
      <c r="V342" s="14">
        <f>'PIVOT TABLES'!$W$27-'PIVOT TABLES'!$W$26</f>
        <v>27.948</v>
      </c>
      <c r="W342" s="14">
        <f>'PIVOT TABLES'!$W$28-'PIVOT TABLES'!$W$27</f>
        <v>27.947999999999993</v>
      </c>
      <c r="X342" s="14">
        <f>200-SUM(Table3[[#This Row],[S - LIGHT]:[S - VIGOROUS]])</f>
        <v>88.208000000000013</v>
      </c>
    </row>
    <row r="343" spans="1:24" x14ac:dyDescent="0.25">
      <c r="A343" s="17" t="s">
        <v>2</v>
      </c>
      <c r="B343" s="13" t="str">
        <f t="shared" si="5"/>
        <v>Defender</v>
      </c>
      <c r="C343" s="7">
        <v>45306.689699074072</v>
      </c>
      <c r="D343" s="14">
        <v>3323</v>
      </c>
      <c r="E343" s="14">
        <v>0</v>
      </c>
      <c r="F343" s="14">
        <v>47</v>
      </c>
      <c r="G343" s="14">
        <v>73</v>
      </c>
      <c r="H343" s="14">
        <v>36.57</v>
      </c>
      <c r="I343" s="14">
        <f>'PIVOT TABLES'!$B$26</f>
        <v>60.283999999999999</v>
      </c>
      <c r="J343" s="14">
        <f>'PIVOT TABLES'!$B$27-'PIVOT TABLES'!$B$26</f>
        <v>30.142000000000003</v>
      </c>
      <c r="K343" s="14">
        <f>'PIVOT TABLES'!$B$28-'PIVOT TABLES'!$B$27</f>
        <v>30.141999999999996</v>
      </c>
      <c r="L343" s="14">
        <f>200-SUM(Table3[[#This Row],[D - LIGHT]:[D - VIGOROUS]])</f>
        <v>79.432000000000002</v>
      </c>
      <c r="M343" s="14">
        <f>'PIVOT TABLES'!$I$26</f>
        <v>65.603999999999999</v>
      </c>
      <c r="N343" s="14">
        <f>'PIVOT TABLES'!$I$27-'PIVOT TABLES'!$I$26</f>
        <v>32.802000000000007</v>
      </c>
      <c r="O343" s="14">
        <f>'PIVOT TABLES'!$I$28-'PIVOT TABLES'!$I$27</f>
        <v>32.801999999999992</v>
      </c>
      <c r="P343" s="14">
        <f>200-SUM(Table3[[#This Row],[M - LIGHT]:[M - VIGOROUS]])</f>
        <v>68.792000000000002</v>
      </c>
      <c r="Q343" s="14">
        <f>'PIVOT TABLES'!$P$26</f>
        <v>62.64</v>
      </c>
      <c r="R343" s="14">
        <f>'PIVOT TABLES'!$P$27-'PIVOT TABLES'!$P$26</f>
        <v>31.320000000000007</v>
      </c>
      <c r="S343" s="14">
        <f>'PIVOT TABLES'!$P$28-'PIVOT TABLES'!$P$27</f>
        <v>31.319999999999993</v>
      </c>
      <c r="T343" s="14">
        <f>200-SUM(Table3[[#This Row],[W - LIGHT]:[W - VIGOROUS]])</f>
        <v>74.72</v>
      </c>
      <c r="U343" s="14">
        <f>'PIVOT TABLES'!$W$26</f>
        <v>55.895999999999994</v>
      </c>
      <c r="V343" s="14">
        <f>'PIVOT TABLES'!$W$27-'PIVOT TABLES'!$W$26</f>
        <v>27.948</v>
      </c>
      <c r="W343" s="14">
        <f>'PIVOT TABLES'!$W$28-'PIVOT TABLES'!$W$27</f>
        <v>27.947999999999993</v>
      </c>
      <c r="X343" s="14">
        <f>200-SUM(Table3[[#This Row],[S - LIGHT]:[S - VIGOROUS]])</f>
        <v>88.208000000000013</v>
      </c>
    </row>
    <row r="344" spans="1:24" x14ac:dyDescent="0.25">
      <c r="A344" s="17" t="s">
        <v>58</v>
      </c>
      <c r="B344" s="13" t="str">
        <f t="shared" si="5"/>
        <v>Defender</v>
      </c>
      <c r="C344" s="7">
        <v>45306.689699074072</v>
      </c>
      <c r="D344" s="14">
        <v>2777</v>
      </c>
      <c r="E344" s="14">
        <v>0</v>
      </c>
      <c r="F344" s="14">
        <v>32</v>
      </c>
      <c r="G344" s="14">
        <v>41</v>
      </c>
      <c r="H344" s="14">
        <v>29.87</v>
      </c>
      <c r="I344" s="14">
        <f>'PIVOT TABLES'!$B$26</f>
        <v>60.283999999999999</v>
      </c>
      <c r="J344" s="14">
        <f>'PIVOT TABLES'!$B$27-'PIVOT TABLES'!$B$26</f>
        <v>30.142000000000003</v>
      </c>
      <c r="K344" s="14">
        <f>'PIVOT TABLES'!$B$28-'PIVOT TABLES'!$B$27</f>
        <v>30.141999999999996</v>
      </c>
      <c r="L344" s="14">
        <f>200-SUM(Table3[[#This Row],[D - LIGHT]:[D - VIGOROUS]])</f>
        <v>79.432000000000002</v>
      </c>
      <c r="M344" s="14">
        <f>'PIVOT TABLES'!$I$26</f>
        <v>65.603999999999999</v>
      </c>
      <c r="N344" s="14">
        <f>'PIVOT TABLES'!$I$27-'PIVOT TABLES'!$I$26</f>
        <v>32.802000000000007</v>
      </c>
      <c r="O344" s="14">
        <f>'PIVOT TABLES'!$I$28-'PIVOT TABLES'!$I$27</f>
        <v>32.801999999999992</v>
      </c>
      <c r="P344" s="14">
        <f>200-SUM(Table3[[#This Row],[M - LIGHT]:[M - VIGOROUS]])</f>
        <v>68.792000000000002</v>
      </c>
      <c r="Q344" s="14">
        <f>'PIVOT TABLES'!$P$26</f>
        <v>62.64</v>
      </c>
      <c r="R344" s="14">
        <f>'PIVOT TABLES'!$P$27-'PIVOT TABLES'!$P$26</f>
        <v>31.320000000000007</v>
      </c>
      <c r="S344" s="14">
        <f>'PIVOT TABLES'!$P$28-'PIVOT TABLES'!$P$27</f>
        <v>31.319999999999993</v>
      </c>
      <c r="T344" s="14">
        <f>200-SUM(Table3[[#This Row],[W - LIGHT]:[W - VIGOROUS]])</f>
        <v>74.72</v>
      </c>
      <c r="U344" s="14">
        <f>'PIVOT TABLES'!$W$26</f>
        <v>55.895999999999994</v>
      </c>
      <c r="V344" s="14">
        <f>'PIVOT TABLES'!$W$27-'PIVOT TABLES'!$W$26</f>
        <v>27.948</v>
      </c>
      <c r="W344" s="14">
        <f>'PIVOT TABLES'!$W$28-'PIVOT TABLES'!$W$27</f>
        <v>27.947999999999993</v>
      </c>
      <c r="X344" s="14">
        <f>200-SUM(Table3[[#This Row],[S - LIGHT]:[S - VIGOROUS]])</f>
        <v>88.208000000000013</v>
      </c>
    </row>
    <row r="345" spans="1:24" x14ac:dyDescent="0.25">
      <c r="A345" s="17" t="s">
        <v>94</v>
      </c>
      <c r="B345" s="13" t="str">
        <f t="shared" si="5"/>
        <v>Defender</v>
      </c>
      <c r="C345" s="7">
        <v>45306.689699074072</v>
      </c>
      <c r="D345" s="14">
        <v>2520</v>
      </c>
      <c r="E345" s="14">
        <v>0</v>
      </c>
      <c r="F345" s="14">
        <v>26</v>
      </c>
      <c r="G345" s="14">
        <v>37</v>
      </c>
      <c r="H345" s="14">
        <v>26.98</v>
      </c>
      <c r="I345" s="14">
        <f>'PIVOT TABLES'!$B$26</f>
        <v>60.283999999999999</v>
      </c>
      <c r="J345" s="14">
        <f>'PIVOT TABLES'!$B$27-'PIVOT TABLES'!$B$26</f>
        <v>30.142000000000003</v>
      </c>
      <c r="K345" s="14">
        <f>'PIVOT TABLES'!$B$28-'PIVOT TABLES'!$B$27</f>
        <v>30.141999999999996</v>
      </c>
      <c r="L345" s="14">
        <f>200-SUM(Table3[[#This Row],[D - LIGHT]:[D - VIGOROUS]])</f>
        <v>79.432000000000002</v>
      </c>
      <c r="M345" s="14">
        <f>'PIVOT TABLES'!$I$26</f>
        <v>65.603999999999999</v>
      </c>
      <c r="N345" s="14">
        <f>'PIVOT TABLES'!$I$27-'PIVOT TABLES'!$I$26</f>
        <v>32.802000000000007</v>
      </c>
      <c r="O345" s="14">
        <f>'PIVOT TABLES'!$I$28-'PIVOT TABLES'!$I$27</f>
        <v>32.801999999999992</v>
      </c>
      <c r="P345" s="14">
        <f>200-SUM(Table3[[#This Row],[M - LIGHT]:[M - VIGOROUS]])</f>
        <v>68.792000000000002</v>
      </c>
      <c r="Q345" s="14">
        <f>'PIVOT TABLES'!$P$26</f>
        <v>62.64</v>
      </c>
      <c r="R345" s="14">
        <f>'PIVOT TABLES'!$P$27-'PIVOT TABLES'!$P$26</f>
        <v>31.320000000000007</v>
      </c>
      <c r="S345" s="14">
        <f>'PIVOT TABLES'!$P$28-'PIVOT TABLES'!$P$27</f>
        <v>31.319999999999993</v>
      </c>
      <c r="T345" s="14">
        <f>200-SUM(Table3[[#This Row],[W - LIGHT]:[W - VIGOROUS]])</f>
        <v>74.72</v>
      </c>
      <c r="U345" s="14">
        <f>'PIVOT TABLES'!$W$26</f>
        <v>55.895999999999994</v>
      </c>
      <c r="V345" s="14">
        <f>'PIVOT TABLES'!$W$27-'PIVOT TABLES'!$W$26</f>
        <v>27.948</v>
      </c>
      <c r="W345" s="14">
        <f>'PIVOT TABLES'!$W$28-'PIVOT TABLES'!$W$27</f>
        <v>27.947999999999993</v>
      </c>
      <c r="X345" s="14">
        <f>200-SUM(Table3[[#This Row],[S - LIGHT]:[S - VIGOROUS]])</f>
        <v>88.208000000000013</v>
      </c>
    </row>
    <row r="346" spans="1:24" x14ac:dyDescent="0.25">
      <c r="A346" s="17" t="s">
        <v>3</v>
      </c>
      <c r="B346" s="13" t="str">
        <f t="shared" si="5"/>
        <v>Defender</v>
      </c>
      <c r="C346" s="7">
        <v>45306.689699074072</v>
      </c>
      <c r="D346" s="14">
        <v>3238</v>
      </c>
      <c r="E346" s="14">
        <v>0</v>
      </c>
      <c r="F346" s="14">
        <v>16</v>
      </c>
      <c r="G346" s="14">
        <v>54</v>
      </c>
      <c r="H346" s="14">
        <v>34.1</v>
      </c>
      <c r="I346" s="14">
        <f>'PIVOT TABLES'!$B$26</f>
        <v>60.283999999999999</v>
      </c>
      <c r="J346" s="14">
        <f>'PIVOT TABLES'!$B$27-'PIVOT TABLES'!$B$26</f>
        <v>30.142000000000003</v>
      </c>
      <c r="K346" s="14">
        <f>'PIVOT TABLES'!$B$28-'PIVOT TABLES'!$B$27</f>
        <v>30.141999999999996</v>
      </c>
      <c r="L346" s="14">
        <f>200-SUM(Table3[[#This Row],[D - LIGHT]:[D - VIGOROUS]])</f>
        <v>79.432000000000002</v>
      </c>
      <c r="M346" s="14">
        <f>'PIVOT TABLES'!$I$26</f>
        <v>65.603999999999999</v>
      </c>
      <c r="N346" s="14">
        <f>'PIVOT TABLES'!$I$27-'PIVOT TABLES'!$I$26</f>
        <v>32.802000000000007</v>
      </c>
      <c r="O346" s="14">
        <f>'PIVOT TABLES'!$I$28-'PIVOT TABLES'!$I$27</f>
        <v>32.801999999999992</v>
      </c>
      <c r="P346" s="14">
        <f>200-SUM(Table3[[#This Row],[M - LIGHT]:[M - VIGOROUS]])</f>
        <v>68.792000000000002</v>
      </c>
      <c r="Q346" s="14">
        <f>'PIVOT TABLES'!$P$26</f>
        <v>62.64</v>
      </c>
      <c r="R346" s="14">
        <f>'PIVOT TABLES'!$P$27-'PIVOT TABLES'!$P$26</f>
        <v>31.320000000000007</v>
      </c>
      <c r="S346" s="14">
        <f>'PIVOT TABLES'!$P$28-'PIVOT TABLES'!$P$27</f>
        <v>31.319999999999993</v>
      </c>
      <c r="T346" s="14">
        <f>200-SUM(Table3[[#This Row],[W - LIGHT]:[W - VIGOROUS]])</f>
        <v>74.72</v>
      </c>
      <c r="U346" s="14">
        <f>'PIVOT TABLES'!$W$26</f>
        <v>55.895999999999994</v>
      </c>
      <c r="V346" s="14">
        <f>'PIVOT TABLES'!$W$27-'PIVOT TABLES'!$W$26</f>
        <v>27.948</v>
      </c>
      <c r="W346" s="14">
        <f>'PIVOT TABLES'!$W$28-'PIVOT TABLES'!$W$27</f>
        <v>27.947999999999993</v>
      </c>
      <c r="X346" s="14">
        <f>200-SUM(Table3[[#This Row],[S - LIGHT]:[S - VIGOROUS]])</f>
        <v>88.208000000000013</v>
      </c>
    </row>
    <row r="347" spans="1:24" x14ac:dyDescent="0.25">
      <c r="A347" s="17" t="s">
        <v>59</v>
      </c>
      <c r="B347" s="13" t="str">
        <f t="shared" si="5"/>
        <v>Striker</v>
      </c>
      <c r="C347" s="7">
        <v>45306.689699074072</v>
      </c>
      <c r="D347" s="14">
        <v>2819</v>
      </c>
      <c r="E347" s="14">
        <v>0</v>
      </c>
      <c r="F347" s="14">
        <v>26</v>
      </c>
      <c r="G347" s="14">
        <v>45</v>
      </c>
      <c r="H347" s="14">
        <v>30.13</v>
      </c>
      <c r="I347" s="14">
        <f>'PIVOT TABLES'!$B$26</f>
        <v>60.283999999999999</v>
      </c>
      <c r="J347" s="14">
        <f>'PIVOT TABLES'!$B$27-'PIVOT TABLES'!$B$26</f>
        <v>30.142000000000003</v>
      </c>
      <c r="K347" s="14">
        <f>'PIVOT TABLES'!$B$28-'PIVOT TABLES'!$B$27</f>
        <v>30.141999999999996</v>
      </c>
      <c r="L347" s="14">
        <f>200-SUM(Table3[[#This Row],[D - LIGHT]:[D - VIGOROUS]])</f>
        <v>79.432000000000002</v>
      </c>
      <c r="M347" s="14">
        <f>'PIVOT TABLES'!$I$26</f>
        <v>65.603999999999999</v>
      </c>
      <c r="N347" s="14">
        <f>'PIVOT TABLES'!$I$27-'PIVOT TABLES'!$I$26</f>
        <v>32.802000000000007</v>
      </c>
      <c r="O347" s="14">
        <f>'PIVOT TABLES'!$I$28-'PIVOT TABLES'!$I$27</f>
        <v>32.801999999999992</v>
      </c>
      <c r="P347" s="14">
        <f>200-SUM(Table3[[#This Row],[M - LIGHT]:[M - VIGOROUS]])</f>
        <v>68.792000000000002</v>
      </c>
      <c r="Q347" s="14">
        <f>'PIVOT TABLES'!$P$26</f>
        <v>62.64</v>
      </c>
      <c r="R347" s="14">
        <f>'PIVOT TABLES'!$P$27-'PIVOT TABLES'!$P$26</f>
        <v>31.320000000000007</v>
      </c>
      <c r="S347" s="14">
        <f>'PIVOT TABLES'!$P$28-'PIVOT TABLES'!$P$27</f>
        <v>31.319999999999993</v>
      </c>
      <c r="T347" s="14">
        <f>200-SUM(Table3[[#This Row],[W - LIGHT]:[W - VIGOROUS]])</f>
        <v>74.72</v>
      </c>
      <c r="U347" s="14">
        <f>'PIVOT TABLES'!$W$26</f>
        <v>55.895999999999994</v>
      </c>
      <c r="V347" s="14">
        <f>'PIVOT TABLES'!$W$27-'PIVOT TABLES'!$W$26</f>
        <v>27.948</v>
      </c>
      <c r="W347" s="14">
        <f>'PIVOT TABLES'!$W$28-'PIVOT TABLES'!$W$27</f>
        <v>27.947999999999993</v>
      </c>
      <c r="X347" s="14">
        <f>200-SUM(Table3[[#This Row],[S - LIGHT]:[S - VIGOROUS]])</f>
        <v>88.208000000000013</v>
      </c>
    </row>
    <row r="348" spans="1:24" x14ac:dyDescent="0.25">
      <c r="A348" s="17" t="s">
        <v>4</v>
      </c>
      <c r="B348" s="13" t="str">
        <f t="shared" si="5"/>
        <v>Midfielder</v>
      </c>
      <c r="C348" s="7">
        <v>45306.689699074072</v>
      </c>
      <c r="D348" s="14">
        <v>2468</v>
      </c>
      <c r="E348" s="14">
        <v>0</v>
      </c>
      <c r="F348" s="14">
        <v>13</v>
      </c>
      <c r="G348" s="14">
        <v>28</v>
      </c>
      <c r="H348" s="14">
        <v>25.76</v>
      </c>
      <c r="I348" s="14">
        <f>'PIVOT TABLES'!$B$26</f>
        <v>60.283999999999999</v>
      </c>
      <c r="J348" s="14">
        <f>'PIVOT TABLES'!$B$27-'PIVOT TABLES'!$B$26</f>
        <v>30.142000000000003</v>
      </c>
      <c r="K348" s="14">
        <f>'PIVOT TABLES'!$B$28-'PIVOT TABLES'!$B$27</f>
        <v>30.141999999999996</v>
      </c>
      <c r="L348" s="14">
        <f>200-SUM(Table3[[#This Row],[D - LIGHT]:[D - VIGOROUS]])</f>
        <v>79.432000000000002</v>
      </c>
      <c r="M348" s="14">
        <f>'PIVOT TABLES'!$I$26</f>
        <v>65.603999999999999</v>
      </c>
      <c r="N348" s="14">
        <f>'PIVOT TABLES'!$I$27-'PIVOT TABLES'!$I$26</f>
        <v>32.802000000000007</v>
      </c>
      <c r="O348" s="14">
        <f>'PIVOT TABLES'!$I$28-'PIVOT TABLES'!$I$27</f>
        <v>32.801999999999992</v>
      </c>
      <c r="P348" s="14">
        <f>200-SUM(Table3[[#This Row],[M - LIGHT]:[M - VIGOROUS]])</f>
        <v>68.792000000000002</v>
      </c>
      <c r="Q348" s="14">
        <f>'PIVOT TABLES'!$P$26</f>
        <v>62.64</v>
      </c>
      <c r="R348" s="14">
        <f>'PIVOT TABLES'!$P$27-'PIVOT TABLES'!$P$26</f>
        <v>31.320000000000007</v>
      </c>
      <c r="S348" s="14">
        <f>'PIVOT TABLES'!$P$28-'PIVOT TABLES'!$P$27</f>
        <v>31.319999999999993</v>
      </c>
      <c r="T348" s="14">
        <f>200-SUM(Table3[[#This Row],[W - LIGHT]:[W - VIGOROUS]])</f>
        <v>74.72</v>
      </c>
      <c r="U348" s="14">
        <f>'PIVOT TABLES'!$W$26</f>
        <v>55.895999999999994</v>
      </c>
      <c r="V348" s="14">
        <f>'PIVOT TABLES'!$W$27-'PIVOT TABLES'!$W$26</f>
        <v>27.948</v>
      </c>
      <c r="W348" s="14">
        <f>'PIVOT TABLES'!$W$28-'PIVOT TABLES'!$W$27</f>
        <v>27.947999999999993</v>
      </c>
      <c r="X348" s="14">
        <f>200-SUM(Table3[[#This Row],[S - LIGHT]:[S - VIGOROUS]])</f>
        <v>88.208000000000013</v>
      </c>
    </row>
    <row r="349" spans="1:24" x14ac:dyDescent="0.25">
      <c r="A349" s="17" t="s">
        <v>60</v>
      </c>
      <c r="B349" s="13" t="str">
        <f t="shared" si="5"/>
        <v>Winger</v>
      </c>
      <c r="C349" s="7">
        <v>45306.689699074072</v>
      </c>
      <c r="D349" s="14">
        <v>3220</v>
      </c>
      <c r="E349" s="14">
        <v>0</v>
      </c>
      <c r="F349" s="14">
        <v>43</v>
      </c>
      <c r="G349" s="14">
        <v>53</v>
      </c>
      <c r="H349" s="14">
        <v>34.979999999999997</v>
      </c>
      <c r="I349" s="14">
        <f>'PIVOT TABLES'!$B$26</f>
        <v>60.283999999999999</v>
      </c>
      <c r="J349" s="14">
        <f>'PIVOT TABLES'!$B$27-'PIVOT TABLES'!$B$26</f>
        <v>30.142000000000003</v>
      </c>
      <c r="K349" s="14">
        <f>'PIVOT TABLES'!$B$28-'PIVOT TABLES'!$B$27</f>
        <v>30.141999999999996</v>
      </c>
      <c r="L349" s="14">
        <f>200-SUM(Table3[[#This Row],[D - LIGHT]:[D - VIGOROUS]])</f>
        <v>79.432000000000002</v>
      </c>
      <c r="M349" s="14">
        <f>'PIVOT TABLES'!$I$26</f>
        <v>65.603999999999999</v>
      </c>
      <c r="N349" s="14">
        <f>'PIVOT TABLES'!$I$27-'PIVOT TABLES'!$I$26</f>
        <v>32.802000000000007</v>
      </c>
      <c r="O349" s="14">
        <f>'PIVOT TABLES'!$I$28-'PIVOT TABLES'!$I$27</f>
        <v>32.801999999999992</v>
      </c>
      <c r="P349" s="14">
        <f>200-SUM(Table3[[#This Row],[M - LIGHT]:[M - VIGOROUS]])</f>
        <v>68.792000000000002</v>
      </c>
      <c r="Q349" s="14">
        <f>'PIVOT TABLES'!$P$26</f>
        <v>62.64</v>
      </c>
      <c r="R349" s="14">
        <f>'PIVOT TABLES'!$P$27-'PIVOT TABLES'!$P$26</f>
        <v>31.320000000000007</v>
      </c>
      <c r="S349" s="14">
        <f>'PIVOT TABLES'!$P$28-'PIVOT TABLES'!$P$27</f>
        <v>31.319999999999993</v>
      </c>
      <c r="T349" s="14">
        <f>200-SUM(Table3[[#This Row],[W - LIGHT]:[W - VIGOROUS]])</f>
        <v>74.72</v>
      </c>
      <c r="U349" s="14">
        <f>'PIVOT TABLES'!$W$26</f>
        <v>55.895999999999994</v>
      </c>
      <c r="V349" s="14">
        <f>'PIVOT TABLES'!$W$27-'PIVOT TABLES'!$W$26</f>
        <v>27.948</v>
      </c>
      <c r="W349" s="14">
        <f>'PIVOT TABLES'!$W$28-'PIVOT TABLES'!$W$27</f>
        <v>27.947999999999993</v>
      </c>
      <c r="X349" s="14">
        <f>200-SUM(Table3[[#This Row],[S - LIGHT]:[S - VIGOROUS]])</f>
        <v>88.208000000000013</v>
      </c>
    </row>
    <row r="350" spans="1:24" x14ac:dyDescent="0.25">
      <c r="A350" s="17" t="s">
        <v>71</v>
      </c>
      <c r="B350" s="13" t="str">
        <f t="shared" si="5"/>
        <v>Midfielder</v>
      </c>
      <c r="C350" s="7">
        <v>45306.689699074072</v>
      </c>
      <c r="D350" s="14">
        <v>3489</v>
      </c>
      <c r="E350" s="14">
        <v>0</v>
      </c>
      <c r="F350" s="14">
        <v>54</v>
      </c>
      <c r="G350" s="14">
        <v>66</v>
      </c>
      <c r="H350" s="14">
        <v>38.369999999999997</v>
      </c>
      <c r="I350" s="14">
        <f>'PIVOT TABLES'!$B$26</f>
        <v>60.283999999999999</v>
      </c>
      <c r="J350" s="14">
        <f>'PIVOT TABLES'!$B$27-'PIVOT TABLES'!$B$26</f>
        <v>30.142000000000003</v>
      </c>
      <c r="K350" s="14">
        <f>'PIVOT TABLES'!$B$28-'PIVOT TABLES'!$B$27</f>
        <v>30.141999999999996</v>
      </c>
      <c r="L350" s="14">
        <f>200-SUM(Table3[[#This Row],[D - LIGHT]:[D - VIGOROUS]])</f>
        <v>79.432000000000002</v>
      </c>
      <c r="M350" s="14">
        <f>'PIVOT TABLES'!$I$26</f>
        <v>65.603999999999999</v>
      </c>
      <c r="N350" s="14">
        <f>'PIVOT TABLES'!$I$27-'PIVOT TABLES'!$I$26</f>
        <v>32.802000000000007</v>
      </c>
      <c r="O350" s="14">
        <f>'PIVOT TABLES'!$I$28-'PIVOT TABLES'!$I$27</f>
        <v>32.801999999999992</v>
      </c>
      <c r="P350" s="14">
        <f>200-SUM(Table3[[#This Row],[M - LIGHT]:[M - VIGOROUS]])</f>
        <v>68.792000000000002</v>
      </c>
      <c r="Q350" s="14">
        <f>'PIVOT TABLES'!$P$26</f>
        <v>62.64</v>
      </c>
      <c r="R350" s="14">
        <f>'PIVOT TABLES'!$P$27-'PIVOT TABLES'!$P$26</f>
        <v>31.320000000000007</v>
      </c>
      <c r="S350" s="14">
        <f>'PIVOT TABLES'!$P$28-'PIVOT TABLES'!$P$27</f>
        <v>31.319999999999993</v>
      </c>
      <c r="T350" s="14">
        <f>200-SUM(Table3[[#This Row],[W - LIGHT]:[W - VIGOROUS]])</f>
        <v>74.72</v>
      </c>
      <c r="U350" s="14">
        <f>'PIVOT TABLES'!$W$26</f>
        <v>55.895999999999994</v>
      </c>
      <c r="V350" s="14">
        <f>'PIVOT TABLES'!$W$27-'PIVOT TABLES'!$W$26</f>
        <v>27.948</v>
      </c>
      <c r="W350" s="14">
        <f>'PIVOT TABLES'!$W$28-'PIVOT TABLES'!$W$27</f>
        <v>27.947999999999993</v>
      </c>
      <c r="X350" s="14">
        <f>200-SUM(Table3[[#This Row],[S - LIGHT]:[S - VIGOROUS]])</f>
        <v>88.208000000000013</v>
      </c>
    </row>
    <row r="351" spans="1:24" x14ac:dyDescent="0.25">
      <c r="A351" s="17" t="s">
        <v>6</v>
      </c>
      <c r="B351" s="13" t="str">
        <f t="shared" si="5"/>
        <v>Midfielder</v>
      </c>
      <c r="C351" s="7">
        <v>45306.689699074072</v>
      </c>
      <c r="D351" s="14">
        <v>3425</v>
      </c>
      <c r="E351" s="14">
        <v>5</v>
      </c>
      <c r="F351" s="14">
        <v>44</v>
      </c>
      <c r="G351" s="14">
        <v>54</v>
      </c>
      <c r="H351" s="14">
        <v>37.24</v>
      </c>
      <c r="I351" s="14">
        <f>'PIVOT TABLES'!$B$26</f>
        <v>60.283999999999999</v>
      </c>
      <c r="J351" s="14">
        <f>'PIVOT TABLES'!$B$27-'PIVOT TABLES'!$B$26</f>
        <v>30.142000000000003</v>
      </c>
      <c r="K351" s="14">
        <f>'PIVOT TABLES'!$B$28-'PIVOT TABLES'!$B$27</f>
        <v>30.141999999999996</v>
      </c>
      <c r="L351" s="14">
        <f>200-SUM(Table3[[#This Row],[D - LIGHT]:[D - VIGOROUS]])</f>
        <v>79.432000000000002</v>
      </c>
      <c r="M351" s="14">
        <f>'PIVOT TABLES'!$I$26</f>
        <v>65.603999999999999</v>
      </c>
      <c r="N351" s="14">
        <f>'PIVOT TABLES'!$I$27-'PIVOT TABLES'!$I$26</f>
        <v>32.802000000000007</v>
      </c>
      <c r="O351" s="14">
        <f>'PIVOT TABLES'!$I$28-'PIVOT TABLES'!$I$27</f>
        <v>32.801999999999992</v>
      </c>
      <c r="P351" s="14">
        <f>200-SUM(Table3[[#This Row],[M - LIGHT]:[M - VIGOROUS]])</f>
        <v>68.792000000000002</v>
      </c>
      <c r="Q351" s="14">
        <f>'PIVOT TABLES'!$P$26</f>
        <v>62.64</v>
      </c>
      <c r="R351" s="14">
        <f>'PIVOT TABLES'!$P$27-'PIVOT TABLES'!$P$26</f>
        <v>31.320000000000007</v>
      </c>
      <c r="S351" s="14">
        <f>'PIVOT TABLES'!$P$28-'PIVOT TABLES'!$P$27</f>
        <v>31.319999999999993</v>
      </c>
      <c r="T351" s="14">
        <f>200-SUM(Table3[[#This Row],[W - LIGHT]:[W - VIGOROUS]])</f>
        <v>74.72</v>
      </c>
      <c r="U351" s="14">
        <f>'PIVOT TABLES'!$W$26</f>
        <v>55.895999999999994</v>
      </c>
      <c r="V351" s="14">
        <f>'PIVOT TABLES'!$W$27-'PIVOT TABLES'!$W$26</f>
        <v>27.948</v>
      </c>
      <c r="W351" s="14">
        <f>'PIVOT TABLES'!$W$28-'PIVOT TABLES'!$W$27</f>
        <v>27.947999999999993</v>
      </c>
      <c r="X351" s="14">
        <f>200-SUM(Table3[[#This Row],[S - LIGHT]:[S - VIGOROUS]])</f>
        <v>88.208000000000013</v>
      </c>
    </row>
    <row r="352" spans="1:24" x14ac:dyDescent="0.25">
      <c r="A352" s="17" t="s">
        <v>62</v>
      </c>
      <c r="B352" s="13" t="str">
        <f t="shared" si="5"/>
        <v>Midfielder</v>
      </c>
      <c r="C352" s="7">
        <v>45306.689699074072</v>
      </c>
      <c r="D352" s="14">
        <v>1920</v>
      </c>
      <c r="E352" s="14">
        <v>0</v>
      </c>
      <c r="F352" s="14">
        <v>8</v>
      </c>
      <c r="G352" s="14">
        <v>10</v>
      </c>
      <c r="H352" s="14">
        <v>19.72</v>
      </c>
      <c r="I352" s="14">
        <f>'PIVOT TABLES'!$B$26</f>
        <v>60.283999999999999</v>
      </c>
      <c r="J352" s="14">
        <f>'PIVOT TABLES'!$B$27-'PIVOT TABLES'!$B$26</f>
        <v>30.142000000000003</v>
      </c>
      <c r="K352" s="14">
        <f>'PIVOT TABLES'!$B$28-'PIVOT TABLES'!$B$27</f>
        <v>30.141999999999996</v>
      </c>
      <c r="L352" s="14">
        <f>200-SUM(Table3[[#This Row],[D - LIGHT]:[D - VIGOROUS]])</f>
        <v>79.432000000000002</v>
      </c>
      <c r="M352" s="14">
        <f>'PIVOT TABLES'!$I$26</f>
        <v>65.603999999999999</v>
      </c>
      <c r="N352" s="14">
        <f>'PIVOT TABLES'!$I$27-'PIVOT TABLES'!$I$26</f>
        <v>32.802000000000007</v>
      </c>
      <c r="O352" s="14">
        <f>'PIVOT TABLES'!$I$28-'PIVOT TABLES'!$I$27</f>
        <v>32.801999999999992</v>
      </c>
      <c r="P352" s="14">
        <f>200-SUM(Table3[[#This Row],[M - LIGHT]:[M - VIGOROUS]])</f>
        <v>68.792000000000002</v>
      </c>
      <c r="Q352" s="14">
        <f>'PIVOT TABLES'!$P$26</f>
        <v>62.64</v>
      </c>
      <c r="R352" s="14">
        <f>'PIVOT TABLES'!$P$27-'PIVOT TABLES'!$P$26</f>
        <v>31.320000000000007</v>
      </c>
      <c r="S352" s="14">
        <f>'PIVOT TABLES'!$P$28-'PIVOT TABLES'!$P$27</f>
        <v>31.319999999999993</v>
      </c>
      <c r="T352" s="14">
        <f>200-SUM(Table3[[#This Row],[W - LIGHT]:[W - VIGOROUS]])</f>
        <v>74.72</v>
      </c>
      <c r="U352" s="14">
        <f>'PIVOT TABLES'!$W$26</f>
        <v>55.895999999999994</v>
      </c>
      <c r="V352" s="14">
        <f>'PIVOT TABLES'!$W$27-'PIVOT TABLES'!$W$26</f>
        <v>27.948</v>
      </c>
      <c r="W352" s="14">
        <f>'PIVOT TABLES'!$W$28-'PIVOT TABLES'!$W$27</f>
        <v>27.947999999999993</v>
      </c>
      <c r="X352" s="14">
        <f>200-SUM(Table3[[#This Row],[S - LIGHT]:[S - VIGOROUS]])</f>
        <v>88.208000000000013</v>
      </c>
    </row>
    <row r="353" spans="1:24" x14ac:dyDescent="0.25">
      <c r="A353" s="17" t="s">
        <v>64</v>
      </c>
      <c r="B353" s="13" t="str">
        <f t="shared" si="5"/>
        <v>Midfielder</v>
      </c>
      <c r="C353" s="7">
        <v>45306.689699074072</v>
      </c>
      <c r="D353" s="14">
        <v>2892</v>
      </c>
      <c r="E353" s="14">
        <v>0</v>
      </c>
      <c r="F353" s="14">
        <v>46</v>
      </c>
      <c r="G353" s="14">
        <v>50</v>
      </c>
      <c r="H353" s="14">
        <v>31.76</v>
      </c>
      <c r="I353" s="14">
        <f>'PIVOT TABLES'!$B$26</f>
        <v>60.283999999999999</v>
      </c>
      <c r="J353" s="14">
        <f>'PIVOT TABLES'!$B$27-'PIVOT TABLES'!$B$26</f>
        <v>30.142000000000003</v>
      </c>
      <c r="K353" s="14">
        <f>'PIVOT TABLES'!$B$28-'PIVOT TABLES'!$B$27</f>
        <v>30.141999999999996</v>
      </c>
      <c r="L353" s="14">
        <f>200-SUM(Table3[[#This Row],[D - LIGHT]:[D - VIGOROUS]])</f>
        <v>79.432000000000002</v>
      </c>
      <c r="M353" s="14">
        <f>'PIVOT TABLES'!$I$26</f>
        <v>65.603999999999999</v>
      </c>
      <c r="N353" s="14">
        <f>'PIVOT TABLES'!$I$27-'PIVOT TABLES'!$I$26</f>
        <v>32.802000000000007</v>
      </c>
      <c r="O353" s="14">
        <f>'PIVOT TABLES'!$I$28-'PIVOT TABLES'!$I$27</f>
        <v>32.801999999999992</v>
      </c>
      <c r="P353" s="14">
        <f>200-SUM(Table3[[#This Row],[M - LIGHT]:[M - VIGOROUS]])</f>
        <v>68.792000000000002</v>
      </c>
      <c r="Q353" s="14">
        <f>'PIVOT TABLES'!$P$26</f>
        <v>62.64</v>
      </c>
      <c r="R353" s="14">
        <f>'PIVOT TABLES'!$P$27-'PIVOT TABLES'!$P$26</f>
        <v>31.320000000000007</v>
      </c>
      <c r="S353" s="14">
        <f>'PIVOT TABLES'!$P$28-'PIVOT TABLES'!$P$27</f>
        <v>31.319999999999993</v>
      </c>
      <c r="T353" s="14">
        <f>200-SUM(Table3[[#This Row],[W - LIGHT]:[W - VIGOROUS]])</f>
        <v>74.72</v>
      </c>
      <c r="U353" s="14">
        <f>'PIVOT TABLES'!$W$26</f>
        <v>55.895999999999994</v>
      </c>
      <c r="V353" s="14">
        <f>'PIVOT TABLES'!$W$27-'PIVOT TABLES'!$W$26</f>
        <v>27.948</v>
      </c>
      <c r="W353" s="14">
        <f>'PIVOT TABLES'!$W$28-'PIVOT TABLES'!$W$27</f>
        <v>27.947999999999993</v>
      </c>
      <c r="X353" s="14">
        <f>200-SUM(Table3[[#This Row],[S - LIGHT]:[S - VIGOROUS]])</f>
        <v>88.208000000000013</v>
      </c>
    </row>
    <row r="354" spans="1:24" x14ac:dyDescent="0.25">
      <c r="A354" s="17" t="s">
        <v>65</v>
      </c>
      <c r="B354" s="13" t="str">
        <f t="shared" si="5"/>
        <v>Winger</v>
      </c>
      <c r="C354" s="7">
        <v>45306.689699074072</v>
      </c>
      <c r="D354" s="14">
        <v>2547</v>
      </c>
      <c r="E354" s="14">
        <v>0</v>
      </c>
      <c r="F354" s="14">
        <v>18</v>
      </c>
      <c r="G354" s="14">
        <v>31</v>
      </c>
      <c r="H354" s="14">
        <v>26.81</v>
      </c>
      <c r="I354" s="14">
        <f>'PIVOT TABLES'!$B$26</f>
        <v>60.283999999999999</v>
      </c>
      <c r="J354" s="14">
        <f>'PIVOT TABLES'!$B$27-'PIVOT TABLES'!$B$26</f>
        <v>30.142000000000003</v>
      </c>
      <c r="K354" s="14">
        <f>'PIVOT TABLES'!$B$28-'PIVOT TABLES'!$B$27</f>
        <v>30.141999999999996</v>
      </c>
      <c r="L354" s="14">
        <f>200-SUM(Table3[[#This Row],[D - LIGHT]:[D - VIGOROUS]])</f>
        <v>79.432000000000002</v>
      </c>
      <c r="M354" s="14">
        <f>'PIVOT TABLES'!$I$26</f>
        <v>65.603999999999999</v>
      </c>
      <c r="N354" s="14">
        <f>'PIVOT TABLES'!$I$27-'PIVOT TABLES'!$I$26</f>
        <v>32.802000000000007</v>
      </c>
      <c r="O354" s="14">
        <f>'PIVOT TABLES'!$I$28-'PIVOT TABLES'!$I$27</f>
        <v>32.801999999999992</v>
      </c>
      <c r="P354" s="14">
        <f>200-SUM(Table3[[#This Row],[M - LIGHT]:[M - VIGOROUS]])</f>
        <v>68.792000000000002</v>
      </c>
      <c r="Q354" s="14">
        <f>'PIVOT TABLES'!$P$26</f>
        <v>62.64</v>
      </c>
      <c r="R354" s="14">
        <f>'PIVOT TABLES'!$P$27-'PIVOT TABLES'!$P$26</f>
        <v>31.320000000000007</v>
      </c>
      <c r="S354" s="14">
        <f>'PIVOT TABLES'!$P$28-'PIVOT TABLES'!$P$27</f>
        <v>31.319999999999993</v>
      </c>
      <c r="T354" s="14">
        <f>200-SUM(Table3[[#This Row],[W - LIGHT]:[W - VIGOROUS]])</f>
        <v>74.72</v>
      </c>
      <c r="U354" s="14">
        <f>'PIVOT TABLES'!$W$26</f>
        <v>55.895999999999994</v>
      </c>
      <c r="V354" s="14">
        <f>'PIVOT TABLES'!$W$27-'PIVOT TABLES'!$W$26</f>
        <v>27.948</v>
      </c>
      <c r="W354" s="14">
        <f>'PIVOT TABLES'!$W$28-'PIVOT TABLES'!$W$27</f>
        <v>27.947999999999993</v>
      </c>
      <c r="X354" s="14">
        <f>200-SUM(Table3[[#This Row],[S - LIGHT]:[S - VIGOROUS]])</f>
        <v>88.208000000000013</v>
      </c>
    </row>
    <row r="355" spans="1:24" x14ac:dyDescent="0.25">
      <c r="A355" s="17" t="s">
        <v>66</v>
      </c>
      <c r="B355" s="13" t="str">
        <f t="shared" si="5"/>
        <v>Striker</v>
      </c>
      <c r="C355" s="7">
        <v>45306.689699074072</v>
      </c>
      <c r="D355" s="14">
        <v>2580</v>
      </c>
      <c r="E355" s="14">
        <v>0</v>
      </c>
      <c r="F355" s="14">
        <v>24</v>
      </c>
      <c r="G355" s="14">
        <v>40</v>
      </c>
      <c r="H355" s="14">
        <v>27.56</v>
      </c>
      <c r="I355" s="14">
        <f>'PIVOT TABLES'!$B$26</f>
        <v>60.283999999999999</v>
      </c>
      <c r="J355" s="14">
        <f>'PIVOT TABLES'!$B$27-'PIVOT TABLES'!$B$26</f>
        <v>30.142000000000003</v>
      </c>
      <c r="K355" s="14">
        <f>'PIVOT TABLES'!$B$28-'PIVOT TABLES'!$B$27</f>
        <v>30.141999999999996</v>
      </c>
      <c r="L355" s="14">
        <f>200-SUM(Table3[[#This Row],[D - LIGHT]:[D - VIGOROUS]])</f>
        <v>79.432000000000002</v>
      </c>
      <c r="M355" s="14">
        <f>'PIVOT TABLES'!$I$26</f>
        <v>65.603999999999999</v>
      </c>
      <c r="N355" s="14">
        <f>'PIVOT TABLES'!$I$27-'PIVOT TABLES'!$I$26</f>
        <v>32.802000000000007</v>
      </c>
      <c r="O355" s="14">
        <f>'PIVOT TABLES'!$I$28-'PIVOT TABLES'!$I$27</f>
        <v>32.801999999999992</v>
      </c>
      <c r="P355" s="14">
        <f>200-SUM(Table3[[#This Row],[M - LIGHT]:[M - VIGOROUS]])</f>
        <v>68.792000000000002</v>
      </c>
      <c r="Q355" s="14">
        <f>'PIVOT TABLES'!$P$26</f>
        <v>62.64</v>
      </c>
      <c r="R355" s="14">
        <f>'PIVOT TABLES'!$P$27-'PIVOT TABLES'!$P$26</f>
        <v>31.320000000000007</v>
      </c>
      <c r="S355" s="14">
        <f>'PIVOT TABLES'!$P$28-'PIVOT TABLES'!$P$27</f>
        <v>31.319999999999993</v>
      </c>
      <c r="T355" s="14">
        <f>200-SUM(Table3[[#This Row],[W - LIGHT]:[W - VIGOROUS]])</f>
        <v>74.72</v>
      </c>
      <c r="U355" s="14">
        <f>'PIVOT TABLES'!$W$26</f>
        <v>55.895999999999994</v>
      </c>
      <c r="V355" s="14">
        <f>'PIVOT TABLES'!$W$27-'PIVOT TABLES'!$W$26</f>
        <v>27.948</v>
      </c>
      <c r="W355" s="14">
        <f>'PIVOT TABLES'!$W$28-'PIVOT TABLES'!$W$27</f>
        <v>27.947999999999993</v>
      </c>
      <c r="X355" s="14">
        <f>200-SUM(Table3[[#This Row],[S - LIGHT]:[S - VIGOROUS]])</f>
        <v>88.208000000000013</v>
      </c>
    </row>
    <row r="356" spans="1:24" x14ac:dyDescent="0.25">
      <c r="A356" s="17" t="s">
        <v>78</v>
      </c>
      <c r="B356" s="13" t="str">
        <f t="shared" si="5"/>
        <v>Defender</v>
      </c>
      <c r="C356" s="7">
        <v>45306.689699074072</v>
      </c>
      <c r="D356" s="14">
        <v>2740</v>
      </c>
      <c r="E356" s="14">
        <v>0</v>
      </c>
      <c r="F356" s="14">
        <v>27</v>
      </c>
      <c r="G356" s="14">
        <v>37</v>
      </c>
      <c r="H356" s="14">
        <v>29.22</v>
      </c>
      <c r="I356" s="14">
        <f>'PIVOT TABLES'!$B$26</f>
        <v>60.283999999999999</v>
      </c>
      <c r="J356" s="14">
        <f>'PIVOT TABLES'!$B$27-'PIVOT TABLES'!$B$26</f>
        <v>30.142000000000003</v>
      </c>
      <c r="K356" s="14">
        <f>'PIVOT TABLES'!$B$28-'PIVOT TABLES'!$B$27</f>
        <v>30.141999999999996</v>
      </c>
      <c r="L356" s="14">
        <f>200-SUM(Table3[[#This Row],[D - LIGHT]:[D - VIGOROUS]])</f>
        <v>79.432000000000002</v>
      </c>
      <c r="M356" s="14">
        <f>'PIVOT TABLES'!$I$26</f>
        <v>65.603999999999999</v>
      </c>
      <c r="N356" s="14">
        <f>'PIVOT TABLES'!$I$27-'PIVOT TABLES'!$I$26</f>
        <v>32.802000000000007</v>
      </c>
      <c r="O356" s="14">
        <f>'PIVOT TABLES'!$I$28-'PIVOT TABLES'!$I$27</f>
        <v>32.801999999999992</v>
      </c>
      <c r="P356" s="14">
        <f>200-SUM(Table3[[#This Row],[M - LIGHT]:[M - VIGOROUS]])</f>
        <v>68.792000000000002</v>
      </c>
      <c r="Q356" s="14">
        <f>'PIVOT TABLES'!$P$26</f>
        <v>62.64</v>
      </c>
      <c r="R356" s="14">
        <f>'PIVOT TABLES'!$P$27-'PIVOT TABLES'!$P$26</f>
        <v>31.320000000000007</v>
      </c>
      <c r="S356" s="14">
        <f>'PIVOT TABLES'!$P$28-'PIVOT TABLES'!$P$27</f>
        <v>31.319999999999993</v>
      </c>
      <c r="T356" s="14">
        <f>200-SUM(Table3[[#This Row],[W - LIGHT]:[W - VIGOROUS]])</f>
        <v>74.72</v>
      </c>
      <c r="U356" s="14">
        <f>'PIVOT TABLES'!$W$26</f>
        <v>55.895999999999994</v>
      </c>
      <c r="V356" s="14">
        <f>'PIVOT TABLES'!$W$27-'PIVOT TABLES'!$W$26</f>
        <v>27.948</v>
      </c>
      <c r="W356" s="14">
        <f>'PIVOT TABLES'!$W$28-'PIVOT TABLES'!$W$27</f>
        <v>27.947999999999993</v>
      </c>
      <c r="X356" s="14">
        <f>200-SUM(Table3[[#This Row],[S - LIGHT]:[S - VIGOROUS]])</f>
        <v>88.208000000000013</v>
      </c>
    </row>
    <row r="357" spans="1:24" x14ac:dyDescent="0.25">
      <c r="A357" s="17" t="s">
        <v>7</v>
      </c>
      <c r="B357" s="13" t="str">
        <f t="shared" si="5"/>
        <v>Winger</v>
      </c>
      <c r="C357" s="7">
        <v>45306.689699074072</v>
      </c>
      <c r="D357" s="14">
        <v>3303</v>
      </c>
      <c r="E357" s="14">
        <v>0</v>
      </c>
      <c r="F357" s="14">
        <v>37</v>
      </c>
      <c r="G357" s="14">
        <v>64</v>
      </c>
      <c r="H357" s="14">
        <v>35.79</v>
      </c>
      <c r="I357" s="14">
        <f>'PIVOT TABLES'!$B$26</f>
        <v>60.283999999999999</v>
      </c>
      <c r="J357" s="14">
        <f>'PIVOT TABLES'!$B$27-'PIVOT TABLES'!$B$26</f>
        <v>30.142000000000003</v>
      </c>
      <c r="K357" s="14">
        <f>'PIVOT TABLES'!$B$28-'PIVOT TABLES'!$B$27</f>
        <v>30.141999999999996</v>
      </c>
      <c r="L357" s="14">
        <f>200-SUM(Table3[[#This Row],[D - LIGHT]:[D - VIGOROUS]])</f>
        <v>79.432000000000002</v>
      </c>
      <c r="M357" s="14">
        <f>'PIVOT TABLES'!$I$26</f>
        <v>65.603999999999999</v>
      </c>
      <c r="N357" s="14">
        <f>'PIVOT TABLES'!$I$27-'PIVOT TABLES'!$I$26</f>
        <v>32.802000000000007</v>
      </c>
      <c r="O357" s="14">
        <f>'PIVOT TABLES'!$I$28-'PIVOT TABLES'!$I$27</f>
        <v>32.801999999999992</v>
      </c>
      <c r="P357" s="14">
        <f>200-SUM(Table3[[#This Row],[M - LIGHT]:[M - VIGOROUS]])</f>
        <v>68.792000000000002</v>
      </c>
      <c r="Q357" s="14">
        <f>'PIVOT TABLES'!$P$26</f>
        <v>62.64</v>
      </c>
      <c r="R357" s="14">
        <f>'PIVOT TABLES'!$P$27-'PIVOT TABLES'!$P$26</f>
        <v>31.320000000000007</v>
      </c>
      <c r="S357" s="14">
        <f>'PIVOT TABLES'!$P$28-'PIVOT TABLES'!$P$27</f>
        <v>31.319999999999993</v>
      </c>
      <c r="T357" s="14">
        <f>200-SUM(Table3[[#This Row],[W - LIGHT]:[W - VIGOROUS]])</f>
        <v>74.72</v>
      </c>
      <c r="U357" s="14">
        <f>'PIVOT TABLES'!$W$26</f>
        <v>55.895999999999994</v>
      </c>
      <c r="V357" s="14">
        <f>'PIVOT TABLES'!$W$27-'PIVOT TABLES'!$W$26</f>
        <v>27.948</v>
      </c>
      <c r="W357" s="14">
        <f>'PIVOT TABLES'!$W$28-'PIVOT TABLES'!$W$27</f>
        <v>27.947999999999993</v>
      </c>
      <c r="X357" s="14">
        <f>200-SUM(Table3[[#This Row],[S - LIGHT]:[S - VIGOROUS]])</f>
        <v>88.208000000000013</v>
      </c>
    </row>
    <row r="358" spans="1:24" x14ac:dyDescent="0.25">
      <c r="A358" s="17" t="s">
        <v>95</v>
      </c>
      <c r="B358" s="13" t="str">
        <f t="shared" si="5"/>
        <v>Winger</v>
      </c>
      <c r="C358" s="7">
        <v>45306.689699074072</v>
      </c>
      <c r="D358" s="14">
        <v>2475</v>
      </c>
      <c r="E358" s="14">
        <v>0</v>
      </c>
      <c r="F358" s="14">
        <v>14</v>
      </c>
      <c r="G358" s="14">
        <v>19</v>
      </c>
      <c r="H358" s="14">
        <v>25.69</v>
      </c>
      <c r="I358" s="14">
        <f>'PIVOT TABLES'!$B$26</f>
        <v>60.283999999999999</v>
      </c>
      <c r="J358" s="14">
        <f>'PIVOT TABLES'!$B$27-'PIVOT TABLES'!$B$26</f>
        <v>30.142000000000003</v>
      </c>
      <c r="K358" s="14">
        <f>'PIVOT TABLES'!$B$28-'PIVOT TABLES'!$B$27</f>
        <v>30.141999999999996</v>
      </c>
      <c r="L358" s="14">
        <f>200-SUM(Table3[[#This Row],[D - LIGHT]:[D - VIGOROUS]])</f>
        <v>79.432000000000002</v>
      </c>
      <c r="M358" s="14">
        <f>'PIVOT TABLES'!$I$26</f>
        <v>65.603999999999999</v>
      </c>
      <c r="N358" s="14">
        <f>'PIVOT TABLES'!$I$27-'PIVOT TABLES'!$I$26</f>
        <v>32.802000000000007</v>
      </c>
      <c r="O358" s="14">
        <f>'PIVOT TABLES'!$I$28-'PIVOT TABLES'!$I$27</f>
        <v>32.801999999999992</v>
      </c>
      <c r="P358" s="14">
        <f>200-SUM(Table3[[#This Row],[M - LIGHT]:[M - VIGOROUS]])</f>
        <v>68.792000000000002</v>
      </c>
      <c r="Q358" s="14">
        <f>'PIVOT TABLES'!$P$26</f>
        <v>62.64</v>
      </c>
      <c r="R358" s="14">
        <f>'PIVOT TABLES'!$P$27-'PIVOT TABLES'!$P$26</f>
        <v>31.320000000000007</v>
      </c>
      <c r="S358" s="14">
        <f>'PIVOT TABLES'!$P$28-'PIVOT TABLES'!$P$27</f>
        <v>31.319999999999993</v>
      </c>
      <c r="T358" s="14">
        <f>200-SUM(Table3[[#This Row],[W - LIGHT]:[W - VIGOROUS]])</f>
        <v>74.72</v>
      </c>
      <c r="U358" s="14">
        <f>'PIVOT TABLES'!$W$26</f>
        <v>55.895999999999994</v>
      </c>
      <c r="V358" s="14">
        <f>'PIVOT TABLES'!$W$27-'PIVOT TABLES'!$W$26</f>
        <v>27.948</v>
      </c>
      <c r="W358" s="14">
        <f>'PIVOT TABLES'!$W$28-'PIVOT TABLES'!$W$27</f>
        <v>27.947999999999993</v>
      </c>
      <c r="X358" s="14">
        <f>200-SUM(Table3[[#This Row],[S - LIGHT]:[S - VIGOROUS]])</f>
        <v>88.208000000000013</v>
      </c>
    </row>
    <row r="359" spans="1:24" x14ac:dyDescent="0.25">
      <c r="A359" s="17" t="s">
        <v>96</v>
      </c>
      <c r="B359" s="13" t="str">
        <f t="shared" si="5"/>
        <v>Winger</v>
      </c>
      <c r="C359" s="7">
        <v>45306.689699074072</v>
      </c>
      <c r="D359" s="14">
        <v>2592</v>
      </c>
      <c r="E359" s="14">
        <v>0</v>
      </c>
      <c r="F359" s="14">
        <v>16</v>
      </c>
      <c r="G359" s="14">
        <v>37</v>
      </c>
      <c r="H359" s="14">
        <v>27.3</v>
      </c>
      <c r="I359" s="14">
        <f>'PIVOT TABLES'!$B$26</f>
        <v>60.283999999999999</v>
      </c>
      <c r="J359" s="14">
        <f>'PIVOT TABLES'!$B$27-'PIVOT TABLES'!$B$26</f>
        <v>30.142000000000003</v>
      </c>
      <c r="K359" s="14">
        <f>'PIVOT TABLES'!$B$28-'PIVOT TABLES'!$B$27</f>
        <v>30.141999999999996</v>
      </c>
      <c r="L359" s="14">
        <f>200-SUM(Table3[[#This Row],[D - LIGHT]:[D - VIGOROUS]])</f>
        <v>79.432000000000002</v>
      </c>
      <c r="M359" s="14">
        <f>'PIVOT TABLES'!$I$26</f>
        <v>65.603999999999999</v>
      </c>
      <c r="N359" s="14">
        <f>'PIVOT TABLES'!$I$27-'PIVOT TABLES'!$I$26</f>
        <v>32.802000000000007</v>
      </c>
      <c r="O359" s="14">
        <f>'PIVOT TABLES'!$I$28-'PIVOT TABLES'!$I$27</f>
        <v>32.801999999999992</v>
      </c>
      <c r="P359" s="14">
        <f>200-SUM(Table3[[#This Row],[M - LIGHT]:[M - VIGOROUS]])</f>
        <v>68.792000000000002</v>
      </c>
      <c r="Q359" s="14">
        <f>'PIVOT TABLES'!$P$26</f>
        <v>62.64</v>
      </c>
      <c r="R359" s="14">
        <f>'PIVOT TABLES'!$P$27-'PIVOT TABLES'!$P$26</f>
        <v>31.320000000000007</v>
      </c>
      <c r="S359" s="14">
        <f>'PIVOT TABLES'!$P$28-'PIVOT TABLES'!$P$27</f>
        <v>31.319999999999993</v>
      </c>
      <c r="T359" s="14">
        <f>200-SUM(Table3[[#This Row],[W - LIGHT]:[W - VIGOROUS]])</f>
        <v>74.72</v>
      </c>
      <c r="U359" s="14">
        <f>'PIVOT TABLES'!$W$26</f>
        <v>55.895999999999994</v>
      </c>
      <c r="V359" s="14">
        <f>'PIVOT TABLES'!$W$27-'PIVOT TABLES'!$W$26</f>
        <v>27.948</v>
      </c>
      <c r="W359" s="14">
        <f>'PIVOT TABLES'!$W$28-'PIVOT TABLES'!$W$27</f>
        <v>27.947999999999993</v>
      </c>
      <c r="X359" s="14">
        <f>200-SUM(Table3[[#This Row],[S - LIGHT]:[S - VIGOROUS]])</f>
        <v>88.208000000000013</v>
      </c>
    </row>
    <row r="360" spans="1:24" x14ac:dyDescent="0.25">
      <c r="A360" s="17" t="s">
        <v>8</v>
      </c>
      <c r="B360" s="13" t="str">
        <f t="shared" si="5"/>
        <v>Striker</v>
      </c>
      <c r="C360" s="7">
        <v>45306.689699074072</v>
      </c>
      <c r="D360" s="14">
        <v>2441</v>
      </c>
      <c r="E360" s="14">
        <v>0</v>
      </c>
      <c r="F360" s="14">
        <v>22</v>
      </c>
      <c r="G360" s="14">
        <v>34</v>
      </c>
      <c r="H360" s="14">
        <v>25.97</v>
      </c>
      <c r="I360" s="14">
        <f>'PIVOT TABLES'!$B$26</f>
        <v>60.283999999999999</v>
      </c>
      <c r="J360" s="14">
        <f>'PIVOT TABLES'!$B$27-'PIVOT TABLES'!$B$26</f>
        <v>30.142000000000003</v>
      </c>
      <c r="K360" s="14">
        <f>'PIVOT TABLES'!$B$28-'PIVOT TABLES'!$B$27</f>
        <v>30.141999999999996</v>
      </c>
      <c r="L360" s="14">
        <f>200-SUM(Table3[[#This Row],[D - LIGHT]:[D - VIGOROUS]])</f>
        <v>79.432000000000002</v>
      </c>
      <c r="M360" s="14">
        <f>'PIVOT TABLES'!$I$26</f>
        <v>65.603999999999999</v>
      </c>
      <c r="N360" s="14">
        <f>'PIVOT TABLES'!$I$27-'PIVOT TABLES'!$I$26</f>
        <v>32.802000000000007</v>
      </c>
      <c r="O360" s="14">
        <f>'PIVOT TABLES'!$I$28-'PIVOT TABLES'!$I$27</f>
        <v>32.801999999999992</v>
      </c>
      <c r="P360" s="14">
        <f>200-SUM(Table3[[#This Row],[M - LIGHT]:[M - VIGOROUS]])</f>
        <v>68.792000000000002</v>
      </c>
      <c r="Q360" s="14">
        <f>'PIVOT TABLES'!$P$26</f>
        <v>62.64</v>
      </c>
      <c r="R360" s="14">
        <f>'PIVOT TABLES'!$P$27-'PIVOT TABLES'!$P$26</f>
        <v>31.320000000000007</v>
      </c>
      <c r="S360" s="14">
        <f>'PIVOT TABLES'!$P$28-'PIVOT TABLES'!$P$27</f>
        <v>31.319999999999993</v>
      </c>
      <c r="T360" s="14">
        <f>200-SUM(Table3[[#This Row],[W - LIGHT]:[W - VIGOROUS]])</f>
        <v>74.72</v>
      </c>
      <c r="U360" s="14">
        <f>'PIVOT TABLES'!$W$26</f>
        <v>55.895999999999994</v>
      </c>
      <c r="V360" s="14">
        <f>'PIVOT TABLES'!$W$27-'PIVOT TABLES'!$W$26</f>
        <v>27.948</v>
      </c>
      <c r="W360" s="14">
        <f>'PIVOT TABLES'!$W$28-'PIVOT TABLES'!$W$27</f>
        <v>27.947999999999993</v>
      </c>
      <c r="X360" s="14">
        <f>200-SUM(Table3[[#This Row],[S - LIGHT]:[S - VIGOROUS]])</f>
        <v>88.208000000000013</v>
      </c>
    </row>
    <row r="361" spans="1:24" x14ac:dyDescent="0.25">
      <c r="A361" s="17" t="s">
        <v>67</v>
      </c>
      <c r="B361" s="13" t="str">
        <f t="shared" si="5"/>
        <v>Midfielder</v>
      </c>
      <c r="C361" s="7">
        <v>45306.689699074072</v>
      </c>
      <c r="D361" s="14">
        <v>2620</v>
      </c>
      <c r="E361" s="14">
        <v>0</v>
      </c>
      <c r="F361" s="14">
        <v>17</v>
      </c>
      <c r="G361" s="14">
        <v>39</v>
      </c>
      <c r="H361" s="14">
        <v>27.66</v>
      </c>
      <c r="I361" s="14">
        <f>'PIVOT TABLES'!$B$26</f>
        <v>60.283999999999999</v>
      </c>
      <c r="J361" s="14">
        <f>'PIVOT TABLES'!$B$27-'PIVOT TABLES'!$B$26</f>
        <v>30.142000000000003</v>
      </c>
      <c r="K361" s="14">
        <f>'PIVOT TABLES'!$B$28-'PIVOT TABLES'!$B$27</f>
        <v>30.141999999999996</v>
      </c>
      <c r="L361" s="14">
        <f>200-SUM(Table3[[#This Row],[D - LIGHT]:[D - VIGOROUS]])</f>
        <v>79.432000000000002</v>
      </c>
      <c r="M361" s="14">
        <f>'PIVOT TABLES'!$I$26</f>
        <v>65.603999999999999</v>
      </c>
      <c r="N361" s="14">
        <f>'PIVOT TABLES'!$I$27-'PIVOT TABLES'!$I$26</f>
        <v>32.802000000000007</v>
      </c>
      <c r="O361" s="14">
        <f>'PIVOT TABLES'!$I$28-'PIVOT TABLES'!$I$27</f>
        <v>32.801999999999992</v>
      </c>
      <c r="P361" s="14">
        <f>200-SUM(Table3[[#This Row],[M - LIGHT]:[M - VIGOROUS]])</f>
        <v>68.792000000000002</v>
      </c>
      <c r="Q361" s="14">
        <f>'PIVOT TABLES'!$P$26</f>
        <v>62.64</v>
      </c>
      <c r="R361" s="14">
        <f>'PIVOT TABLES'!$P$27-'PIVOT TABLES'!$P$26</f>
        <v>31.320000000000007</v>
      </c>
      <c r="S361" s="14">
        <f>'PIVOT TABLES'!$P$28-'PIVOT TABLES'!$P$27</f>
        <v>31.319999999999993</v>
      </c>
      <c r="T361" s="14">
        <f>200-SUM(Table3[[#This Row],[W - LIGHT]:[W - VIGOROUS]])</f>
        <v>74.72</v>
      </c>
      <c r="U361" s="14">
        <f>'PIVOT TABLES'!$W$26</f>
        <v>55.895999999999994</v>
      </c>
      <c r="V361" s="14">
        <f>'PIVOT TABLES'!$W$27-'PIVOT TABLES'!$W$26</f>
        <v>27.948</v>
      </c>
      <c r="W361" s="14">
        <f>'PIVOT TABLES'!$W$28-'PIVOT TABLES'!$W$27</f>
        <v>27.947999999999993</v>
      </c>
      <c r="X361" s="14">
        <f>200-SUM(Table3[[#This Row],[S - LIGHT]:[S - VIGOROUS]])</f>
        <v>88.208000000000013</v>
      </c>
    </row>
    <row r="362" spans="1:24" x14ac:dyDescent="0.25">
      <c r="A362" s="17" t="s">
        <v>69</v>
      </c>
      <c r="B362" s="13" t="str">
        <f t="shared" si="5"/>
        <v>Midfielder</v>
      </c>
      <c r="C362" s="7">
        <v>45306.689699074072</v>
      </c>
      <c r="D362" s="14">
        <v>3837</v>
      </c>
      <c r="E362" s="14">
        <v>0</v>
      </c>
      <c r="F362" s="14">
        <v>52</v>
      </c>
      <c r="G362" s="14">
        <v>81</v>
      </c>
      <c r="H362" s="14">
        <v>42.07</v>
      </c>
      <c r="I362" s="14">
        <f>'PIVOT TABLES'!$B$26</f>
        <v>60.283999999999999</v>
      </c>
      <c r="J362" s="14">
        <f>'PIVOT TABLES'!$B$27-'PIVOT TABLES'!$B$26</f>
        <v>30.142000000000003</v>
      </c>
      <c r="K362" s="14">
        <f>'PIVOT TABLES'!$B$28-'PIVOT TABLES'!$B$27</f>
        <v>30.141999999999996</v>
      </c>
      <c r="L362" s="14">
        <f>200-SUM(Table3[[#This Row],[D - LIGHT]:[D - VIGOROUS]])</f>
        <v>79.432000000000002</v>
      </c>
      <c r="M362" s="14">
        <f>'PIVOT TABLES'!$I$26</f>
        <v>65.603999999999999</v>
      </c>
      <c r="N362" s="14">
        <f>'PIVOT TABLES'!$I$27-'PIVOT TABLES'!$I$26</f>
        <v>32.802000000000007</v>
      </c>
      <c r="O362" s="14">
        <f>'PIVOT TABLES'!$I$28-'PIVOT TABLES'!$I$27</f>
        <v>32.801999999999992</v>
      </c>
      <c r="P362" s="14">
        <f>200-SUM(Table3[[#This Row],[M - LIGHT]:[M - VIGOROUS]])</f>
        <v>68.792000000000002</v>
      </c>
      <c r="Q362" s="14">
        <f>'PIVOT TABLES'!$P$26</f>
        <v>62.64</v>
      </c>
      <c r="R362" s="14">
        <f>'PIVOT TABLES'!$P$27-'PIVOT TABLES'!$P$26</f>
        <v>31.320000000000007</v>
      </c>
      <c r="S362" s="14">
        <f>'PIVOT TABLES'!$P$28-'PIVOT TABLES'!$P$27</f>
        <v>31.319999999999993</v>
      </c>
      <c r="T362" s="14">
        <f>200-SUM(Table3[[#This Row],[W - LIGHT]:[W - VIGOROUS]])</f>
        <v>74.72</v>
      </c>
      <c r="U362" s="14">
        <f>'PIVOT TABLES'!$W$26</f>
        <v>55.895999999999994</v>
      </c>
      <c r="V362" s="14">
        <f>'PIVOT TABLES'!$W$27-'PIVOT TABLES'!$W$26</f>
        <v>27.948</v>
      </c>
      <c r="W362" s="14">
        <f>'PIVOT TABLES'!$W$28-'PIVOT TABLES'!$W$27</f>
        <v>27.947999999999993</v>
      </c>
      <c r="X362" s="14">
        <f>200-SUM(Table3[[#This Row],[S - LIGHT]:[S - VIGOROUS]])</f>
        <v>88.208000000000013</v>
      </c>
    </row>
    <row r="363" spans="1:24" x14ac:dyDescent="0.25">
      <c r="A363" s="17" t="s">
        <v>70</v>
      </c>
      <c r="B363" s="13" t="str">
        <f t="shared" si="5"/>
        <v>Winger</v>
      </c>
      <c r="C363" s="7">
        <v>45307.460787037038</v>
      </c>
      <c r="D363" s="14">
        <v>5670</v>
      </c>
      <c r="E363" s="14">
        <v>103</v>
      </c>
      <c r="F363" s="14">
        <v>19</v>
      </c>
      <c r="G363" s="14">
        <v>17</v>
      </c>
      <c r="H363" s="14">
        <v>60.89</v>
      </c>
      <c r="I363" s="14">
        <f>'PIVOT TABLES'!$B$26</f>
        <v>60.283999999999999</v>
      </c>
      <c r="J363" s="14">
        <f>'PIVOT TABLES'!$B$27-'PIVOT TABLES'!$B$26</f>
        <v>30.142000000000003</v>
      </c>
      <c r="K363" s="14">
        <f>'PIVOT TABLES'!$B$28-'PIVOT TABLES'!$B$27</f>
        <v>30.141999999999996</v>
      </c>
      <c r="L363" s="14">
        <f>200-SUM(Table3[[#This Row],[D - LIGHT]:[D - VIGOROUS]])</f>
        <v>79.432000000000002</v>
      </c>
      <c r="M363" s="14">
        <f>'PIVOT TABLES'!$I$26</f>
        <v>65.603999999999999</v>
      </c>
      <c r="N363" s="14">
        <f>'PIVOT TABLES'!$I$27-'PIVOT TABLES'!$I$26</f>
        <v>32.802000000000007</v>
      </c>
      <c r="O363" s="14">
        <f>'PIVOT TABLES'!$I$28-'PIVOT TABLES'!$I$27</f>
        <v>32.801999999999992</v>
      </c>
      <c r="P363" s="14">
        <f>200-SUM(Table3[[#This Row],[M - LIGHT]:[M - VIGOROUS]])</f>
        <v>68.792000000000002</v>
      </c>
      <c r="Q363" s="14">
        <f>'PIVOT TABLES'!$P$26</f>
        <v>62.64</v>
      </c>
      <c r="R363" s="14">
        <f>'PIVOT TABLES'!$P$27-'PIVOT TABLES'!$P$26</f>
        <v>31.320000000000007</v>
      </c>
      <c r="S363" s="14">
        <f>'PIVOT TABLES'!$P$28-'PIVOT TABLES'!$P$27</f>
        <v>31.319999999999993</v>
      </c>
      <c r="T363" s="14">
        <f>200-SUM(Table3[[#This Row],[W - LIGHT]:[W - VIGOROUS]])</f>
        <v>74.72</v>
      </c>
      <c r="U363" s="14">
        <f>'PIVOT TABLES'!$W$26</f>
        <v>55.895999999999994</v>
      </c>
      <c r="V363" s="14">
        <f>'PIVOT TABLES'!$W$27-'PIVOT TABLES'!$W$26</f>
        <v>27.948</v>
      </c>
      <c r="W363" s="14">
        <f>'PIVOT TABLES'!$W$28-'PIVOT TABLES'!$W$27</f>
        <v>27.947999999999993</v>
      </c>
      <c r="X363" s="14">
        <f>200-SUM(Table3[[#This Row],[S - LIGHT]:[S - VIGOROUS]])</f>
        <v>88.208000000000013</v>
      </c>
    </row>
    <row r="364" spans="1:24" x14ac:dyDescent="0.25">
      <c r="A364" s="17" t="s">
        <v>53</v>
      </c>
      <c r="B364" s="13" t="str">
        <f t="shared" si="5"/>
        <v>Midfielder</v>
      </c>
      <c r="C364" s="7">
        <v>45307.460787037038</v>
      </c>
      <c r="D364" s="14">
        <v>5761</v>
      </c>
      <c r="E364" s="14">
        <v>57</v>
      </c>
      <c r="F364" s="14">
        <v>14</v>
      </c>
      <c r="G364" s="14">
        <v>21</v>
      </c>
      <c r="H364" s="14">
        <v>60.3</v>
      </c>
      <c r="I364" s="14">
        <f>'PIVOT TABLES'!$B$26</f>
        <v>60.283999999999999</v>
      </c>
      <c r="J364" s="14">
        <f>'PIVOT TABLES'!$B$27-'PIVOT TABLES'!$B$26</f>
        <v>30.142000000000003</v>
      </c>
      <c r="K364" s="14">
        <f>'PIVOT TABLES'!$B$28-'PIVOT TABLES'!$B$27</f>
        <v>30.141999999999996</v>
      </c>
      <c r="L364" s="14">
        <f>200-SUM(Table3[[#This Row],[D - LIGHT]:[D - VIGOROUS]])</f>
        <v>79.432000000000002</v>
      </c>
      <c r="M364" s="14">
        <f>'PIVOT TABLES'!$I$26</f>
        <v>65.603999999999999</v>
      </c>
      <c r="N364" s="14">
        <f>'PIVOT TABLES'!$I$27-'PIVOT TABLES'!$I$26</f>
        <v>32.802000000000007</v>
      </c>
      <c r="O364" s="14">
        <f>'PIVOT TABLES'!$I$28-'PIVOT TABLES'!$I$27</f>
        <v>32.801999999999992</v>
      </c>
      <c r="P364" s="14">
        <f>200-SUM(Table3[[#This Row],[M - LIGHT]:[M - VIGOROUS]])</f>
        <v>68.792000000000002</v>
      </c>
      <c r="Q364" s="14">
        <f>'PIVOT TABLES'!$P$26</f>
        <v>62.64</v>
      </c>
      <c r="R364" s="14">
        <f>'PIVOT TABLES'!$P$27-'PIVOT TABLES'!$P$26</f>
        <v>31.320000000000007</v>
      </c>
      <c r="S364" s="14">
        <f>'PIVOT TABLES'!$P$28-'PIVOT TABLES'!$P$27</f>
        <v>31.319999999999993</v>
      </c>
      <c r="T364" s="14">
        <f>200-SUM(Table3[[#This Row],[W - LIGHT]:[W - VIGOROUS]])</f>
        <v>74.72</v>
      </c>
      <c r="U364" s="14">
        <f>'PIVOT TABLES'!$W$26</f>
        <v>55.895999999999994</v>
      </c>
      <c r="V364" s="14">
        <f>'PIVOT TABLES'!$W$27-'PIVOT TABLES'!$W$26</f>
        <v>27.948</v>
      </c>
      <c r="W364" s="14">
        <f>'PIVOT TABLES'!$W$28-'PIVOT TABLES'!$W$27</f>
        <v>27.947999999999993</v>
      </c>
      <c r="X364" s="14">
        <f>200-SUM(Table3[[#This Row],[S - LIGHT]:[S - VIGOROUS]])</f>
        <v>88.208000000000013</v>
      </c>
    </row>
    <row r="365" spans="1:24" x14ac:dyDescent="0.25">
      <c r="A365" s="17" t="s">
        <v>54</v>
      </c>
      <c r="B365" s="13" t="str">
        <f t="shared" si="5"/>
        <v>Striker</v>
      </c>
      <c r="C365" s="7">
        <v>45307.460787037038</v>
      </c>
      <c r="D365" s="14">
        <v>3007</v>
      </c>
      <c r="E365" s="14">
        <v>28</v>
      </c>
      <c r="F365" s="14">
        <v>14</v>
      </c>
      <c r="G365" s="14">
        <v>21</v>
      </c>
      <c r="H365" s="14">
        <v>31.89</v>
      </c>
      <c r="I365" s="14">
        <f>'PIVOT TABLES'!$B$26</f>
        <v>60.283999999999999</v>
      </c>
      <c r="J365" s="14">
        <f>'PIVOT TABLES'!$B$27-'PIVOT TABLES'!$B$26</f>
        <v>30.142000000000003</v>
      </c>
      <c r="K365" s="14">
        <f>'PIVOT TABLES'!$B$28-'PIVOT TABLES'!$B$27</f>
        <v>30.141999999999996</v>
      </c>
      <c r="L365" s="14">
        <f>200-SUM(Table3[[#This Row],[D - LIGHT]:[D - VIGOROUS]])</f>
        <v>79.432000000000002</v>
      </c>
      <c r="M365" s="14">
        <f>'PIVOT TABLES'!$I$26</f>
        <v>65.603999999999999</v>
      </c>
      <c r="N365" s="14">
        <f>'PIVOT TABLES'!$I$27-'PIVOT TABLES'!$I$26</f>
        <v>32.802000000000007</v>
      </c>
      <c r="O365" s="14">
        <f>'PIVOT TABLES'!$I$28-'PIVOT TABLES'!$I$27</f>
        <v>32.801999999999992</v>
      </c>
      <c r="P365" s="14">
        <f>200-SUM(Table3[[#This Row],[M - LIGHT]:[M - VIGOROUS]])</f>
        <v>68.792000000000002</v>
      </c>
      <c r="Q365" s="14">
        <f>'PIVOT TABLES'!$P$26</f>
        <v>62.64</v>
      </c>
      <c r="R365" s="14">
        <f>'PIVOT TABLES'!$P$27-'PIVOT TABLES'!$P$26</f>
        <v>31.320000000000007</v>
      </c>
      <c r="S365" s="14">
        <f>'PIVOT TABLES'!$P$28-'PIVOT TABLES'!$P$27</f>
        <v>31.319999999999993</v>
      </c>
      <c r="T365" s="14">
        <f>200-SUM(Table3[[#This Row],[W - LIGHT]:[W - VIGOROUS]])</f>
        <v>74.72</v>
      </c>
      <c r="U365" s="14">
        <f>'PIVOT TABLES'!$W$26</f>
        <v>55.895999999999994</v>
      </c>
      <c r="V365" s="14">
        <f>'PIVOT TABLES'!$W$27-'PIVOT TABLES'!$W$26</f>
        <v>27.948</v>
      </c>
      <c r="W365" s="14">
        <f>'PIVOT TABLES'!$W$28-'PIVOT TABLES'!$W$27</f>
        <v>27.947999999999993</v>
      </c>
      <c r="X365" s="14">
        <f>200-SUM(Table3[[#This Row],[S - LIGHT]:[S - VIGOROUS]])</f>
        <v>88.208000000000013</v>
      </c>
    </row>
    <row r="366" spans="1:24" x14ac:dyDescent="0.25">
      <c r="A366" s="17" t="s">
        <v>55</v>
      </c>
      <c r="B366" s="13" t="str">
        <f t="shared" si="5"/>
        <v>Striker</v>
      </c>
      <c r="C366" s="7">
        <v>45307.460787037038</v>
      </c>
      <c r="D366" s="14">
        <v>5464</v>
      </c>
      <c r="E366" s="14">
        <v>62</v>
      </c>
      <c r="F366" s="14">
        <v>18</v>
      </c>
      <c r="G366" s="14">
        <v>19</v>
      </c>
      <c r="H366" s="14">
        <v>57.6</v>
      </c>
      <c r="I366" s="14">
        <f>'PIVOT TABLES'!$B$26</f>
        <v>60.283999999999999</v>
      </c>
      <c r="J366" s="14">
        <f>'PIVOT TABLES'!$B$27-'PIVOT TABLES'!$B$26</f>
        <v>30.142000000000003</v>
      </c>
      <c r="K366" s="14">
        <f>'PIVOT TABLES'!$B$28-'PIVOT TABLES'!$B$27</f>
        <v>30.141999999999996</v>
      </c>
      <c r="L366" s="14">
        <f>200-SUM(Table3[[#This Row],[D - LIGHT]:[D - VIGOROUS]])</f>
        <v>79.432000000000002</v>
      </c>
      <c r="M366" s="14">
        <f>'PIVOT TABLES'!$I$26</f>
        <v>65.603999999999999</v>
      </c>
      <c r="N366" s="14">
        <f>'PIVOT TABLES'!$I$27-'PIVOT TABLES'!$I$26</f>
        <v>32.802000000000007</v>
      </c>
      <c r="O366" s="14">
        <f>'PIVOT TABLES'!$I$28-'PIVOT TABLES'!$I$27</f>
        <v>32.801999999999992</v>
      </c>
      <c r="P366" s="14">
        <f>200-SUM(Table3[[#This Row],[M - LIGHT]:[M - VIGOROUS]])</f>
        <v>68.792000000000002</v>
      </c>
      <c r="Q366" s="14">
        <f>'PIVOT TABLES'!$P$26</f>
        <v>62.64</v>
      </c>
      <c r="R366" s="14">
        <f>'PIVOT TABLES'!$P$27-'PIVOT TABLES'!$P$26</f>
        <v>31.320000000000007</v>
      </c>
      <c r="S366" s="14">
        <f>'PIVOT TABLES'!$P$28-'PIVOT TABLES'!$P$27</f>
        <v>31.319999999999993</v>
      </c>
      <c r="T366" s="14">
        <f>200-SUM(Table3[[#This Row],[W - LIGHT]:[W - VIGOROUS]])</f>
        <v>74.72</v>
      </c>
      <c r="U366" s="14">
        <f>'PIVOT TABLES'!$W$26</f>
        <v>55.895999999999994</v>
      </c>
      <c r="V366" s="14">
        <f>'PIVOT TABLES'!$W$27-'PIVOT TABLES'!$W$26</f>
        <v>27.948</v>
      </c>
      <c r="W366" s="14">
        <f>'PIVOT TABLES'!$W$28-'PIVOT TABLES'!$W$27</f>
        <v>27.947999999999993</v>
      </c>
      <c r="X366" s="14">
        <f>200-SUM(Table3[[#This Row],[S - LIGHT]:[S - VIGOROUS]])</f>
        <v>88.208000000000013</v>
      </c>
    </row>
    <row r="367" spans="1:24" x14ac:dyDescent="0.25">
      <c r="A367" s="17" t="s">
        <v>1</v>
      </c>
      <c r="B367" s="13" t="str">
        <f t="shared" si="5"/>
        <v>Defender</v>
      </c>
      <c r="C367" s="7">
        <v>45307.460787037038</v>
      </c>
      <c r="D367" s="14">
        <v>4922</v>
      </c>
      <c r="E367" s="14">
        <v>111</v>
      </c>
      <c r="F367" s="14">
        <v>27</v>
      </c>
      <c r="G367" s="14">
        <v>11</v>
      </c>
      <c r="H367" s="14">
        <v>53.85</v>
      </c>
      <c r="I367" s="14">
        <f>'PIVOT TABLES'!$B$26</f>
        <v>60.283999999999999</v>
      </c>
      <c r="J367" s="14">
        <f>'PIVOT TABLES'!$B$27-'PIVOT TABLES'!$B$26</f>
        <v>30.142000000000003</v>
      </c>
      <c r="K367" s="14">
        <f>'PIVOT TABLES'!$B$28-'PIVOT TABLES'!$B$27</f>
        <v>30.141999999999996</v>
      </c>
      <c r="L367" s="14">
        <f>200-SUM(Table3[[#This Row],[D - LIGHT]:[D - VIGOROUS]])</f>
        <v>79.432000000000002</v>
      </c>
      <c r="M367" s="14">
        <f>'PIVOT TABLES'!$I$26</f>
        <v>65.603999999999999</v>
      </c>
      <c r="N367" s="14">
        <f>'PIVOT TABLES'!$I$27-'PIVOT TABLES'!$I$26</f>
        <v>32.802000000000007</v>
      </c>
      <c r="O367" s="14">
        <f>'PIVOT TABLES'!$I$28-'PIVOT TABLES'!$I$27</f>
        <v>32.801999999999992</v>
      </c>
      <c r="P367" s="14">
        <f>200-SUM(Table3[[#This Row],[M - LIGHT]:[M - VIGOROUS]])</f>
        <v>68.792000000000002</v>
      </c>
      <c r="Q367" s="14">
        <f>'PIVOT TABLES'!$P$26</f>
        <v>62.64</v>
      </c>
      <c r="R367" s="14">
        <f>'PIVOT TABLES'!$P$27-'PIVOT TABLES'!$P$26</f>
        <v>31.320000000000007</v>
      </c>
      <c r="S367" s="14">
        <f>'PIVOT TABLES'!$P$28-'PIVOT TABLES'!$P$27</f>
        <v>31.319999999999993</v>
      </c>
      <c r="T367" s="14">
        <f>200-SUM(Table3[[#This Row],[W - LIGHT]:[W - VIGOROUS]])</f>
        <v>74.72</v>
      </c>
      <c r="U367" s="14">
        <f>'PIVOT TABLES'!$W$26</f>
        <v>55.895999999999994</v>
      </c>
      <c r="V367" s="14">
        <f>'PIVOT TABLES'!$W$27-'PIVOT TABLES'!$W$26</f>
        <v>27.948</v>
      </c>
      <c r="W367" s="14">
        <f>'PIVOT TABLES'!$W$28-'PIVOT TABLES'!$W$27</f>
        <v>27.947999999999993</v>
      </c>
      <c r="X367" s="14">
        <f>200-SUM(Table3[[#This Row],[S - LIGHT]:[S - VIGOROUS]])</f>
        <v>88.208000000000013</v>
      </c>
    </row>
    <row r="368" spans="1:24" x14ac:dyDescent="0.25">
      <c r="A368" s="17" t="s">
        <v>56</v>
      </c>
      <c r="B368" s="13" t="str">
        <f t="shared" si="5"/>
        <v>Midfielder</v>
      </c>
      <c r="C368" s="7">
        <v>45307.460787037038</v>
      </c>
      <c r="D368" s="14">
        <v>5666</v>
      </c>
      <c r="E368" s="14">
        <v>15</v>
      </c>
      <c r="F368" s="14">
        <v>21</v>
      </c>
      <c r="G368" s="14">
        <v>19</v>
      </c>
      <c r="H368" s="14">
        <v>58.33</v>
      </c>
      <c r="I368" s="14">
        <f>'PIVOT TABLES'!$B$26</f>
        <v>60.283999999999999</v>
      </c>
      <c r="J368" s="14">
        <f>'PIVOT TABLES'!$B$27-'PIVOT TABLES'!$B$26</f>
        <v>30.142000000000003</v>
      </c>
      <c r="K368" s="14">
        <f>'PIVOT TABLES'!$B$28-'PIVOT TABLES'!$B$27</f>
        <v>30.141999999999996</v>
      </c>
      <c r="L368" s="14">
        <f>200-SUM(Table3[[#This Row],[D - LIGHT]:[D - VIGOROUS]])</f>
        <v>79.432000000000002</v>
      </c>
      <c r="M368" s="14">
        <f>'PIVOT TABLES'!$I$26</f>
        <v>65.603999999999999</v>
      </c>
      <c r="N368" s="14">
        <f>'PIVOT TABLES'!$I$27-'PIVOT TABLES'!$I$26</f>
        <v>32.802000000000007</v>
      </c>
      <c r="O368" s="14">
        <f>'PIVOT TABLES'!$I$28-'PIVOT TABLES'!$I$27</f>
        <v>32.801999999999992</v>
      </c>
      <c r="P368" s="14">
        <f>200-SUM(Table3[[#This Row],[M - LIGHT]:[M - VIGOROUS]])</f>
        <v>68.792000000000002</v>
      </c>
      <c r="Q368" s="14">
        <f>'PIVOT TABLES'!$P$26</f>
        <v>62.64</v>
      </c>
      <c r="R368" s="14">
        <f>'PIVOT TABLES'!$P$27-'PIVOT TABLES'!$P$26</f>
        <v>31.320000000000007</v>
      </c>
      <c r="S368" s="14">
        <f>'PIVOT TABLES'!$P$28-'PIVOT TABLES'!$P$27</f>
        <v>31.319999999999993</v>
      </c>
      <c r="T368" s="14">
        <f>200-SUM(Table3[[#This Row],[W - LIGHT]:[W - VIGOROUS]])</f>
        <v>74.72</v>
      </c>
      <c r="U368" s="14">
        <f>'PIVOT TABLES'!$W$26</f>
        <v>55.895999999999994</v>
      </c>
      <c r="V368" s="14">
        <f>'PIVOT TABLES'!$W$27-'PIVOT TABLES'!$W$26</f>
        <v>27.948</v>
      </c>
      <c r="W368" s="14">
        <f>'PIVOT TABLES'!$W$28-'PIVOT TABLES'!$W$27</f>
        <v>27.947999999999993</v>
      </c>
      <c r="X368" s="14">
        <f>200-SUM(Table3[[#This Row],[S - LIGHT]:[S - VIGOROUS]])</f>
        <v>88.208000000000013</v>
      </c>
    </row>
    <row r="369" spans="1:24" x14ac:dyDescent="0.25">
      <c r="A369" s="17" t="s">
        <v>2</v>
      </c>
      <c r="B369" s="13" t="str">
        <f t="shared" si="5"/>
        <v>Defender</v>
      </c>
      <c r="C369" s="7">
        <v>45307.460787037038</v>
      </c>
      <c r="D369" s="14">
        <v>4994</v>
      </c>
      <c r="E369" s="14">
        <v>18</v>
      </c>
      <c r="F369" s="14">
        <v>9</v>
      </c>
      <c r="G369" s="14">
        <v>15</v>
      </c>
      <c r="H369" s="14">
        <v>51.14</v>
      </c>
      <c r="I369" s="14">
        <f>'PIVOT TABLES'!$B$26</f>
        <v>60.283999999999999</v>
      </c>
      <c r="J369" s="14">
        <f>'PIVOT TABLES'!$B$27-'PIVOT TABLES'!$B$26</f>
        <v>30.142000000000003</v>
      </c>
      <c r="K369" s="14">
        <f>'PIVOT TABLES'!$B$28-'PIVOT TABLES'!$B$27</f>
        <v>30.141999999999996</v>
      </c>
      <c r="L369" s="14">
        <f>200-SUM(Table3[[#This Row],[D - LIGHT]:[D - VIGOROUS]])</f>
        <v>79.432000000000002</v>
      </c>
      <c r="M369" s="14">
        <f>'PIVOT TABLES'!$I$26</f>
        <v>65.603999999999999</v>
      </c>
      <c r="N369" s="14">
        <f>'PIVOT TABLES'!$I$27-'PIVOT TABLES'!$I$26</f>
        <v>32.802000000000007</v>
      </c>
      <c r="O369" s="14">
        <f>'PIVOT TABLES'!$I$28-'PIVOT TABLES'!$I$27</f>
        <v>32.801999999999992</v>
      </c>
      <c r="P369" s="14">
        <f>200-SUM(Table3[[#This Row],[M - LIGHT]:[M - VIGOROUS]])</f>
        <v>68.792000000000002</v>
      </c>
      <c r="Q369" s="14">
        <f>'PIVOT TABLES'!$P$26</f>
        <v>62.64</v>
      </c>
      <c r="R369" s="14">
        <f>'PIVOT TABLES'!$P$27-'PIVOT TABLES'!$P$26</f>
        <v>31.320000000000007</v>
      </c>
      <c r="S369" s="14">
        <f>'PIVOT TABLES'!$P$28-'PIVOT TABLES'!$P$27</f>
        <v>31.319999999999993</v>
      </c>
      <c r="T369" s="14">
        <f>200-SUM(Table3[[#This Row],[W - LIGHT]:[W - VIGOROUS]])</f>
        <v>74.72</v>
      </c>
      <c r="U369" s="14">
        <f>'PIVOT TABLES'!$W$26</f>
        <v>55.895999999999994</v>
      </c>
      <c r="V369" s="14">
        <f>'PIVOT TABLES'!$W$27-'PIVOT TABLES'!$W$26</f>
        <v>27.948</v>
      </c>
      <c r="W369" s="14">
        <f>'PIVOT TABLES'!$W$28-'PIVOT TABLES'!$W$27</f>
        <v>27.947999999999993</v>
      </c>
      <c r="X369" s="14">
        <f>200-SUM(Table3[[#This Row],[S - LIGHT]:[S - VIGOROUS]])</f>
        <v>88.208000000000013</v>
      </c>
    </row>
    <row r="370" spans="1:24" x14ac:dyDescent="0.25">
      <c r="A370" s="17" t="s">
        <v>58</v>
      </c>
      <c r="B370" s="13" t="str">
        <f t="shared" si="5"/>
        <v>Defender</v>
      </c>
      <c r="C370" s="7">
        <v>45307.460787037038</v>
      </c>
      <c r="D370" s="14">
        <v>5373</v>
      </c>
      <c r="E370" s="14">
        <v>92</v>
      </c>
      <c r="F370" s="14">
        <v>29</v>
      </c>
      <c r="G370" s="14">
        <v>25</v>
      </c>
      <c r="H370" s="14">
        <v>58.15</v>
      </c>
      <c r="I370" s="14">
        <f>'PIVOT TABLES'!$B$26</f>
        <v>60.283999999999999</v>
      </c>
      <c r="J370" s="14">
        <f>'PIVOT TABLES'!$B$27-'PIVOT TABLES'!$B$26</f>
        <v>30.142000000000003</v>
      </c>
      <c r="K370" s="14">
        <f>'PIVOT TABLES'!$B$28-'PIVOT TABLES'!$B$27</f>
        <v>30.141999999999996</v>
      </c>
      <c r="L370" s="14">
        <f>200-SUM(Table3[[#This Row],[D - LIGHT]:[D - VIGOROUS]])</f>
        <v>79.432000000000002</v>
      </c>
      <c r="M370" s="14">
        <f>'PIVOT TABLES'!$I$26</f>
        <v>65.603999999999999</v>
      </c>
      <c r="N370" s="14">
        <f>'PIVOT TABLES'!$I$27-'PIVOT TABLES'!$I$26</f>
        <v>32.802000000000007</v>
      </c>
      <c r="O370" s="14">
        <f>'PIVOT TABLES'!$I$28-'PIVOT TABLES'!$I$27</f>
        <v>32.801999999999992</v>
      </c>
      <c r="P370" s="14">
        <f>200-SUM(Table3[[#This Row],[M - LIGHT]:[M - VIGOROUS]])</f>
        <v>68.792000000000002</v>
      </c>
      <c r="Q370" s="14">
        <f>'PIVOT TABLES'!$P$26</f>
        <v>62.64</v>
      </c>
      <c r="R370" s="14">
        <f>'PIVOT TABLES'!$P$27-'PIVOT TABLES'!$P$26</f>
        <v>31.320000000000007</v>
      </c>
      <c r="S370" s="14">
        <f>'PIVOT TABLES'!$P$28-'PIVOT TABLES'!$P$27</f>
        <v>31.319999999999993</v>
      </c>
      <c r="T370" s="14">
        <f>200-SUM(Table3[[#This Row],[W - LIGHT]:[W - VIGOROUS]])</f>
        <v>74.72</v>
      </c>
      <c r="U370" s="14">
        <f>'PIVOT TABLES'!$W$26</f>
        <v>55.895999999999994</v>
      </c>
      <c r="V370" s="14">
        <f>'PIVOT TABLES'!$W$27-'PIVOT TABLES'!$W$26</f>
        <v>27.948</v>
      </c>
      <c r="W370" s="14">
        <f>'PIVOT TABLES'!$W$28-'PIVOT TABLES'!$W$27</f>
        <v>27.947999999999993</v>
      </c>
      <c r="X370" s="14">
        <f>200-SUM(Table3[[#This Row],[S - LIGHT]:[S - VIGOROUS]])</f>
        <v>88.208000000000013</v>
      </c>
    </row>
    <row r="371" spans="1:24" x14ac:dyDescent="0.25">
      <c r="A371" s="17" t="s">
        <v>94</v>
      </c>
      <c r="B371" s="13" t="str">
        <f t="shared" si="5"/>
        <v>Defender</v>
      </c>
      <c r="C371" s="7">
        <v>45307.460787037038</v>
      </c>
      <c r="D371" s="14">
        <v>5341</v>
      </c>
      <c r="E371" s="14">
        <v>79</v>
      </c>
      <c r="F371" s="14">
        <v>21</v>
      </c>
      <c r="G371" s="14">
        <v>15</v>
      </c>
      <c r="H371" s="14">
        <v>56.92</v>
      </c>
      <c r="I371" s="14">
        <f>'PIVOT TABLES'!$B$26</f>
        <v>60.283999999999999</v>
      </c>
      <c r="J371" s="14">
        <f>'PIVOT TABLES'!$B$27-'PIVOT TABLES'!$B$26</f>
        <v>30.142000000000003</v>
      </c>
      <c r="K371" s="14">
        <f>'PIVOT TABLES'!$B$28-'PIVOT TABLES'!$B$27</f>
        <v>30.141999999999996</v>
      </c>
      <c r="L371" s="14">
        <f>200-SUM(Table3[[#This Row],[D - LIGHT]:[D - VIGOROUS]])</f>
        <v>79.432000000000002</v>
      </c>
      <c r="M371" s="14">
        <f>'PIVOT TABLES'!$I$26</f>
        <v>65.603999999999999</v>
      </c>
      <c r="N371" s="14">
        <f>'PIVOT TABLES'!$I$27-'PIVOT TABLES'!$I$26</f>
        <v>32.802000000000007</v>
      </c>
      <c r="O371" s="14">
        <f>'PIVOT TABLES'!$I$28-'PIVOT TABLES'!$I$27</f>
        <v>32.801999999999992</v>
      </c>
      <c r="P371" s="14">
        <f>200-SUM(Table3[[#This Row],[M - LIGHT]:[M - VIGOROUS]])</f>
        <v>68.792000000000002</v>
      </c>
      <c r="Q371" s="14">
        <f>'PIVOT TABLES'!$P$26</f>
        <v>62.64</v>
      </c>
      <c r="R371" s="14">
        <f>'PIVOT TABLES'!$P$27-'PIVOT TABLES'!$P$26</f>
        <v>31.320000000000007</v>
      </c>
      <c r="S371" s="14">
        <f>'PIVOT TABLES'!$P$28-'PIVOT TABLES'!$P$27</f>
        <v>31.319999999999993</v>
      </c>
      <c r="T371" s="14">
        <f>200-SUM(Table3[[#This Row],[W - LIGHT]:[W - VIGOROUS]])</f>
        <v>74.72</v>
      </c>
      <c r="U371" s="14">
        <f>'PIVOT TABLES'!$W$26</f>
        <v>55.895999999999994</v>
      </c>
      <c r="V371" s="14">
        <f>'PIVOT TABLES'!$W$27-'PIVOT TABLES'!$W$26</f>
        <v>27.948</v>
      </c>
      <c r="W371" s="14">
        <f>'PIVOT TABLES'!$W$28-'PIVOT TABLES'!$W$27</f>
        <v>27.947999999999993</v>
      </c>
      <c r="X371" s="14">
        <f>200-SUM(Table3[[#This Row],[S - LIGHT]:[S - VIGOROUS]])</f>
        <v>88.208000000000013</v>
      </c>
    </row>
    <row r="372" spans="1:24" x14ac:dyDescent="0.25">
      <c r="A372" s="17" t="s">
        <v>3</v>
      </c>
      <c r="B372" s="13" t="str">
        <f t="shared" si="5"/>
        <v>Defender</v>
      </c>
      <c r="C372" s="7">
        <v>45307.460787037038</v>
      </c>
      <c r="D372" s="14">
        <v>5892</v>
      </c>
      <c r="E372" s="14">
        <v>121</v>
      </c>
      <c r="F372" s="14">
        <v>24</v>
      </c>
      <c r="G372" s="14">
        <v>27</v>
      </c>
      <c r="H372" s="14">
        <v>64.05</v>
      </c>
      <c r="I372" s="14">
        <f>'PIVOT TABLES'!$B$26</f>
        <v>60.283999999999999</v>
      </c>
      <c r="J372" s="14">
        <f>'PIVOT TABLES'!$B$27-'PIVOT TABLES'!$B$26</f>
        <v>30.142000000000003</v>
      </c>
      <c r="K372" s="14">
        <f>'PIVOT TABLES'!$B$28-'PIVOT TABLES'!$B$27</f>
        <v>30.141999999999996</v>
      </c>
      <c r="L372" s="14">
        <f>200-SUM(Table3[[#This Row],[D - LIGHT]:[D - VIGOROUS]])</f>
        <v>79.432000000000002</v>
      </c>
      <c r="M372" s="14">
        <f>'PIVOT TABLES'!$I$26</f>
        <v>65.603999999999999</v>
      </c>
      <c r="N372" s="14">
        <f>'PIVOT TABLES'!$I$27-'PIVOT TABLES'!$I$26</f>
        <v>32.802000000000007</v>
      </c>
      <c r="O372" s="14">
        <f>'PIVOT TABLES'!$I$28-'PIVOT TABLES'!$I$27</f>
        <v>32.801999999999992</v>
      </c>
      <c r="P372" s="14">
        <f>200-SUM(Table3[[#This Row],[M - LIGHT]:[M - VIGOROUS]])</f>
        <v>68.792000000000002</v>
      </c>
      <c r="Q372" s="14">
        <f>'PIVOT TABLES'!$P$26</f>
        <v>62.64</v>
      </c>
      <c r="R372" s="14">
        <f>'PIVOT TABLES'!$P$27-'PIVOT TABLES'!$P$26</f>
        <v>31.320000000000007</v>
      </c>
      <c r="S372" s="14">
        <f>'PIVOT TABLES'!$P$28-'PIVOT TABLES'!$P$27</f>
        <v>31.319999999999993</v>
      </c>
      <c r="T372" s="14">
        <f>200-SUM(Table3[[#This Row],[W - LIGHT]:[W - VIGOROUS]])</f>
        <v>74.72</v>
      </c>
      <c r="U372" s="14">
        <f>'PIVOT TABLES'!$W$26</f>
        <v>55.895999999999994</v>
      </c>
      <c r="V372" s="14">
        <f>'PIVOT TABLES'!$W$27-'PIVOT TABLES'!$W$26</f>
        <v>27.948</v>
      </c>
      <c r="W372" s="14">
        <f>'PIVOT TABLES'!$W$28-'PIVOT TABLES'!$W$27</f>
        <v>27.947999999999993</v>
      </c>
      <c r="X372" s="14">
        <f>200-SUM(Table3[[#This Row],[S - LIGHT]:[S - VIGOROUS]])</f>
        <v>88.208000000000013</v>
      </c>
    </row>
    <row r="373" spans="1:24" x14ac:dyDescent="0.25">
      <c r="A373" s="17" t="s">
        <v>59</v>
      </c>
      <c r="B373" s="13" t="str">
        <f t="shared" si="5"/>
        <v>Striker</v>
      </c>
      <c r="C373" s="7">
        <v>45307.460787037038</v>
      </c>
      <c r="D373" s="14">
        <v>5784</v>
      </c>
      <c r="E373" s="14">
        <v>195</v>
      </c>
      <c r="F373" s="14">
        <v>23</v>
      </c>
      <c r="G373" s="14">
        <v>23</v>
      </c>
      <c r="H373" s="14">
        <v>65.069999999999993</v>
      </c>
      <c r="I373" s="14">
        <f>'PIVOT TABLES'!$B$26</f>
        <v>60.283999999999999</v>
      </c>
      <c r="J373" s="14">
        <f>'PIVOT TABLES'!$B$27-'PIVOT TABLES'!$B$26</f>
        <v>30.142000000000003</v>
      </c>
      <c r="K373" s="14">
        <f>'PIVOT TABLES'!$B$28-'PIVOT TABLES'!$B$27</f>
        <v>30.141999999999996</v>
      </c>
      <c r="L373" s="14">
        <f>200-SUM(Table3[[#This Row],[D - LIGHT]:[D - VIGOROUS]])</f>
        <v>79.432000000000002</v>
      </c>
      <c r="M373" s="14">
        <f>'PIVOT TABLES'!$I$26</f>
        <v>65.603999999999999</v>
      </c>
      <c r="N373" s="14">
        <f>'PIVOT TABLES'!$I$27-'PIVOT TABLES'!$I$26</f>
        <v>32.802000000000007</v>
      </c>
      <c r="O373" s="14">
        <f>'PIVOT TABLES'!$I$28-'PIVOT TABLES'!$I$27</f>
        <v>32.801999999999992</v>
      </c>
      <c r="P373" s="14">
        <f>200-SUM(Table3[[#This Row],[M - LIGHT]:[M - VIGOROUS]])</f>
        <v>68.792000000000002</v>
      </c>
      <c r="Q373" s="14">
        <f>'PIVOT TABLES'!$P$26</f>
        <v>62.64</v>
      </c>
      <c r="R373" s="14">
        <f>'PIVOT TABLES'!$P$27-'PIVOT TABLES'!$P$26</f>
        <v>31.320000000000007</v>
      </c>
      <c r="S373" s="14">
        <f>'PIVOT TABLES'!$P$28-'PIVOT TABLES'!$P$27</f>
        <v>31.319999999999993</v>
      </c>
      <c r="T373" s="14">
        <f>200-SUM(Table3[[#This Row],[W - LIGHT]:[W - VIGOROUS]])</f>
        <v>74.72</v>
      </c>
      <c r="U373" s="14">
        <f>'PIVOT TABLES'!$W$26</f>
        <v>55.895999999999994</v>
      </c>
      <c r="V373" s="14">
        <f>'PIVOT TABLES'!$W$27-'PIVOT TABLES'!$W$26</f>
        <v>27.948</v>
      </c>
      <c r="W373" s="14">
        <f>'PIVOT TABLES'!$W$28-'PIVOT TABLES'!$W$27</f>
        <v>27.947999999999993</v>
      </c>
      <c r="X373" s="14">
        <f>200-SUM(Table3[[#This Row],[S - LIGHT]:[S - VIGOROUS]])</f>
        <v>88.208000000000013</v>
      </c>
    </row>
    <row r="374" spans="1:24" x14ac:dyDescent="0.25">
      <c r="A374" s="17" t="s">
        <v>4</v>
      </c>
      <c r="B374" s="13" t="str">
        <f t="shared" si="5"/>
        <v>Midfielder</v>
      </c>
      <c r="C374" s="7">
        <v>45307.460787037038</v>
      </c>
      <c r="D374" s="14">
        <v>5509</v>
      </c>
      <c r="E374" s="14">
        <v>45</v>
      </c>
      <c r="F374" s="14">
        <v>22</v>
      </c>
      <c r="G374" s="14">
        <v>17</v>
      </c>
      <c r="H374" s="14">
        <v>57.66</v>
      </c>
      <c r="I374" s="14">
        <f>'PIVOT TABLES'!$B$26</f>
        <v>60.283999999999999</v>
      </c>
      <c r="J374" s="14">
        <f>'PIVOT TABLES'!$B$27-'PIVOT TABLES'!$B$26</f>
        <v>30.142000000000003</v>
      </c>
      <c r="K374" s="14">
        <f>'PIVOT TABLES'!$B$28-'PIVOT TABLES'!$B$27</f>
        <v>30.141999999999996</v>
      </c>
      <c r="L374" s="14">
        <f>200-SUM(Table3[[#This Row],[D - LIGHT]:[D - VIGOROUS]])</f>
        <v>79.432000000000002</v>
      </c>
      <c r="M374" s="14">
        <f>'PIVOT TABLES'!$I$26</f>
        <v>65.603999999999999</v>
      </c>
      <c r="N374" s="14">
        <f>'PIVOT TABLES'!$I$27-'PIVOT TABLES'!$I$26</f>
        <v>32.802000000000007</v>
      </c>
      <c r="O374" s="14">
        <f>'PIVOT TABLES'!$I$28-'PIVOT TABLES'!$I$27</f>
        <v>32.801999999999992</v>
      </c>
      <c r="P374" s="14">
        <f>200-SUM(Table3[[#This Row],[M - LIGHT]:[M - VIGOROUS]])</f>
        <v>68.792000000000002</v>
      </c>
      <c r="Q374" s="14">
        <f>'PIVOT TABLES'!$P$26</f>
        <v>62.64</v>
      </c>
      <c r="R374" s="14">
        <f>'PIVOT TABLES'!$P$27-'PIVOT TABLES'!$P$26</f>
        <v>31.320000000000007</v>
      </c>
      <c r="S374" s="14">
        <f>'PIVOT TABLES'!$P$28-'PIVOT TABLES'!$P$27</f>
        <v>31.319999999999993</v>
      </c>
      <c r="T374" s="14">
        <f>200-SUM(Table3[[#This Row],[W - LIGHT]:[W - VIGOROUS]])</f>
        <v>74.72</v>
      </c>
      <c r="U374" s="14">
        <f>'PIVOT TABLES'!$W$26</f>
        <v>55.895999999999994</v>
      </c>
      <c r="V374" s="14">
        <f>'PIVOT TABLES'!$W$27-'PIVOT TABLES'!$W$26</f>
        <v>27.948</v>
      </c>
      <c r="W374" s="14">
        <f>'PIVOT TABLES'!$W$28-'PIVOT TABLES'!$W$27</f>
        <v>27.947999999999993</v>
      </c>
      <c r="X374" s="14">
        <f>200-SUM(Table3[[#This Row],[S - LIGHT]:[S - VIGOROUS]])</f>
        <v>88.208000000000013</v>
      </c>
    </row>
    <row r="375" spans="1:24" x14ac:dyDescent="0.25">
      <c r="A375" s="17" t="s">
        <v>60</v>
      </c>
      <c r="B375" s="13" t="str">
        <f t="shared" si="5"/>
        <v>Winger</v>
      </c>
      <c r="C375" s="7">
        <v>45307.460787037038</v>
      </c>
      <c r="D375" s="14">
        <v>5943</v>
      </c>
      <c r="E375" s="14">
        <v>115</v>
      </c>
      <c r="F375" s="14">
        <v>31</v>
      </c>
      <c r="G375" s="14">
        <v>18</v>
      </c>
      <c r="H375" s="14">
        <v>64.48</v>
      </c>
      <c r="I375" s="14">
        <f>'PIVOT TABLES'!$B$26</f>
        <v>60.283999999999999</v>
      </c>
      <c r="J375" s="14">
        <f>'PIVOT TABLES'!$B$27-'PIVOT TABLES'!$B$26</f>
        <v>30.142000000000003</v>
      </c>
      <c r="K375" s="14">
        <f>'PIVOT TABLES'!$B$28-'PIVOT TABLES'!$B$27</f>
        <v>30.141999999999996</v>
      </c>
      <c r="L375" s="14">
        <f>200-SUM(Table3[[#This Row],[D - LIGHT]:[D - VIGOROUS]])</f>
        <v>79.432000000000002</v>
      </c>
      <c r="M375" s="14">
        <f>'PIVOT TABLES'!$I$26</f>
        <v>65.603999999999999</v>
      </c>
      <c r="N375" s="14">
        <f>'PIVOT TABLES'!$I$27-'PIVOT TABLES'!$I$26</f>
        <v>32.802000000000007</v>
      </c>
      <c r="O375" s="14">
        <f>'PIVOT TABLES'!$I$28-'PIVOT TABLES'!$I$27</f>
        <v>32.801999999999992</v>
      </c>
      <c r="P375" s="14">
        <f>200-SUM(Table3[[#This Row],[M - LIGHT]:[M - VIGOROUS]])</f>
        <v>68.792000000000002</v>
      </c>
      <c r="Q375" s="14">
        <f>'PIVOT TABLES'!$P$26</f>
        <v>62.64</v>
      </c>
      <c r="R375" s="14">
        <f>'PIVOT TABLES'!$P$27-'PIVOT TABLES'!$P$26</f>
        <v>31.320000000000007</v>
      </c>
      <c r="S375" s="14">
        <f>'PIVOT TABLES'!$P$28-'PIVOT TABLES'!$P$27</f>
        <v>31.319999999999993</v>
      </c>
      <c r="T375" s="14">
        <f>200-SUM(Table3[[#This Row],[W - LIGHT]:[W - VIGOROUS]])</f>
        <v>74.72</v>
      </c>
      <c r="U375" s="14">
        <f>'PIVOT TABLES'!$W$26</f>
        <v>55.895999999999994</v>
      </c>
      <c r="V375" s="14">
        <f>'PIVOT TABLES'!$W$27-'PIVOT TABLES'!$W$26</f>
        <v>27.948</v>
      </c>
      <c r="W375" s="14">
        <f>'PIVOT TABLES'!$W$28-'PIVOT TABLES'!$W$27</f>
        <v>27.947999999999993</v>
      </c>
      <c r="X375" s="14">
        <f>200-SUM(Table3[[#This Row],[S - LIGHT]:[S - VIGOROUS]])</f>
        <v>88.208000000000013</v>
      </c>
    </row>
    <row r="376" spans="1:24" x14ac:dyDescent="0.25">
      <c r="A376" s="17" t="s">
        <v>71</v>
      </c>
      <c r="B376" s="13" t="str">
        <f t="shared" si="5"/>
        <v>Midfielder</v>
      </c>
      <c r="C376" s="7">
        <v>45307.460787037038</v>
      </c>
      <c r="D376" s="14">
        <v>6276</v>
      </c>
      <c r="E376" s="14">
        <v>90</v>
      </c>
      <c r="F376" s="14">
        <v>30</v>
      </c>
      <c r="G376" s="14">
        <v>25</v>
      </c>
      <c r="H376" s="14">
        <v>67.16</v>
      </c>
      <c r="I376" s="14">
        <f>'PIVOT TABLES'!$B$26</f>
        <v>60.283999999999999</v>
      </c>
      <c r="J376" s="14">
        <f>'PIVOT TABLES'!$B$27-'PIVOT TABLES'!$B$26</f>
        <v>30.142000000000003</v>
      </c>
      <c r="K376" s="14">
        <f>'PIVOT TABLES'!$B$28-'PIVOT TABLES'!$B$27</f>
        <v>30.141999999999996</v>
      </c>
      <c r="L376" s="14">
        <f>200-SUM(Table3[[#This Row],[D - LIGHT]:[D - VIGOROUS]])</f>
        <v>79.432000000000002</v>
      </c>
      <c r="M376" s="14">
        <f>'PIVOT TABLES'!$I$26</f>
        <v>65.603999999999999</v>
      </c>
      <c r="N376" s="14">
        <f>'PIVOT TABLES'!$I$27-'PIVOT TABLES'!$I$26</f>
        <v>32.802000000000007</v>
      </c>
      <c r="O376" s="14">
        <f>'PIVOT TABLES'!$I$28-'PIVOT TABLES'!$I$27</f>
        <v>32.801999999999992</v>
      </c>
      <c r="P376" s="14">
        <f>200-SUM(Table3[[#This Row],[M - LIGHT]:[M - VIGOROUS]])</f>
        <v>68.792000000000002</v>
      </c>
      <c r="Q376" s="14">
        <f>'PIVOT TABLES'!$P$26</f>
        <v>62.64</v>
      </c>
      <c r="R376" s="14">
        <f>'PIVOT TABLES'!$P$27-'PIVOT TABLES'!$P$26</f>
        <v>31.320000000000007</v>
      </c>
      <c r="S376" s="14">
        <f>'PIVOT TABLES'!$P$28-'PIVOT TABLES'!$P$27</f>
        <v>31.319999999999993</v>
      </c>
      <c r="T376" s="14">
        <f>200-SUM(Table3[[#This Row],[W - LIGHT]:[W - VIGOROUS]])</f>
        <v>74.72</v>
      </c>
      <c r="U376" s="14">
        <f>'PIVOT TABLES'!$W$26</f>
        <v>55.895999999999994</v>
      </c>
      <c r="V376" s="14">
        <f>'PIVOT TABLES'!$W$27-'PIVOT TABLES'!$W$26</f>
        <v>27.948</v>
      </c>
      <c r="W376" s="14">
        <f>'PIVOT TABLES'!$W$28-'PIVOT TABLES'!$W$27</f>
        <v>27.947999999999993</v>
      </c>
      <c r="X376" s="14">
        <f>200-SUM(Table3[[#This Row],[S - LIGHT]:[S - VIGOROUS]])</f>
        <v>88.208000000000013</v>
      </c>
    </row>
    <row r="377" spans="1:24" x14ac:dyDescent="0.25">
      <c r="A377" s="17" t="s">
        <v>6</v>
      </c>
      <c r="B377" s="13" t="str">
        <f t="shared" si="5"/>
        <v>Midfielder</v>
      </c>
      <c r="C377" s="7">
        <v>45307.460787037038</v>
      </c>
      <c r="D377" s="14">
        <v>5726</v>
      </c>
      <c r="E377" s="14">
        <v>112</v>
      </c>
      <c r="F377" s="14">
        <v>39</v>
      </c>
      <c r="G377" s="14">
        <v>30</v>
      </c>
      <c r="H377" s="14">
        <v>62.78</v>
      </c>
      <c r="I377" s="14">
        <f>'PIVOT TABLES'!$B$26</f>
        <v>60.283999999999999</v>
      </c>
      <c r="J377" s="14">
        <f>'PIVOT TABLES'!$B$27-'PIVOT TABLES'!$B$26</f>
        <v>30.142000000000003</v>
      </c>
      <c r="K377" s="14">
        <f>'PIVOT TABLES'!$B$28-'PIVOT TABLES'!$B$27</f>
        <v>30.141999999999996</v>
      </c>
      <c r="L377" s="14">
        <f>200-SUM(Table3[[#This Row],[D - LIGHT]:[D - VIGOROUS]])</f>
        <v>79.432000000000002</v>
      </c>
      <c r="M377" s="14">
        <f>'PIVOT TABLES'!$I$26</f>
        <v>65.603999999999999</v>
      </c>
      <c r="N377" s="14">
        <f>'PIVOT TABLES'!$I$27-'PIVOT TABLES'!$I$26</f>
        <v>32.802000000000007</v>
      </c>
      <c r="O377" s="14">
        <f>'PIVOT TABLES'!$I$28-'PIVOT TABLES'!$I$27</f>
        <v>32.801999999999992</v>
      </c>
      <c r="P377" s="14">
        <f>200-SUM(Table3[[#This Row],[M - LIGHT]:[M - VIGOROUS]])</f>
        <v>68.792000000000002</v>
      </c>
      <c r="Q377" s="14">
        <f>'PIVOT TABLES'!$P$26</f>
        <v>62.64</v>
      </c>
      <c r="R377" s="14">
        <f>'PIVOT TABLES'!$P$27-'PIVOT TABLES'!$P$26</f>
        <v>31.320000000000007</v>
      </c>
      <c r="S377" s="14">
        <f>'PIVOT TABLES'!$P$28-'PIVOT TABLES'!$P$27</f>
        <v>31.319999999999993</v>
      </c>
      <c r="T377" s="14">
        <f>200-SUM(Table3[[#This Row],[W - LIGHT]:[W - VIGOROUS]])</f>
        <v>74.72</v>
      </c>
      <c r="U377" s="14">
        <f>'PIVOT TABLES'!$W$26</f>
        <v>55.895999999999994</v>
      </c>
      <c r="V377" s="14">
        <f>'PIVOT TABLES'!$W$27-'PIVOT TABLES'!$W$26</f>
        <v>27.948</v>
      </c>
      <c r="W377" s="14">
        <f>'PIVOT TABLES'!$W$28-'PIVOT TABLES'!$W$27</f>
        <v>27.947999999999993</v>
      </c>
      <c r="X377" s="14">
        <f>200-SUM(Table3[[#This Row],[S - LIGHT]:[S - VIGOROUS]])</f>
        <v>88.208000000000013</v>
      </c>
    </row>
    <row r="378" spans="1:24" x14ac:dyDescent="0.25">
      <c r="A378" s="17" t="s">
        <v>62</v>
      </c>
      <c r="B378" s="13" t="str">
        <f t="shared" si="5"/>
        <v>Midfielder</v>
      </c>
      <c r="C378" s="7">
        <v>45307.460787037038</v>
      </c>
      <c r="D378" s="14">
        <v>5448</v>
      </c>
      <c r="E378" s="14">
        <v>48</v>
      </c>
      <c r="F378" s="14">
        <v>11</v>
      </c>
      <c r="G378" s="14">
        <v>7</v>
      </c>
      <c r="H378" s="14">
        <v>56.5</v>
      </c>
      <c r="I378" s="14">
        <f>'PIVOT TABLES'!$B$26</f>
        <v>60.283999999999999</v>
      </c>
      <c r="J378" s="14">
        <f>'PIVOT TABLES'!$B$27-'PIVOT TABLES'!$B$26</f>
        <v>30.142000000000003</v>
      </c>
      <c r="K378" s="14">
        <f>'PIVOT TABLES'!$B$28-'PIVOT TABLES'!$B$27</f>
        <v>30.141999999999996</v>
      </c>
      <c r="L378" s="14">
        <f>200-SUM(Table3[[#This Row],[D - LIGHT]:[D - VIGOROUS]])</f>
        <v>79.432000000000002</v>
      </c>
      <c r="M378" s="14">
        <f>'PIVOT TABLES'!$I$26</f>
        <v>65.603999999999999</v>
      </c>
      <c r="N378" s="14">
        <f>'PIVOT TABLES'!$I$27-'PIVOT TABLES'!$I$26</f>
        <v>32.802000000000007</v>
      </c>
      <c r="O378" s="14">
        <f>'PIVOT TABLES'!$I$28-'PIVOT TABLES'!$I$27</f>
        <v>32.801999999999992</v>
      </c>
      <c r="P378" s="14">
        <f>200-SUM(Table3[[#This Row],[M - LIGHT]:[M - VIGOROUS]])</f>
        <v>68.792000000000002</v>
      </c>
      <c r="Q378" s="14">
        <f>'PIVOT TABLES'!$P$26</f>
        <v>62.64</v>
      </c>
      <c r="R378" s="14">
        <f>'PIVOT TABLES'!$P$27-'PIVOT TABLES'!$P$26</f>
        <v>31.320000000000007</v>
      </c>
      <c r="S378" s="14">
        <f>'PIVOT TABLES'!$P$28-'PIVOT TABLES'!$P$27</f>
        <v>31.319999999999993</v>
      </c>
      <c r="T378" s="14">
        <f>200-SUM(Table3[[#This Row],[W - LIGHT]:[W - VIGOROUS]])</f>
        <v>74.72</v>
      </c>
      <c r="U378" s="14">
        <f>'PIVOT TABLES'!$W$26</f>
        <v>55.895999999999994</v>
      </c>
      <c r="V378" s="14">
        <f>'PIVOT TABLES'!$W$27-'PIVOT TABLES'!$W$26</f>
        <v>27.948</v>
      </c>
      <c r="W378" s="14">
        <f>'PIVOT TABLES'!$W$28-'PIVOT TABLES'!$W$27</f>
        <v>27.947999999999993</v>
      </c>
      <c r="X378" s="14">
        <f>200-SUM(Table3[[#This Row],[S - LIGHT]:[S - VIGOROUS]])</f>
        <v>88.208000000000013</v>
      </c>
    </row>
    <row r="379" spans="1:24" x14ac:dyDescent="0.25">
      <c r="A379" s="17" t="s">
        <v>64</v>
      </c>
      <c r="B379" s="13" t="str">
        <f t="shared" si="5"/>
        <v>Midfielder</v>
      </c>
      <c r="C379" s="7">
        <v>45307.460787037038</v>
      </c>
      <c r="D379" s="14">
        <v>5865</v>
      </c>
      <c r="E379" s="14">
        <v>55</v>
      </c>
      <c r="F379" s="14">
        <v>21</v>
      </c>
      <c r="G379" s="14">
        <v>22</v>
      </c>
      <c r="H379" s="14">
        <v>61.58</v>
      </c>
      <c r="I379" s="14">
        <f>'PIVOT TABLES'!$B$26</f>
        <v>60.283999999999999</v>
      </c>
      <c r="J379" s="14">
        <f>'PIVOT TABLES'!$B$27-'PIVOT TABLES'!$B$26</f>
        <v>30.142000000000003</v>
      </c>
      <c r="K379" s="14">
        <f>'PIVOT TABLES'!$B$28-'PIVOT TABLES'!$B$27</f>
        <v>30.141999999999996</v>
      </c>
      <c r="L379" s="14">
        <f>200-SUM(Table3[[#This Row],[D - LIGHT]:[D - VIGOROUS]])</f>
        <v>79.432000000000002</v>
      </c>
      <c r="M379" s="14">
        <f>'PIVOT TABLES'!$I$26</f>
        <v>65.603999999999999</v>
      </c>
      <c r="N379" s="14">
        <f>'PIVOT TABLES'!$I$27-'PIVOT TABLES'!$I$26</f>
        <v>32.802000000000007</v>
      </c>
      <c r="O379" s="14">
        <f>'PIVOT TABLES'!$I$28-'PIVOT TABLES'!$I$27</f>
        <v>32.801999999999992</v>
      </c>
      <c r="P379" s="14">
        <f>200-SUM(Table3[[#This Row],[M - LIGHT]:[M - VIGOROUS]])</f>
        <v>68.792000000000002</v>
      </c>
      <c r="Q379" s="14">
        <f>'PIVOT TABLES'!$P$26</f>
        <v>62.64</v>
      </c>
      <c r="R379" s="14">
        <f>'PIVOT TABLES'!$P$27-'PIVOT TABLES'!$P$26</f>
        <v>31.320000000000007</v>
      </c>
      <c r="S379" s="14">
        <f>'PIVOT TABLES'!$P$28-'PIVOT TABLES'!$P$27</f>
        <v>31.319999999999993</v>
      </c>
      <c r="T379" s="14">
        <f>200-SUM(Table3[[#This Row],[W - LIGHT]:[W - VIGOROUS]])</f>
        <v>74.72</v>
      </c>
      <c r="U379" s="14">
        <f>'PIVOT TABLES'!$W$26</f>
        <v>55.895999999999994</v>
      </c>
      <c r="V379" s="14">
        <f>'PIVOT TABLES'!$W$27-'PIVOT TABLES'!$W$26</f>
        <v>27.948</v>
      </c>
      <c r="W379" s="14">
        <f>'PIVOT TABLES'!$W$28-'PIVOT TABLES'!$W$27</f>
        <v>27.947999999999993</v>
      </c>
      <c r="X379" s="14">
        <f>200-SUM(Table3[[#This Row],[S - LIGHT]:[S - VIGOROUS]])</f>
        <v>88.208000000000013</v>
      </c>
    </row>
    <row r="380" spans="1:24" x14ac:dyDescent="0.25">
      <c r="A380" s="17" t="s">
        <v>77</v>
      </c>
      <c r="B380" s="13" t="str">
        <f t="shared" si="5"/>
        <v>Defender</v>
      </c>
      <c r="C380" s="7">
        <v>45307.460787037038</v>
      </c>
      <c r="D380" s="14">
        <v>5287</v>
      </c>
      <c r="E380" s="14">
        <v>47</v>
      </c>
      <c r="F380" s="14">
        <v>28</v>
      </c>
      <c r="G380" s="14">
        <v>21</v>
      </c>
      <c r="H380" s="14">
        <v>55.82</v>
      </c>
      <c r="I380" s="14">
        <f>'PIVOT TABLES'!$B$26</f>
        <v>60.283999999999999</v>
      </c>
      <c r="J380" s="14">
        <f>'PIVOT TABLES'!$B$27-'PIVOT TABLES'!$B$26</f>
        <v>30.142000000000003</v>
      </c>
      <c r="K380" s="14">
        <f>'PIVOT TABLES'!$B$28-'PIVOT TABLES'!$B$27</f>
        <v>30.141999999999996</v>
      </c>
      <c r="L380" s="14">
        <f>200-SUM(Table3[[#This Row],[D - LIGHT]:[D - VIGOROUS]])</f>
        <v>79.432000000000002</v>
      </c>
      <c r="M380" s="14">
        <f>'PIVOT TABLES'!$I$26</f>
        <v>65.603999999999999</v>
      </c>
      <c r="N380" s="14">
        <f>'PIVOT TABLES'!$I$27-'PIVOT TABLES'!$I$26</f>
        <v>32.802000000000007</v>
      </c>
      <c r="O380" s="14">
        <f>'PIVOT TABLES'!$I$28-'PIVOT TABLES'!$I$27</f>
        <v>32.801999999999992</v>
      </c>
      <c r="P380" s="14">
        <f>200-SUM(Table3[[#This Row],[M - LIGHT]:[M - VIGOROUS]])</f>
        <v>68.792000000000002</v>
      </c>
      <c r="Q380" s="14">
        <f>'PIVOT TABLES'!$P$26</f>
        <v>62.64</v>
      </c>
      <c r="R380" s="14">
        <f>'PIVOT TABLES'!$P$27-'PIVOT TABLES'!$P$26</f>
        <v>31.320000000000007</v>
      </c>
      <c r="S380" s="14">
        <f>'PIVOT TABLES'!$P$28-'PIVOT TABLES'!$P$27</f>
        <v>31.319999999999993</v>
      </c>
      <c r="T380" s="14">
        <f>200-SUM(Table3[[#This Row],[W - LIGHT]:[W - VIGOROUS]])</f>
        <v>74.72</v>
      </c>
      <c r="U380" s="14">
        <f>'PIVOT TABLES'!$W$26</f>
        <v>55.895999999999994</v>
      </c>
      <c r="V380" s="14">
        <f>'PIVOT TABLES'!$W$27-'PIVOT TABLES'!$W$26</f>
        <v>27.948</v>
      </c>
      <c r="W380" s="14">
        <f>'PIVOT TABLES'!$W$28-'PIVOT TABLES'!$W$27</f>
        <v>27.947999999999993</v>
      </c>
      <c r="X380" s="14">
        <f>200-SUM(Table3[[#This Row],[S - LIGHT]:[S - VIGOROUS]])</f>
        <v>88.208000000000013</v>
      </c>
    </row>
    <row r="381" spans="1:24" x14ac:dyDescent="0.25">
      <c r="A381" s="17" t="s">
        <v>66</v>
      </c>
      <c r="B381" s="13" t="str">
        <f t="shared" si="5"/>
        <v>Striker</v>
      </c>
      <c r="C381" s="7">
        <v>45307.460787037038</v>
      </c>
      <c r="D381" s="14">
        <v>5439</v>
      </c>
      <c r="E381" s="14">
        <v>65</v>
      </c>
      <c r="F381" s="14">
        <v>20</v>
      </c>
      <c r="G381" s="14">
        <v>14</v>
      </c>
      <c r="H381" s="14">
        <v>57.42</v>
      </c>
      <c r="I381" s="14">
        <f>'PIVOT TABLES'!$B$26</f>
        <v>60.283999999999999</v>
      </c>
      <c r="J381" s="14">
        <f>'PIVOT TABLES'!$B$27-'PIVOT TABLES'!$B$26</f>
        <v>30.142000000000003</v>
      </c>
      <c r="K381" s="14">
        <f>'PIVOT TABLES'!$B$28-'PIVOT TABLES'!$B$27</f>
        <v>30.141999999999996</v>
      </c>
      <c r="L381" s="14">
        <f>200-SUM(Table3[[#This Row],[D - LIGHT]:[D - VIGOROUS]])</f>
        <v>79.432000000000002</v>
      </c>
      <c r="M381" s="14">
        <f>'PIVOT TABLES'!$I$26</f>
        <v>65.603999999999999</v>
      </c>
      <c r="N381" s="14">
        <f>'PIVOT TABLES'!$I$27-'PIVOT TABLES'!$I$26</f>
        <v>32.802000000000007</v>
      </c>
      <c r="O381" s="14">
        <f>'PIVOT TABLES'!$I$28-'PIVOT TABLES'!$I$27</f>
        <v>32.801999999999992</v>
      </c>
      <c r="P381" s="14">
        <f>200-SUM(Table3[[#This Row],[M - LIGHT]:[M - VIGOROUS]])</f>
        <v>68.792000000000002</v>
      </c>
      <c r="Q381" s="14">
        <f>'PIVOT TABLES'!$P$26</f>
        <v>62.64</v>
      </c>
      <c r="R381" s="14">
        <f>'PIVOT TABLES'!$P$27-'PIVOT TABLES'!$P$26</f>
        <v>31.320000000000007</v>
      </c>
      <c r="S381" s="14">
        <f>'PIVOT TABLES'!$P$28-'PIVOT TABLES'!$P$27</f>
        <v>31.319999999999993</v>
      </c>
      <c r="T381" s="14">
        <f>200-SUM(Table3[[#This Row],[W - LIGHT]:[W - VIGOROUS]])</f>
        <v>74.72</v>
      </c>
      <c r="U381" s="14">
        <f>'PIVOT TABLES'!$W$26</f>
        <v>55.895999999999994</v>
      </c>
      <c r="V381" s="14">
        <f>'PIVOT TABLES'!$W$27-'PIVOT TABLES'!$W$26</f>
        <v>27.948</v>
      </c>
      <c r="W381" s="14">
        <f>'PIVOT TABLES'!$W$28-'PIVOT TABLES'!$W$27</f>
        <v>27.947999999999993</v>
      </c>
      <c r="X381" s="14">
        <f>200-SUM(Table3[[#This Row],[S - LIGHT]:[S - VIGOROUS]])</f>
        <v>88.208000000000013</v>
      </c>
    </row>
    <row r="382" spans="1:24" x14ac:dyDescent="0.25">
      <c r="A382" s="17" t="s">
        <v>78</v>
      </c>
      <c r="B382" s="13" t="str">
        <f t="shared" si="5"/>
        <v>Defender</v>
      </c>
      <c r="C382" s="7">
        <v>45307.460787037038</v>
      </c>
      <c r="D382" s="14">
        <v>5568</v>
      </c>
      <c r="E382" s="14">
        <v>104</v>
      </c>
      <c r="F382" s="14">
        <v>26</v>
      </c>
      <c r="G382" s="14">
        <v>27</v>
      </c>
      <c r="H382" s="14">
        <v>60.38</v>
      </c>
      <c r="I382" s="14">
        <f>'PIVOT TABLES'!$B$26</f>
        <v>60.283999999999999</v>
      </c>
      <c r="J382" s="14">
        <f>'PIVOT TABLES'!$B$27-'PIVOT TABLES'!$B$26</f>
        <v>30.142000000000003</v>
      </c>
      <c r="K382" s="14">
        <f>'PIVOT TABLES'!$B$28-'PIVOT TABLES'!$B$27</f>
        <v>30.141999999999996</v>
      </c>
      <c r="L382" s="14">
        <f>200-SUM(Table3[[#This Row],[D - LIGHT]:[D - VIGOROUS]])</f>
        <v>79.432000000000002</v>
      </c>
      <c r="M382" s="14">
        <f>'PIVOT TABLES'!$I$26</f>
        <v>65.603999999999999</v>
      </c>
      <c r="N382" s="14">
        <f>'PIVOT TABLES'!$I$27-'PIVOT TABLES'!$I$26</f>
        <v>32.802000000000007</v>
      </c>
      <c r="O382" s="14">
        <f>'PIVOT TABLES'!$I$28-'PIVOT TABLES'!$I$27</f>
        <v>32.801999999999992</v>
      </c>
      <c r="P382" s="14">
        <f>200-SUM(Table3[[#This Row],[M - LIGHT]:[M - VIGOROUS]])</f>
        <v>68.792000000000002</v>
      </c>
      <c r="Q382" s="14">
        <f>'PIVOT TABLES'!$P$26</f>
        <v>62.64</v>
      </c>
      <c r="R382" s="14">
        <f>'PIVOT TABLES'!$P$27-'PIVOT TABLES'!$P$26</f>
        <v>31.320000000000007</v>
      </c>
      <c r="S382" s="14">
        <f>'PIVOT TABLES'!$P$28-'PIVOT TABLES'!$P$27</f>
        <v>31.319999999999993</v>
      </c>
      <c r="T382" s="14">
        <f>200-SUM(Table3[[#This Row],[W - LIGHT]:[W - VIGOROUS]])</f>
        <v>74.72</v>
      </c>
      <c r="U382" s="14">
        <f>'PIVOT TABLES'!$W$26</f>
        <v>55.895999999999994</v>
      </c>
      <c r="V382" s="14">
        <f>'PIVOT TABLES'!$W$27-'PIVOT TABLES'!$W$26</f>
        <v>27.948</v>
      </c>
      <c r="W382" s="14">
        <f>'PIVOT TABLES'!$W$28-'PIVOT TABLES'!$W$27</f>
        <v>27.947999999999993</v>
      </c>
      <c r="X382" s="14">
        <f>200-SUM(Table3[[#This Row],[S - LIGHT]:[S - VIGOROUS]])</f>
        <v>88.208000000000013</v>
      </c>
    </row>
    <row r="383" spans="1:24" x14ac:dyDescent="0.25">
      <c r="A383" s="17" t="s">
        <v>7</v>
      </c>
      <c r="B383" s="13" t="str">
        <f t="shared" si="5"/>
        <v>Winger</v>
      </c>
      <c r="C383" s="7">
        <v>45307.460787037038</v>
      </c>
      <c r="D383" s="14">
        <v>5863</v>
      </c>
      <c r="E383" s="14">
        <v>141</v>
      </c>
      <c r="F383" s="14">
        <v>30</v>
      </c>
      <c r="G383" s="14">
        <v>20</v>
      </c>
      <c r="H383" s="14">
        <v>64.459999999999994</v>
      </c>
      <c r="I383" s="14">
        <f>'PIVOT TABLES'!$B$26</f>
        <v>60.283999999999999</v>
      </c>
      <c r="J383" s="14">
        <f>'PIVOT TABLES'!$B$27-'PIVOT TABLES'!$B$26</f>
        <v>30.142000000000003</v>
      </c>
      <c r="K383" s="14">
        <f>'PIVOT TABLES'!$B$28-'PIVOT TABLES'!$B$27</f>
        <v>30.141999999999996</v>
      </c>
      <c r="L383" s="14">
        <f>200-SUM(Table3[[#This Row],[D - LIGHT]:[D - VIGOROUS]])</f>
        <v>79.432000000000002</v>
      </c>
      <c r="M383" s="14">
        <f>'PIVOT TABLES'!$I$26</f>
        <v>65.603999999999999</v>
      </c>
      <c r="N383" s="14">
        <f>'PIVOT TABLES'!$I$27-'PIVOT TABLES'!$I$26</f>
        <v>32.802000000000007</v>
      </c>
      <c r="O383" s="14">
        <f>'PIVOT TABLES'!$I$28-'PIVOT TABLES'!$I$27</f>
        <v>32.801999999999992</v>
      </c>
      <c r="P383" s="14">
        <f>200-SUM(Table3[[#This Row],[M - LIGHT]:[M - VIGOROUS]])</f>
        <v>68.792000000000002</v>
      </c>
      <c r="Q383" s="14">
        <f>'PIVOT TABLES'!$P$26</f>
        <v>62.64</v>
      </c>
      <c r="R383" s="14">
        <f>'PIVOT TABLES'!$P$27-'PIVOT TABLES'!$P$26</f>
        <v>31.320000000000007</v>
      </c>
      <c r="S383" s="14">
        <f>'PIVOT TABLES'!$P$28-'PIVOT TABLES'!$P$27</f>
        <v>31.319999999999993</v>
      </c>
      <c r="T383" s="14">
        <f>200-SUM(Table3[[#This Row],[W - LIGHT]:[W - VIGOROUS]])</f>
        <v>74.72</v>
      </c>
      <c r="U383" s="14">
        <f>'PIVOT TABLES'!$W$26</f>
        <v>55.895999999999994</v>
      </c>
      <c r="V383" s="14">
        <f>'PIVOT TABLES'!$W$27-'PIVOT TABLES'!$W$26</f>
        <v>27.948</v>
      </c>
      <c r="W383" s="14">
        <f>'PIVOT TABLES'!$W$28-'PIVOT TABLES'!$W$27</f>
        <v>27.947999999999993</v>
      </c>
      <c r="X383" s="14">
        <f>200-SUM(Table3[[#This Row],[S - LIGHT]:[S - VIGOROUS]])</f>
        <v>88.208000000000013</v>
      </c>
    </row>
    <row r="384" spans="1:24" x14ac:dyDescent="0.25">
      <c r="A384" s="17" t="s">
        <v>95</v>
      </c>
      <c r="B384" s="13" t="str">
        <f t="shared" si="5"/>
        <v>Winger</v>
      </c>
      <c r="C384" s="7">
        <v>45307.460787037038</v>
      </c>
      <c r="D384" s="14">
        <v>5575</v>
      </c>
      <c r="E384" s="14">
        <v>53</v>
      </c>
      <c r="F384" s="14">
        <v>14</v>
      </c>
      <c r="G384" s="14">
        <v>15</v>
      </c>
      <c r="H384" s="14">
        <v>58.2</v>
      </c>
      <c r="I384" s="14">
        <f>'PIVOT TABLES'!$B$26</f>
        <v>60.283999999999999</v>
      </c>
      <c r="J384" s="14">
        <f>'PIVOT TABLES'!$B$27-'PIVOT TABLES'!$B$26</f>
        <v>30.142000000000003</v>
      </c>
      <c r="K384" s="14">
        <f>'PIVOT TABLES'!$B$28-'PIVOT TABLES'!$B$27</f>
        <v>30.141999999999996</v>
      </c>
      <c r="L384" s="14">
        <f>200-SUM(Table3[[#This Row],[D - LIGHT]:[D - VIGOROUS]])</f>
        <v>79.432000000000002</v>
      </c>
      <c r="M384" s="14">
        <f>'PIVOT TABLES'!$I$26</f>
        <v>65.603999999999999</v>
      </c>
      <c r="N384" s="14">
        <f>'PIVOT TABLES'!$I$27-'PIVOT TABLES'!$I$26</f>
        <v>32.802000000000007</v>
      </c>
      <c r="O384" s="14">
        <f>'PIVOT TABLES'!$I$28-'PIVOT TABLES'!$I$27</f>
        <v>32.801999999999992</v>
      </c>
      <c r="P384" s="14">
        <f>200-SUM(Table3[[#This Row],[M - LIGHT]:[M - VIGOROUS]])</f>
        <v>68.792000000000002</v>
      </c>
      <c r="Q384" s="14">
        <f>'PIVOT TABLES'!$P$26</f>
        <v>62.64</v>
      </c>
      <c r="R384" s="14">
        <f>'PIVOT TABLES'!$P$27-'PIVOT TABLES'!$P$26</f>
        <v>31.320000000000007</v>
      </c>
      <c r="S384" s="14">
        <f>'PIVOT TABLES'!$P$28-'PIVOT TABLES'!$P$27</f>
        <v>31.319999999999993</v>
      </c>
      <c r="T384" s="14">
        <f>200-SUM(Table3[[#This Row],[W - LIGHT]:[W - VIGOROUS]])</f>
        <v>74.72</v>
      </c>
      <c r="U384" s="14">
        <f>'PIVOT TABLES'!$W$26</f>
        <v>55.895999999999994</v>
      </c>
      <c r="V384" s="14">
        <f>'PIVOT TABLES'!$W$27-'PIVOT TABLES'!$W$26</f>
        <v>27.948</v>
      </c>
      <c r="W384" s="14">
        <f>'PIVOT TABLES'!$W$28-'PIVOT TABLES'!$W$27</f>
        <v>27.947999999999993</v>
      </c>
      <c r="X384" s="14">
        <f>200-SUM(Table3[[#This Row],[S - LIGHT]:[S - VIGOROUS]])</f>
        <v>88.208000000000013</v>
      </c>
    </row>
    <row r="385" spans="1:24" x14ac:dyDescent="0.25">
      <c r="A385" s="17" t="s">
        <v>96</v>
      </c>
      <c r="B385" s="13" t="str">
        <f t="shared" si="5"/>
        <v>Winger</v>
      </c>
      <c r="C385" s="7">
        <v>45307.460787037038</v>
      </c>
      <c r="D385" s="14">
        <v>5416</v>
      </c>
      <c r="E385" s="14">
        <v>2</v>
      </c>
      <c r="F385" s="14">
        <v>15</v>
      </c>
      <c r="G385" s="14">
        <v>18</v>
      </c>
      <c r="H385" s="14">
        <v>55.18</v>
      </c>
      <c r="I385" s="14">
        <f>'PIVOT TABLES'!$B$26</f>
        <v>60.283999999999999</v>
      </c>
      <c r="J385" s="14">
        <f>'PIVOT TABLES'!$B$27-'PIVOT TABLES'!$B$26</f>
        <v>30.142000000000003</v>
      </c>
      <c r="K385" s="14">
        <f>'PIVOT TABLES'!$B$28-'PIVOT TABLES'!$B$27</f>
        <v>30.141999999999996</v>
      </c>
      <c r="L385" s="14">
        <f>200-SUM(Table3[[#This Row],[D - LIGHT]:[D - VIGOROUS]])</f>
        <v>79.432000000000002</v>
      </c>
      <c r="M385" s="14">
        <f>'PIVOT TABLES'!$I$26</f>
        <v>65.603999999999999</v>
      </c>
      <c r="N385" s="14">
        <f>'PIVOT TABLES'!$I$27-'PIVOT TABLES'!$I$26</f>
        <v>32.802000000000007</v>
      </c>
      <c r="O385" s="14">
        <f>'PIVOT TABLES'!$I$28-'PIVOT TABLES'!$I$27</f>
        <v>32.801999999999992</v>
      </c>
      <c r="P385" s="14">
        <f>200-SUM(Table3[[#This Row],[M - LIGHT]:[M - VIGOROUS]])</f>
        <v>68.792000000000002</v>
      </c>
      <c r="Q385" s="14">
        <f>'PIVOT TABLES'!$P$26</f>
        <v>62.64</v>
      </c>
      <c r="R385" s="14">
        <f>'PIVOT TABLES'!$P$27-'PIVOT TABLES'!$P$26</f>
        <v>31.320000000000007</v>
      </c>
      <c r="S385" s="14">
        <f>'PIVOT TABLES'!$P$28-'PIVOT TABLES'!$P$27</f>
        <v>31.319999999999993</v>
      </c>
      <c r="T385" s="14">
        <f>200-SUM(Table3[[#This Row],[W - LIGHT]:[W - VIGOROUS]])</f>
        <v>74.72</v>
      </c>
      <c r="U385" s="14">
        <f>'PIVOT TABLES'!$W$26</f>
        <v>55.895999999999994</v>
      </c>
      <c r="V385" s="14">
        <f>'PIVOT TABLES'!$W$27-'PIVOT TABLES'!$W$26</f>
        <v>27.948</v>
      </c>
      <c r="W385" s="14">
        <f>'PIVOT TABLES'!$W$28-'PIVOT TABLES'!$W$27</f>
        <v>27.947999999999993</v>
      </c>
      <c r="X385" s="14">
        <f>200-SUM(Table3[[#This Row],[S - LIGHT]:[S - VIGOROUS]])</f>
        <v>88.208000000000013</v>
      </c>
    </row>
    <row r="386" spans="1:24" x14ac:dyDescent="0.25">
      <c r="A386" s="17" t="s">
        <v>8</v>
      </c>
      <c r="B386" s="13" t="str">
        <f t="shared" si="5"/>
        <v>Striker</v>
      </c>
      <c r="C386" s="7">
        <v>45307.460787037038</v>
      </c>
      <c r="D386" s="14">
        <v>4956</v>
      </c>
      <c r="E386" s="14">
        <v>167</v>
      </c>
      <c r="F386" s="14">
        <v>30</v>
      </c>
      <c r="G386" s="14">
        <v>32</v>
      </c>
      <c r="H386" s="14">
        <v>56.41</v>
      </c>
      <c r="I386" s="14">
        <f>'PIVOT TABLES'!$B$26</f>
        <v>60.283999999999999</v>
      </c>
      <c r="J386" s="14">
        <f>'PIVOT TABLES'!$B$27-'PIVOT TABLES'!$B$26</f>
        <v>30.142000000000003</v>
      </c>
      <c r="K386" s="14">
        <f>'PIVOT TABLES'!$B$28-'PIVOT TABLES'!$B$27</f>
        <v>30.141999999999996</v>
      </c>
      <c r="L386" s="14">
        <f>200-SUM(Table3[[#This Row],[D - LIGHT]:[D - VIGOROUS]])</f>
        <v>79.432000000000002</v>
      </c>
      <c r="M386" s="14">
        <f>'PIVOT TABLES'!$I$26</f>
        <v>65.603999999999999</v>
      </c>
      <c r="N386" s="14">
        <f>'PIVOT TABLES'!$I$27-'PIVOT TABLES'!$I$26</f>
        <v>32.802000000000007</v>
      </c>
      <c r="O386" s="14">
        <f>'PIVOT TABLES'!$I$28-'PIVOT TABLES'!$I$27</f>
        <v>32.801999999999992</v>
      </c>
      <c r="P386" s="14">
        <f>200-SUM(Table3[[#This Row],[M - LIGHT]:[M - VIGOROUS]])</f>
        <v>68.792000000000002</v>
      </c>
      <c r="Q386" s="14">
        <f>'PIVOT TABLES'!$P$26</f>
        <v>62.64</v>
      </c>
      <c r="R386" s="14">
        <f>'PIVOT TABLES'!$P$27-'PIVOT TABLES'!$P$26</f>
        <v>31.320000000000007</v>
      </c>
      <c r="S386" s="14">
        <f>'PIVOT TABLES'!$P$28-'PIVOT TABLES'!$P$27</f>
        <v>31.319999999999993</v>
      </c>
      <c r="T386" s="14">
        <f>200-SUM(Table3[[#This Row],[W - LIGHT]:[W - VIGOROUS]])</f>
        <v>74.72</v>
      </c>
      <c r="U386" s="14">
        <f>'PIVOT TABLES'!$W$26</f>
        <v>55.895999999999994</v>
      </c>
      <c r="V386" s="14">
        <f>'PIVOT TABLES'!$W$27-'PIVOT TABLES'!$W$26</f>
        <v>27.948</v>
      </c>
      <c r="W386" s="14">
        <f>'PIVOT TABLES'!$W$28-'PIVOT TABLES'!$W$27</f>
        <v>27.947999999999993</v>
      </c>
      <c r="X386" s="14">
        <f>200-SUM(Table3[[#This Row],[S - LIGHT]:[S - VIGOROUS]])</f>
        <v>88.208000000000013</v>
      </c>
    </row>
    <row r="387" spans="1:24" x14ac:dyDescent="0.25">
      <c r="A387" s="17" t="s">
        <v>67</v>
      </c>
      <c r="B387" s="13" t="str">
        <f t="shared" ref="B387:B450" si="6">IF(A387="Sihle Gum","Defender",IF(A387="Kenny Langa","Defender",IF(A387="Tshepang Makara","Defender",IF(A387="Tshepiso Mahlangu","Defender",IF(A387="Neo Ramashala","Defender",IF(A387="Keabetswe Nkogatse","Defender",IF(A387="Kaketso Harold Majadibodu","Defender",IF(A387="Samuel Julies","Midfielder",IF(A387="Frank Mpedi","Midfielder",IF(A387="Sapholwethu Kelepu","Midfielder",IF(A387="Manelisi Sithole","Midfielder",IF(A387="Thabiso Mokoena","Midfielder",IF(A387="Khomotso Marebane","Midfielder",IF(A387="Tebogo Mohlamonyane","Midfielder",IF(A387="Thulani Zandamela","Midfielder",IF(A387="Mdevulana Camagu","Midfielder",IF(A387="Promise Mkhuma","Midfielder",IF(A387="Essien Makwarimba","Midfielder",IF(A387="Ayanda Mvambi","Winger",IF(A387="Delano Abrahams","Winger",IF(A387="Thokozani Sekotlong","Winger",IF(A387="Maselaelo Seanego","Winger",IF(A387="Lesedi Motha","Winger",IF(A387="Malekgene Mampuru","Winger",IF(A387="Matome Rangata","Winger",IF(A387="Thabang Sibanyoni","Striker",IF(A387="Tebogo Makungo","Striker",IF(A387="Neo Dikgale","Striker",IF(A387="Kamohelo Pheeane","Striker",IF(A387="Athenkosi Tonisi","Striker",IF(A387="Jesse Francis","Striker","####")))))))))))))))))))))))))))))))</f>
        <v>Midfielder</v>
      </c>
      <c r="C387" s="7">
        <v>45307.460787037038</v>
      </c>
      <c r="D387" s="14">
        <v>6292</v>
      </c>
      <c r="E387" s="14">
        <v>33</v>
      </c>
      <c r="F387" s="14">
        <v>35</v>
      </c>
      <c r="G387" s="14">
        <v>20</v>
      </c>
      <c r="H387" s="14">
        <v>65.709999999999994</v>
      </c>
      <c r="I387" s="14">
        <f>'PIVOT TABLES'!$B$26</f>
        <v>60.283999999999999</v>
      </c>
      <c r="J387" s="14">
        <f>'PIVOT TABLES'!$B$27-'PIVOT TABLES'!$B$26</f>
        <v>30.142000000000003</v>
      </c>
      <c r="K387" s="14">
        <f>'PIVOT TABLES'!$B$28-'PIVOT TABLES'!$B$27</f>
        <v>30.141999999999996</v>
      </c>
      <c r="L387" s="14">
        <f>200-SUM(Table3[[#This Row],[D - LIGHT]:[D - VIGOROUS]])</f>
        <v>79.432000000000002</v>
      </c>
      <c r="M387" s="14">
        <f>'PIVOT TABLES'!$I$26</f>
        <v>65.603999999999999</v>
      </c>
      <c r="N387" s="14">
        <f>'PIVOT TABLES'!$I$27-'PIVOT TABLES'!$I$26</f>
        <v>32.802000000000007</v>
      </c>
      <c r="O387" s="14">
        <f>'PIVOT TABLES'!$I$28-'PIVOT TABLES'!$I$27</f>
        <v>32.801999999999992</v>
      </c>
      <c r="P387" s="14">
        <f>200-SUM(Table3[[#This Row],[M - LIGHT]:[M - VIGOROUS]])</f>
        <v>68.792000000000002</v>
      </c>
      <c r="Q387" s="14">
        <f>'PIVOT TABLES'!$P$26</f>
        <v>62.64</v>
      </c>
      <c r="R387" s="14">
        <f>'PIVOT TABLES'!$P$27-'PIVOT TABLES'!$P$26</f>
        <v>31.320000000000007</v>
      </c>
      <c r="S387" s="14">
        <f>'PIVOT TABLES'!$P$28-'PIVOT TABLES'!$P$27</f>
        <v>31.319999999999993</v>
      </c>
      <c r="T387" s="14">
        <f>200-SUM(Table3[[#This Row],[W - LIGHT]:[W - VIGOROUS]])</f>
        <v>74.72</v>
      </c>
      <c r="U387" s="14">
        <f>'PIVOT TABLES'!$W$26</f>
        <v>55.895999999999994</v>
      </c>
      <c r="V387" s="14">
        <f>'PIVOT TABLES'!$W$27-'PIVOT TABLES'!$W$26</f>
        <v>27.948</v>
      </c>
      <c r="W387" s="14">
        <f>'PIVOT TABLES'!$W$28-'PIVOT TABLES'!$W$27</f>
        <v>27.947999999999993</v>
      </c>
      <c r="X387" s="14">
        <f>200-SUM(Table3[[#This Row],[S - LIGHT]:[S - VIGOROUS]])</f>
        <v>88.208000000000013</v>
      </c>
    </row>
    <row r="388" spans="1:24" x14ac:dyDescent="0.25">
      <c r="A388" s="17" t="s">
        <v>69</v>
      </c>
      <c r="B388" s="13" t="str">
        <f t="shared" si="6"/>
        <v>Midfielder</v>
      </c>
      <c r="C388" s="7">
        <v>45307.460787037038</v>
      </c>
      <c r="D388" s="14">
        <v>5767</v>
      </c>
      <c r="E388" s="14">
        <v>97</v>
      </c>
      <c r="F388" s="14">
        <v>31</v>
      </c>
      <c r="G388" s="14">
        <v>24</v>
      </c>
      <c r="H388" s="14">
        <v>62.3</v>
      </c>
      <c r="I388" s="14">
        <f>'PIVOT TABLES'!$B$26</f>
        <v>60.283999999999999</v>
      </c>
      <c r="J388" s="14">
        <f>'PIVOT TABLES'!$B$27-'PIVOT TABLES'!$B$26</f>
        <v>30.142000000000003</v>
      </c>
      <c r="K388" s="14">
        <f>'PIVOT TABLES'!$B$28-'PIVOT TABLES'!$B$27</f>
        <v>30.141999999999996</v>
      </c>
      <c r="L388" s="14">
        <f>200-SUM(Table3[[#This Row],[D - LIGHT]:[D - VIGOROUS]])</f>
        <v>79.432000000000002</v>
      </c>
      <c r="M388" s="14">
        <f>'PIVOT TABLES'!$I$26</f>
        <v>65.603999999999999</v>
      </c>
      <c r="N388" s="14">
        <f>'PIVOT TABLES'!$I$27-'PIVOT TABLES'!$I$26</f>
        <v>32.802000000000007</v>
      </c>
      <c r="O388" s="14">
        <f>'PIVOT TABLES'!$I$28-'PIVOT TABLES'!$I$27</f>
        <v>32.801999999999992</v>
      </c>
      <c r="P388" s="14">
        <f>200-SUM(Table3[[#This Row],[M - LIGHT]:[M - VIGOROUS]])</f>
        <v>68.792000000000002</v>
      </c>
      <c r="Q388" s="14">
        <f>'PIVOT TABLES'!$P$26</f>
        <v>62.64</v>
      </c>
      <c r="R388" s="14">
        <f>'PIVOT TABLES'!$P$27-'PIVOT TABLES'!$P$26</f>
        <v>31.320000000000007</v>
      </c>
      <c r="S388" s="14">
        <f>'PIVOT TABLES'!$P$28-'PIVOT TABLES'!$P$27</f>
        <v>31.319999999999993</v>
      </c>
      <c r="T388" s="14">
        <f>200-SUM(Table3[[#This Row],[W - LIGHT]:[W - VIGOROUS]])</f>
        <v>74.72</v>
      </c>
      <c r="U388" s="14">
        <f>'PIVOT TABLES'!$W$26</f>
        <v>55.895999999999994</v>
      </c>
      <c r="V388" s="14">
        <f>'PIVOT TABLES'!$W$27-'PIVOT TABLES'!$W$26</f>
        <v>27.948</v>
      </c>
      <c r="W388" s="14">
        <f>'PIVOT TABLES'!$W$28-'PIVOT TABLES'!$W$27</f>
        <v>27.947999999999993</v>
      </c>
      <c r="X388" s="14">
        <f>200-SUM(Table3[[#This Row],[S - LIGHT]:[S - VIGOROUS]])</f>
        <v>88.208000000000013</v>
      </c>
    </row>
    <row r="389" spans="1:24" x14ac:dyDescent="0.25">
      <c r="A389" s="17" t="s">
        <v>70</v>
      </c>
      <c r="B389" s="13" t="str">
        <f t="shared" si="6"/>
        <v>Winger</v>
      </c>
      <c r="C389" s="7">
        <v>45309.430486111109</v>
      </c>
      <c r="D389" s="14">
        <v>7157</v>
      </c>
      <c r="E389" s="14">
        <v>70</v>
      </c>
      <c r="F389" s="14">
        <v>17</v>
      </c>
      <c r="G389" s="14">
        <v>32</v>
      </c>
      <c r="H389" s="31">
        <v>74.989999999999995</v>
      </c>
      <c r="I389" s="14">
        <f>'PIVOT TABLES'!$B$26</f>
        <v>60.283999999999999</v>
      </c>
      <c r="J389" s="14">
        <f>'PIVOT TABLES'!$B$27-'PIVOT TABLES'!$B$26</f>
        <v>30.142000000000003</v>
      </c>
      <c r="K389" s="14">
        <f>'PIVOT TABLES'!$B$28-'PIVOT TABLES'!$B$27</f>
        <v>30.141999999999996</v>
      </c>
      <c r="L389" s="14">
        <f>200-SUM(Table3[[#This Row],[D - LIGHT]:[D - VIGOROUS]])</f>
        <v>79.432000000000002</v>
      </c>
      <c r="M389" s="14">
        <f>'PIVOT TABLES'!$I$26</f>
        <v>65.603999999999999</v>
      </c>
      <c r="N389" s="14">
        <f>'PIVOT TABLES'!$I$27-'PIVOT TABLES'!$I$26</f>
        <v>32.802000000000007</v>
      </c>
      <c r="O389" s="14">
        <f>'PIVOT TABLES'!$I$28-'PIVOT TABLES'!$I$27</f>
        <v>32.801999999999992</v>
      </c>
      <c r="P389" s="14">
        <f>200-SUM(Table3[[#This Row],[M - LIGHT]:[M - VIGOROUS]])</f>
        <v>68.792000000000002</v>
      </c>
      <c r="Q389" s="14">
        <f>'PIVOT TABLES'!$P$26</f>
        <v>62.64</v>
      </c>
      <c r="R389" s="14">
        <f>'PIVOT TABLES'!$P$27-'PIVOT TABLES'!$P$26</f>
        <v>31.320000000000007</v>
      </c>
      <c r="S389" s="14">
        <f>'PIVOT TABLES'!$P$28-'PIVOT TABLES'!$P$27</f>
        <v>31.319999999999993</v>
      </c>
      <c r="T389" s="14">
        <f>200-SUM(Table3[[#This Row],[W - LIGHT]:[W - VIGOROUS]])</f>
        <v>74.72</v>
      </c>
      <c r="U389" s="14">
        <f>'PIVOT TABLES'!$W$26</f>
        <v>55.895999999999994</v>
      </c>
      <c r="V389" s="14">
        <f>'PIVOT TABLES'!$W$27-'PIVOT TABLES'!$W$26</f>
        <v>27.948</v>
      </c>
      <c r="W389" s="14">
        <f>'PIVOT TABLES'!$W$28-'PIVOT TABLES'!$W$27</f>
        <v>27.947999999999993</v>
      </c>
      <c r="X389" s="14">
        <f>200-SUM(Table3[[#This Row],[S - LIGHT]:[S - VIGOROUS]])</f>
        <v>88.208000000000013</v>
      </c>
    </row>
    <row r="390" spans="1:24" x14ac:dyDescent="0.25">
      <c r="A390" s="17" t="s">
        <v>53</v>
      </c>
      <c r="B390" s="13" t="str">
        <f t="shared" si="6"/>
        <v>Midfielder</v>
      </c>
      <c r="C390" s="7">
        <v>45309.430486111109</v>
      </c>
      <c r="D390" s="14">
        <v>7829</v>
      </c>
      <c r="E390" s="14">
        <v>23</v>
      </c>
      <c r="F390" s="14">
        <v>14</v>
      </c>
      <c r="G390" s="14">
        <v>16</v>
      </c>
      <c r="H390" s="31">
        <v>79.86</v>
      </c>
      <c r="I390" s="14">
        <f>'PIVOT TABLES'!$B$26</f>
        <v>60.283999999999999</v>
      </c>
      <c r="J390" s="14">
        <f>'PIVOT TABLES'!$B$27-'PIVOT TABLES'!$B$26</f>
        <v>30.142000000000003</v>
      </c>
      <c r="K390" s="14">
        <f>'PIVOT TABLES'!$B$28-'PIVOT TABLES'!$B$27</f>
        <v>30.141999999999996</v>
      </c>
      <c r="L390" s="14">
        <f>200-SUM(Table3[[#This Row],[D - LIGHT]:[D - VIGOROUS]])</f>
        <v>79.432000000000002</v>
      </c>
      <c r="M390" s="14">
        <f>'PIVOT TABLES'!$I$26</f>
        <v>65.603999999999999</v>
      </c>
      <c r="N390" s="14">
        <f>'PIVOT TABLES'!$I$27-'PIVOT TABLES'!$I$26</f>
        <v>32.802000000000007</v>
      </c>
      <c r="O390" s="14">
        <f>'PIVOT TABLES'!$I$28-'PIVOT TABLES'!$I$27</f>
        <v>32.801999999999992</v>
      </c>
      <c r="P390" s="14">
        <f>200-SUM(Table3[[#This Row],[M - LIGHT]:[M - VIGOROUS]])</f>
        <v>68.792000000000002</v>
      </c>
      <c r="Q390" s="14">
        <f>'PIVOT TABLES'!$P$26</f>
        <v>62.64</v>
      </c>
      <c r="R390" s="14">
        <f>'PIVOT TABLES'!$P$27-'PIVOT TABLES'!$P$26</f>
        <v>31.320000000000007</v>
      </c>
      <c r="S390" s="14">
        <f>'PIVOT TABLES'!$P$28-'PIVOT TABLES'!$P$27</f>
        <v>31.319999999999993</v>
      </c>
      <c r="T390" s="14">
        <f>200-SUM(Table3[[#This Row],[W - LIGHT]:[W - VIGOROUS]])</f>
        <v>74.72</v>
      </c>
      <c r="U390" s="14">
        <f>'PIVOT TABLES'!$W$26</f>
        <v>55.895999999999994</v>
      </c>
      <c r="V390" s="14">
        <f>'PIVOT TABLES'!$W$27-'PIVOT TABLES'!$W$26</f>
        <v>27.948</v>
      </c>
      <c r="W390" s="14">
        <f>'PIVOT TABLES'!$W$28-'PIVOT TABLES'!$W$27</f>
        <v>27.947999999999993</v>
      </c>
      <c r="X390" s="14">
        <f>200-SUM(Table3[[#This Row],[S - LIGHT]:[S - VIGOROUS]])</f>
        <v>88.208000000000013</v>
      </c>
    </row>
    <row r="391" spans="1:24" x14ac:dyDescent="0.25">
      <c r="A391" s="17" t="s">
        <v>55</v>
      </c>
      <c r="B391" s="13" t="str">
        <f t="shared" si="6"/>
        <v>Striker</v>
      </c>
      <c r="C391" s="7">
        <v>45309.430486111109</v>
      </c>
      <c r="D391" s="14">
        <v>7673</v>
      </c>
      <c r="E391" s="14">
        <v>17</v>
      </c>
      <c r="F391" s="14">
        <v>26</v>
      </c>
      <c r="G391" s="14">
        <v>22</v>
      </c>
      <c r="H391" s="31">
        <v>78.72</v>
      </c>
      <c r="I391" s="14">
        <f>'PIVOT TABLES'!$B$26</f>
        <v>60.283999999999999</v>
      </c>
      <c r="J391" s="14">
        <f>'PIVOT TABLES'!$B$27-'PIVOT TABLES'!$B$26</f>
        <v>30.142000000000003</v>
      </c>
      <c r="K391" s="14">
        <f>'PIVOT TABLES'!$B$28-'PIVOT TABLES'!$B$27</f>
        <v>30.141999999999996</v>
      </c>
      <c r="L391" s="14">
        <f>200-SUM(Table3[[#This Row],[D - LIGHT]:[D - VIGOROUS]])</f>
        <v>79.432000000000002</v>
      </c>
      <c r="M391" s="14">
        <f>'PIVOT TABLES'!$I$26</f>
        <v>65.603999999999999</v>
      </c>
      <c r="N391" s="14">
        <f>'PIVOT TABLES'!$I$27-'PIVOT TABLES'!$I$26</f>
        <v>32.802000000000007</v>
      </c>
      <c r="O391" s="14">
        <f>'PIVOT TABLES'!$I$28-'PIVOT TABLES'!$I$27</f>
        <v>32.801999999999992</v>
      </c>
      <c r="P391" s="14">
        <f>200-SUM(Table3[[#This Row],[M - LIGHT]:[M - VIGOROUS]])</f>
        <v>68.792000000000002</v>
      </c>
      <c r="Q391" s="14">
        <f>'PIVOT TABLES'!$P$26</f>
        <v>62.64</v>
      </c>
      <c r="R391" s="14">
        <f>'PIVOT TABLES'!$P$27-'PIVOT TABLES'!$P$26</f>
        <v>31.320000000000007</v>
      </c>
      <c r="S391" s="14">
        <f>'PIVOT TABLES'!$P$28-'PIVOT TABLES'!$P$27</f>
        <v>31.319999999999993</v>
      </c>
      <c r="T391" s="14">
        <f>200-SUM(Table3[[#This Row],[W - LIGHT]:[W - VIGOROUS]])</f>
        <v>74.72</v>
      </c>
      <c r="U391" s="14">
        <f>'PIVOT TABLES'!$W$26</f>
        <v>55.895999999999994</v>
      </c>
      <c r="V391" s="14">
        <f>'PIVOT TABLES'!$W$27-'PIVOT TABLES'!$W$26</f>
        <v>27.948</v>
      </c>
      <c r="W391" s="14">
        <f>'PIVOT TABLES'!$W$28-'PIVOT TABLES'!$W$27</f>
        <v>27.947999999999993</v>
      </c>
      <c r="X391" s="14">
        <f>200-SUM(Table3[[#This Row],[S - LIGHT]:[S - VIGOROUS]])</f>
        <v>88.208000000000013</v>
      </c>
    </row>
    <row r="392" spans="1:24" x14ac:dyDescent="0.25">
      <c r="A392" s="17" t="s">
        <v>1</v>
      </c>
      <c r="B392" s="13" t="str">
        <f t="shared" si="6"/>
        <v>Defender</v>
      </c>
      <c r="C392" s="7">
        <v>45309.430486111109</v>
      </c>
      <c r="D392" s="14">
        <v>6903</v>
      </c>
      <c r="E392" s="14">
        <v>107</v>
      </c>
      <c r="F392" s="14">
        <v>36</v>
      </c>
      <c r="G392" s="14">
        <v>22</v>
      </c>
      <c r="H392" s="31">
        <v>74.12</v>
      </c>
      <c r="I392" s="14">
        <f>'PIVOT TABLES'!$B$26</f>
        <v>60.283999999999999</v>
      </c>
      <c r="J392" s="14">
        <f>'PIVOT TABLES'!$B$27-'PIVOT TABLES'!$B$26</f>
        <v>30.142000000000003</v>
      </c>
      <c r="K392" s="14">
        <f>'PIVOT TABLES'!$B$28-'PIVOT TABLES'!$B$27</f>
        <v>30.141999999999996</v>
      </c>
      <c r="L392" s="14">
        <f>200-SUM(Table3[[#This Row],[D - LIGHT]:[D - VIGOROUS]])</f>
        <v>79.432000000000002</v>
      </c>
      <c r="M392" s="14">
        <f>'PIVOT TABLES'!$I$26</f>
        <v>65.603999999999999</v>
      </c>
      <c r="N392" s="14">
        <f>'PIVOT TABLES'!$I$27-'PIVOT TABLES'!$I$26</f>
        <v>32.802000000000007</v>
      </c>
      <c r="O392" s="14">
        <f>'PIVOT TABLES'!$I$28-'PIVOT TABLES'!$I$27</f>
        <v>32.801999999999992</v>
      </c>
      <c r="P392" s="14">
        <f>200-SUM(Table3[[#This Row],[M - LIGHT]:[M - VIGOROUS]])</f>
        <v>68.792000000000002</v>
      </c>
      <c r="Q392" s="14">
        <f>'PIVOT TABLES'!$P$26</f>
        <v>62.64</v>
      </c>
      <c r="R392" s="14">
        <f>'PIVOT TABLES'!$P$27-'PIVOT TABLES'!$P$26</f>
        <v>31.320000000000007</v>
      </c>
      <c r="S392" s="14">
        <f>'PIVOT TABLES'!$P$28-'PIVOT TABLES'!$P$27</f>
        <v>31.319999999999993</v>
      </c>
      <c r="T392" s="14">
        <f>200-SUM(Table3[[#This Row],[W - LIGHT]:[W - VIGOROUS]])</f>
        <v>74.72</v>
      </c>
      <c r="U392" s="14">
        <f>'PIVOT TABLES'!$W$26</f>
        <v>55.895999999999994</v>
      </c>
      <c r="V392" s="14">
        <f>'PIVOT TABLES'!$W$27-'PIVOT TABLES'!$W$26</f>
        <v>27.948</v>
      </c>
      <c r="W392" s="14">
        <f>'PIVOT TABLES'!$W$28-'PIVOT TABLES'!$W$27</f>
        <v>27.947999999999993</v>
      </c>
      <c r="X392" s="14">
        <f>200-SUM(Table3[[#This Row],[S - LIGHT]:[S - VIGOROUS]])</f>
        <v>88.208000000000013</v>
      </c>
    </row>
    <row r="393" spans="1:24" x14ac:dyDescent="0.25">
      <c r="A393" s="17" t="s">
        <v>56</v>
      </c>
      <c r="B393" s="13" t="str">
        <f t="shared" si="6"/>
        <v>Midfielder</v>
      </c>
      <c r="C393" s="7">
        <v>45309.430486111109</v>
      </c>
      <c r="D393" s="14">
        <v>8230</v>
      </c>
      <c r="E393" s="14">
        <v>131</v>
      </c>
      <c r="F393" s="14">
        <v>21</v>
      </c>
      <c r="G393" s="14">
        <v>20</v>
      </c>
      <c r="H393" s="31">
        <v>87.47</v>
      </c>
      <c r="I393" s="14">
        <f>'PIVOT TABLES'!$B$26</f>
        <v>60.283999999999999</v>
      </c>
      <c r="J393" s="14">
        <f>'PIVOT TABLES'!$B$27-'PIVOT TABLES'!$B$26</f>
        <v>30.142000000000003</v>
      </c>
      <c r="K393" s="14">
        <f>'PIVOT TABLES'!$B$28-'PIVOT TABLES'!$B$27</f>
        <v>30.141999999999996</v>
      </c>
      <c r="L393" s="14">
        <f>200-SUM(Table3[[#This Row],[D - LIGHT]:[D - VIGOROUS]])</f>
        <v>79.432000000000002</v>
      </c>
      <c r="M393" s="14">
        <f>'PIVOT TABLES'!$I$26</f>
        <v>65.603999999999999</v>
      </c>
      <c r="N393" s="14">
        <f>'PIVOT TABLES'!$I$27-'PIVOT TABLES'!$I$26</f>
        <v>32.802000000000007</v>
      </c>
      <c r="O393" s="14">
        <f>'PIVOT TABLES'!$I$28-'PIVOT TABLES'!$I$27</f>
        <v>32.801999999999992</v>
      </c>
      <c r="P393" s="14">
        <f>200-SUM(Table3[[#This Row],[M - LIGHT]:[M - VIGOROUS]])</f>
        <v>68.792000000000002</v>
      </c>
      <c r="Q393" s="14">
        <f>'PIVOT TABLES'!$P$26</f>
        <v>62.64</v>
      </c>
      <c r="R393" s="14">
        <f>'PIVOT TABLES'!$P$27-'PIVOT TABLES'!$P$26</f>
        <v>31.320000000000007</v>
      </c>
      <c r="S393" s="14">
        <f>'PIVOT TABLES'!$P$28-'PIVOT TABLES'!$P$27</f>
        <v>31.319999999999993</v>
      </c>
      <c r="T393" s="14">
        <f>200-SUM(Table3[[#This Row],[W - LIGHT]:[W - VIGOROUS]])</f>
        <v>74.72</v>
      </c>
      <c r="U393" s="14">
        <f>'PIVOT TABLES'!$W$26</f>
        <v>55.895999999999994</v>
      </c>
      <c r="V393" s="14">
        <f>'PIVOT TABLES'!$W$27-'PIVOT TABLES'!$W$26</f>
        <v>27.948</v>
      </c>
      <c r="W393" s="14">
        <f>'PIVOT TABLES'!$W$28-'PIVOT TABLES'!$W$27</f>
        <v>27.947999999999993</v>
      </c>
      <c r="X393" s="14">
        <f>200-SUM(Table3[[#This Row],[S - LIGHT]:[S - VIGOROUS]])</f>
        <v>88.208000000000013</v>
      </c>
    </row>
    <row r="394" spans="1:24" x14ac:dyDescent="0.25">
      <c r="A394" s="17" t="s">
        <v>2</v>
      </c>
      <c r="B394" s="13" t="str">
        <f t="shared" si="6"/>
        <v>Defender</v>
      </c>
      <c r="C394" s="7">
        <v>45309.430486111109</v>
      </c>
      <c r="D394" s="14">
        <v>7884</v>
      </c>
      <c r="E394" s="14">
        <v>58</v>
      </c>
      <c r="F394" s="14">
        <v>27</v>
      </c>
      <c r="G394" s="14">
        <v>26</v>
      </c>
      <c r="H394" s="31">
        <v>82.18</v>
      </c>
      <c r="I394" s="14">
        <f>'PIVOT TABLES'!$B$26</f>
        <v>60.283999999999999</v>
      </c>
      <c r="J394" s="14">
        <f>'PIVOT TABLES'!$B$27-'PIVOT TABLES'!$B$26</f>
        <v>30.142000000000003</v>
      </c>
      <c r="K394" s="14">
        <f>'PIVOT TABLES'!$B$28-'PIVOT TABLES'!$B$27</f>
        <v>30.141999999999996</v>
      </c>
      <c r="L394" s="14">
        <f>200-SUM(Table3[[#This Row],[D - LIGHT]:[D - VIGOROUS]])</f>
        <v>79.432000000000002</v>
      </c>
      <c r="M394" s="14">
        <f>'PIVOT TABLES'!$I$26</f>
        <v>65.603999999999999</v>
      </c>
      <c r="N394" s="14">
        <f>'PIVOT TABLES'!$I$27-'PIVOT TABLES'!$I$26</f>
        <v>32.802000000000007</v>
      </c>
      <c r="O394" s="14">
        <f>'PIVOT TABLES'!$I$28-'PIVOT TABLES'!$I$27</f>
        <v>32.801999999999992</v>
      </c>
      <c r="P394" s="14">
        <f>200-SUM(Table3[[#This Row],[M - LIGHT]:[M - VIGOROUS]])</f>
        <v>68.792000000000002</v>
      </c>
      <c r="Q394" s="14">
        <f>'PIVOT TABLES'!$P$26</f>
        <v>62.64</v>
      </c>
      <c r="R394" s="14">
        <f>'PIVOT TABLES'!$P$27-'PIVOT TABLES'!$P$26</f>
        <v>31.320000000000007</v>
      </c>
      <c r="S394" s="14">
        <f>'PIVOT TABLES'!$P$28-'PIVOT TABLES'!$P$27</f>
        <v>31.319999999999993</v>
      </c>
      <c r="T394" s="14">
        <f>200-SUM(Table3[[#This Row],[W - LIGHT]:[W - VIGOROUS]])</f>
        <v>74.72</v>
      </c>
      <c r="U394" s="14">
        <f>'PIVOT TABLES'!$W$26</f>
        <v>55.895999999999994</v>
      </c>
      <c r="V394" s="14">
        <f>'PIVOT TABLES'!$W$27-'PIVOT TABLES'!$W$26</f>
        <v>27.948</v>
      </c>
      <c r="W394" s="14">
        <f>'PIVOT TABLES'!$W$28-'PIVOT TABLES'!$W$27</f>
        <v>27.947999999999993</v>
      </c>
      <c r="X394" s="14">
        <f>200-SUM(Table3[[#This Row],[S - LIGHT]:[S - VIGOROUS]])</f>
        <v>88.208000000000013</v>
      </c>
    </row>
    <row r="395" spans="1:24" x14ac:dyDescent="0.25">
      <c r="A395" s="17" t="s">
        <v>58</v>
      </c>
      <c r="B395" s="13" t="str">
        <f t="shared" si="6"/>
        <v>Defender</v>
      </c>
      <c r="C395" s="7">
        <v>45309.430486111109</v>
      </c>
      <c r="D395" s="14">
        <v>7403</v>
      </c>
      <c r="E395" s="14">
        <v>219</v>
      </c>
      <c r="F395" s="14">
        <v>35</v>
      </c>
      <c r="G395" s="14">
        <v>24</v>
      </c>
      <c r="H395" s="31">
        <v>82.48</v>
      </c>
      <c r="I395" s="14">
        <f>'PIVOT TABLES'!$B$26</f>
        <v>60.283999999999999</v>
      </c>
      <c r="J395" s="14">
        <f>'PIVOT TABLES'!$B$27-'PIVOT TABLES'!$B$26</f>
        <v>30.142000000000003</v>
      </c>
      <c r="K395" s="14">
        <f>'PIVOT TABLES'!$B$28-'PIVOT TABLES'!$B$27</f>
        <v>30.141999999999996</v>
      </c>
      <c r="L395" s="14">
        <f>200-SUM(Table3[[#This Row],[D - LIGHT]:[D - VIGOROUS]])</f>
        <v>79.432000000000002</v>
      </c>
      <c r="M395" s="14">
        <f>'PIVOT TABLES'!$I$26</f>
        <v>65.603999999999999</v>
      </c>
      <c r="N395" s="14">
        <f>'PIVOT TABLES'!$I$27-'PIVOT TABLES'!$I$26</f>
        <v>32.802000000000007</v>
      </c>
      <c r="O395" s="14">
        <f>'PIVOT TABLES'!$I$28-'PIVOT TABLES'!$I$27</f>
        <v>32.801999999999992</v>
      </c>
      <c r="P395" s="14">
        <f>200-SUM(Table3[[#This Row],[M - LIGHT]:[M - VIGOROUS]])</f>
        <v>68.792000000000002</v>
      </c>
      <c r="Q395" s="14">
        <f>'PIVOT TABLES'!$P$26</f>
        <v>62.64</v>
      </c>
      <c r="R395" s="14">
        <f>'PIVOT TABLES'!$P$27-'PIVOT TABLES'!$P$26</f>
        <v>31.320000000000007</v>
      </c>
      <c r="S395" s="14">
        <f>'PIVOT TABLES'!$P$28-'PIVOT TABLES'!$P$27</f>
        <v>31.319999999999993</v>
      </c>
      <c r="T395" s="14">
        <f>200-SUM(Table3[[#This Row],[W - LIGHT]:[W - VIGOROUS]])</f>
        <v>74.72</v>
      </c>
      <c r="U395" s="14">
        <f>'PIVOT TABLES'!$W$26</f>
        <v>55.895999999999994</v>
      </c>
      <c r="V395" s="14">
        <f>'PIVOT TABLES'!$W$27-'PIVOT TABLES'!$W$26</f>
        <v>27.948</v>
      </c>
      <c r="W395" s="14">
        <f>'PIVOT TABLES'!$W$28-'PIVOT TABLES'!$W$27</f>
        <v>27.947999999999993</v>
      </c>
      <c r="X395" s="14">
        <f>200-SUM(Table3[[#This Row],[S - LIGHT]:[S - VIGOROUS]])</f>
        <v>88.208000000000013</v>
      </c>
    </row>
    <row r="396" spans="1:24" x14ac:dyDescent="0.25">
      <c r="A396" s="17" t="s">
        <v>94</v>
      </c>
      <c r="B396" s="13" t="str">
        <f t="shared" si="6"/>
        <v>Defender</v>
      </c>
      <c r="C396" s="7">
        <v>45309.430486111109</v>
      </c>
      <c r="D396" s="14">
        <v>7344</v>
      </c>
      <c r="E396" s="14">
        <v>52</v>
      </c>
      <c r="F396" s="14">
        <v>13</v>
      </c>
      <c r="G396" s="14">
        <v>13</v>
      </c>
      <c r="H396" s="31">
        <v>75.78</v>
      </c>
      <c r="I396" s="14">
        <f>'PIVOT TABLES'!$B$26</f>
        <v>60.283999999999999</v>
      </c>
      <c r="J396" s="14">
        <f>'PIVOT TABLES'!$B$27-'PIVOT TABLES'!$B$26</f>
        <v>30.142000000000003</v>
      </c>
      <c r="K396" s="14">
        <f>'PIVOT TABLES'!$B$28-'PIVOT TABLES'!$B$27</f>
        <v>30.141999999999996</v>
      </c>
      <c r="L396" s="14">
        <f>200-SUM(Table3[[#This Row],[D - LIGHT]:[D - VIGOROUS]])</f>
        <v>79.432000000000002</v>
      </c>
      <c r="M396" s="14">
        <f>'PIVOT TABLES'!$I$26</f>
        <v>65.603999999999999</v>
      </c>
      <c r="N396" s="14">
        <f>'PIVOT TABLES'!$I$27-'PIVOT TABLES'!$I$26</f>
        <v>32.802000000000007</v>
      </c>
      <c r="O396" s="14">
        <f>'PIVOT TABLES'!$I$28-'PIVOT TABLES'!$I$27</f>
        <v>32.801999999999992</v>
      </c>
      <c r="P396" s="14">
        <f>200-SUM(Table3[[#This Row],[M - LIGHT]:[M - VIGOROUS]])</f>
        <v>68.792000000000002</v>
      </c>
      <c r="Q396" s="14">
        <f>'PIVOT TABLES'!$P$26</f>
        <v>62.64</v>
      </c>
      <c r="R396" s="14">
        <f>'PIVOT TABLES'!$P$27-'PIVOT TABLES'!$P$26</f>
        <v>31.320000000000007</v>
      </c>
      <c r="S396" s="14">
        <f>'PIVOT TABLES'!$P$28-'PIVOT TABLES'!$P$27</f>
        <v>31.319999999999993</v>
      </c>
      <c r="T396" s="14">
        <f>200-SUM(Table3[[#This Row],[W - LIGHT]:[W - VIGOROUS]])</f>
        <v>74.72</v>
      </c>
      <c r="U396" s="14">
        <f>'PIVOT TABLES'!$W$26</f>
        <v>55.895999999999994</v>
      </c>
      <c r="V396" s="14">
        <f>'PIVOT TABLES'!$W$27-'PIVOT TABLES'!$W$26</f>
        <v>27.948</v>
      </c>
      <c r="W396" s="14">
        <f>'PIVOT TABLES'!$W$28-'PIVOT TABLES'!$W$27</f>
        <v>27.947999999999993</v>
      </c>
      <c r="X396" s="14">
        <f>200-SUM(Table3[[#This Row],[S - LIGHT]:[S - VIGOROUS]])</f>
        <v>88.208000000000013</v>
      </c>
    </row>
    <row r="397" spans="1:24" x14ac:dyDescent="0.25">
      <c r="A397" s="17" t="s">
        <v>3</v>
      </c>
      <c r="B397" s="13" t="str">
        <f t="shared" si="6"/>
        <v>Defender</v>
      </c>
      <c r="C397" s="7">
        <v>45309.430486111109</v>
      </c>
      <c r="D397" s="14">
        <v>7483</v>
      </c>
      <c r="E397" s="14">
        <v>65</v>
      </c>
      <c r="F397" s="14">
        <v>29</v>
      </c>
      <c r="G397" s="14">
        <v>28</v>
      </c>
      <c r="H397" s="31">
        <v>78.5</v>
      </c>
      <c r="I397" s="14">
        <f>'PIVOT TABLES'!$B$26</f>
        <v>60.283999999999999</v>
      </c>
      <c r="J397" s="14">
        <f>'PIVOT TABLES'!$B$27-'PIVOT TABLES'!$B$26</f>
        <v>30.142000000000003</v>
      </c>
      <c r="K397" s="14">
        <f>'PIVOT TABLES'!$B$28-'PIVOT TABLES'!$B$27</f>
        <v>30.141999999999996</v>
      </c>
      <c r="L397" s="14">
        <f>200-SUM(Table3[[#This Row],[D - LIGHT]:[D - VIGOROUS]])</f>
        <v>79.432000000000002</v>
      </c>
      <c r="M397" s="14">
        <f>'PIVOT TABLES'!$I$26</f>
        <v>65.603999999999999</v>
      </c>
      <c r="N397" s="14">
        <f>'PIVOT TABLES'!$I$27-'PIVOT TABLES'!$I$26</f>
        <v>32.802000000000007</v>
      </c>
      <c r="O397" s="14">
        <f>'PIVOT TABLES'!$I$28-'PIVOT TABLES'!$I$27</f>
        <v>32.801999999999992</v>
      </c>
      <c r="P397" s="14">
        <f>200-SUM(Table3[[#This Row],[M - LIGHT]:[M - VIGOROUS]])</f>
        <v>68.792000000000002</v>
      </c>
      <c r="Q397" s="14">
        <f>'PIVOT TABLES'!$P$26</f>
        <v>62.64</v>
      </c>
      <c r="R397" s="14">
        <f>'PIVOT TABLES'!$P$27-'PIVOT TABLES'!$P$26</f>
        <v>31.320000000000007</v>
      </c>
      <c r="S397" s="14">
        <f>'PIVOT TABLES'!$P$28-'PIVOT TABLES'!$P$27</f>
        <v>31.319999999999993</v>
      </c>
      <c r="T397" s="14">
        <f>200-SUM(Table3[[#This Row],[W - LIGHT]:[W - VIGOROUS]])</f>
        <v>74.72</v>
      </c>
      <c r="U397" s="14">
        <f>'PIVOT TABLES'!$W$26</f>
        <v>55.895999999999994</v>
      </c>
      <c r="V397" s="14">
        <f>'PIVOT TABLES'!$W$27-'PIVOT TABLES'!$W$26</f>
        <v>27.948</v>
      </c>
      <c r="W397" s="14">
        <f>'PIVOT TABLES'!$W$28-'PIVOT TABLES'!$W$27</f>
        <v>27.947999999999993</v>
      </c>
      <c r="X397" s="14">
        <f>200-SUM(Table3[[#This Row],[S - LIGHT]:[S - VIGOROUS]])</f>
        <v>88.208000000000013</v>
      </c>
    </row>
    <row r="398" spans="1:24" x14ac:dyDescent="0.25">
      <c r="A398" s="17" t="s">
        <v>59</v>
      </c>
      <c r="B398" s="13" t="str">
        <f t="shared" si="6"/>
        <v>Striker</v>
      </c>
      <c r="C398" s="7">
        <v>45309.430486111109</v>
      </c>
      <c r="D398" s="14">
        <v>7357</v>
      </c>
      <c r="E398" s="14">
        <v>48</v>
      </c>
      <c r="F398" s="14">
        <v>25</v>
      </c>
      <c r="G398" s="14">
        <v>23</v>
      </c>
      <c r="H398" s="31">
        <v>76.47</v>
      </c>
      <c r="I398" s="14">
        <f>'PIVOT TABLES'!$B$26</f>
        <v>60.283999999999999</v>
      </c>
      <c r="J398" s="14">
        <f>'PIVOT TABLES'!$B$27-'PIVOT TABLES'!$B$26</f>
        <v>30.142000000000003</v>
      </c>
      <c r="K398" s="14">
        <f>'PIVOT TABLES'!$B$28-'PIVOT TABLES'!$B$27</f>
        <v>30.141999999999996</v>
      </c>
      <c r="L398" s="14">
        <f>200-SUM(Table3[[#This Row],[D - LIGHT]:[D - VIGOROUS]])</f>
        <v>79.432000000000002</v>
      </c>
      <c r="M398" s="14">
        <f>'PIVOT TABLES'!$I$26</f>
        <v>65.603999999999999</v>
      </c>
      <c r="N398" s="14">
        <f>'PIVOT TABLES'!$I$27-'PIVOT TABLES'!$I$26</f>
        <v>32.802000000000007</v>
      </c>
      <c r="O398" s="14">
        <f>'PIVOT TABLES'!$I$28-'PIVOT TABLES'!$I$27</f>
        <v>32.801999999999992</v>
      </c>
      <c r="P398" s="14">
        <f>200-SUM(Table3[[#This Row],[M - LIGHT]:[M - VIGOROUS]])</f>
        <v>68.792000000000002</v>
      </c>
      <c r="Q398" s="14">
        <f>'PIVOT TABLES'!$P$26</f>
        <v>62.64</v>
      </c>
      <c r="R398" s="14">
        <f>'PIVOT TABLES'!$P$27-'PIVOT TABLES'!$P$26</f>
        <v>31.320000000000007</v>
      </c>
      <c r="S398" s="14">
        <f>'PIVOT TABLES'!$P$28-'PIVOT TABLES'!$P$27</f>
        <v>31.319999999999993</v>
      </c>
      <c r="T398" s="14">
        <f>200-SUM(Table3[[#This Row],[W - LIGHT]:[W - VIGOROUS]])</f>
        <v>74.72</v>
      </c>
      <c r="U398" s="14">
        <f>'PIVOT TABLES'!$W$26</f>
        <v>55.895999999999994</v>
      </c>
      <c r="V398" s="14">
        <f>'PIVOT TABLES'!$W$27-'PIVOT TABLES'!$W$26</f>
        <v>27.948</v>
      </c>
      <c r="W398" s="14">
        <f>'PIVOT TABLES'!$W$28-'PIVOT TABLES'!$W$27</f>
        <v>27.947999999999993</v>
      </c>
      <c r="X398" s="14">
        <f>200-SUM(Table3[[#This Row],[S - LIGHT]:[S - VIGOROUS]])</f>
        <v>88.208000000000013</v>
      </c>
    </row>
    <row r="399" spans="1:24" x14ac:dyDescent="0.25">
      <c r="A399" s="17" t="s">
        <v>4</v>
      </c>
      <c r="B399" s="13" t="str">
        <f t="shared" si="6"/>
        <v>Midfielder</v>
      </c>
      <c r="C399" s="7">
        <v>45309.430486111109</v>
      </c>
      <c r="D399" s="14">
        <v>7052</v>
      </c>
      <c r="E399" s="14">
        <v>30</v>
      </c>
      <c r="F399" s="14">
        <v>17</v>
      </c>
      <c r="G399" s="14">
        <v>17</v>
      </c>
      <c r="H399" s="31">
        <v>72.44</v>
      </c>
      <c r="I399" s="14">
        <f>'PIVOT TABLES'!$B$26</f>
        <v>60.283999999999999</v>
      </c>
      <c r="J399" s="14">
        <f>'PIVOT TABLES'!$B$27-'PIVOT TABLES'!$B$26</f>
        <v>30.142000000000003</v>
      </c>
      <c r="K399" s="14">
        <f>'PIVOT TABLES'!$B$28-'PIVOT TABLES'!$B$27</f>
        <v>30.141999999999996</v>
      </c>
      <c r="L399" s="14">
        <f>200-SUM(Table3[[#This Row],[D - LIGHT]:[D - VIGOROUS]])</f>
        <v>79.432000000000002</v>
      </c>
      <c r="M399" s="14">
        <f>'PIVOT TABLES'!$I$26</f>
        <v>65.603999999999999</v>
      </c>
      <c r="N399" s="14">
        <f>'PIVOT TABLES'!$I$27-'PIVOT TABLES'!$I$26</f>
        <v>32.802000000000007</v>
      </c>
      <c r="O399" s="14">
        <f>'PIVOT TABLES'!$I$28-'PIVOT TABLES'!$I$27</f>
        <v>32.801999999999992</v>
      </c>
      <c r="P399" s="14">
        <f>200-SUM(Table3[[#This Row],[M - LIGHT]:[M - VIGOROUS]])</f>
        <v>68.792000000000002</v>
      </c>
      <c r="Q399" s="14">
        <f>'PIVOT TABLES'!$P$26</f>
        <v>62.64</v>
      </c>
      <c r="R399" s="14">
        <f>'PIVOT TABLES'!$P$27-'PIVOT TABLES'!$P$26</f>
        <v>31.320000000000007</v>
      </c>
      <c r="S399" s="14">
        <f>'PIVOT TABLES'!$P$28-'PIVOT TABLES'!$P$27</f>
        <v>31.319999999999993</v>
      </c>
      <c r="T399" s="14">
        <f>200-SUM(Table3[[#This Row],[W - LIGHT]:[W - VIGOROUS]])</f>
        <v>74.72</v>
      </c>
      <c r="U399" s="14">
        <f>'PIVOT TABLES'!$W$26</f>
        <v>55.895999999999994</v>
      </c>
      <c r="V399" s="14">
        <f>'PIVOT TABLES'!$W$27-'PIVOT TABLES'!$W$26</f>
        <v>27.948</v>
      </c>
      <c r="W399" s="14">
        <f>'PIVOT TABLES'!$W$28-'PIVOT TABLES'!$W$27</f>
        <v>27.947999999999993</v>
      </c>
      <c r="X399" s="14">
        <f>200-SUM(Table3[[#This Row],[S - LIGHT]:[S - VIGOROUS]])</f>
        <v>88.208000000000013</v>
      </c>
    </row>
    <row r="400" spans="1:24" x14ac:dyDescent="0.25">
      <c r="A400" s="17" t="s">
        <v>60</v>
      </c>
      <c r="B400" s="13" t="str">
        <f t="shared" si="6"/>
        <v>Winger</v>
      </c>
      <c r="C400" s="7">
        <v>45309.430486111109</v>
      </c>
      <c r="D400" s="14">
        <v>7737</v>
      </c>
      <c r="E400" s="14">
        <v>60</v>
      </c>
      <c r="F400" s="14">
        <v>27</v>
      </c>
      <c r="G400" s="14">
        <v>31</v>
      </c>
      <c r="H400" s="31">
        <v>80.87</v>
      </c>
      <c r="I400" s="14">
        <f>'PIVOT TABLES'!$B$26</f>
        <v>60.283999999999999</v>
      </c>
      <c r="J400" s="14">
        <f>'PIVOT TABLES'!$B$27-'PIVOT TABLES'!$B$26</f>
        <v>30.142000000000003</v>
      </c>
      <c r="K400" s="14">
        <f>'PIVOT TABLES'!$B$28-'PIVOT TABLES'!$B$27</f>
        <v>30.141999999999996</v>
      </c>
      <c r="L400" s="14">
        <f>200-SUM(Table3[[#This Row],[D - LIGHT]:[D - VIGOROUS]])</f>
        <v>79.432000000000002</v>
      </c>
      <c r="M400" s="14">
        <f>'PIVOT TABLES'!$I$26</f>
        <v>65.603999999999999</v>
      </c>
      <c r="N400" s="14">
        <f>'PIVOT TABLES'!$I$27-'PIVOT TABLES'!$I$26</f>
        <v>32.802000000000007</v>
      </c>
      <c r="O400" s="14">
        <f>'PIVOT TABLES'!$I$28-'PIVOT TABLES'!$I$27</f>
        <v>32.801999999999992</v>
      </c>
      <c r="P400" s="14">
        <f>200-SUM(Table3[[#This Row],[M - LIGHT]:[M - VIGOROUS]])</f>
        <v>68.792000000000002</v>
      </c>
      <c r="Q400" s="14">
        <f>'PIVOT TABLES'!$P$26</f>
        <v>62.64</v>
      </c>
      <c r="R400" s="14">
        <f>'PIVOT TABLES'!$P$27-'PIVOT TABLES'!$P$26</f>
        <v>31.320000000000007</v>
      </c>
      <c r="S400" s="14">
        <f>'PIVOT TABLES'!$P$28-'PIVOT TABLES'!$P$27</f>
        <v>31.319999999999993</v>
      </c>
      <c r="T400" s="14">
        <f>200-SUM(Table3[[#This Row],[W - LIGHT]:[W - VIGOROUS]])</f>
        <v>74.72</v>
      </c>
      <c r="U400" s="14">
        <f>'PIVOT TABLES'!$W$26</f>
        <v>55.895999999999994</v>
      </c>
      <c r="V400" s="14">
        <f>'PIVOT TABLES'!$W$27-'PIVOT TABLES'!$W$26</f>
        <v>27.948</v>
      </c>
      <c r="W400" s="14">
        <f>'PIVOT TABLES'!$W$28-'PIVOT TABLES'!$W$27</f>
        <v>27.947999999999993</v>
      </c>
      <c r="X400" s="14">
        <f>200-SUM(Table3[[#This Row],[S - LIGHT]:[S - VIGOROUS]])</f>
        <v>88.208000000000013</v>
      </c>
    </row>
    <row r="401" spans="1:24" x14ac:dyDescent="0.25">
      <c r="A401" s="17" t="s">
        <v>71</v>
      </c>
      <c r="B401" s="13" t="str">
        <f t="shared" si="6"/>
        <v>Midfielder</v>
      </c>
      <c r="C401" s="7">
        <v>45309.430486111109</v>
      </c>
      <c r="D401" s="14">
        <v>7490</v>
      </c>
      <c r="E401" s="14">
        <v>42</v>
      </c>
      <c r="F401" s="14">
        <v>27</v>
      </c>
      <c r="G401" s="14">
        <v>23</v>
      </c>
      <c r="H401" s="31">
        <v>77.7</v>
      </c>
      <c r="I401" s="14">
        <f>'PIVOT TABLES'!$B$26</f>
        <v>60.283999999999999</v>
      </c>
      <c r="J401" s="14">
        <f>'PIVOT TABLES'!$B$27-'PIVOT TABLES'!$B$26</f>
        <v>30.142000000000003</v>
      </c>
      <c r="K401" s="14">
        <f>'PIVOT TABLES'!$B$28-'PIVOT TABLES'!$B$27</f>
        <v>30.141999999999996</v>
      </c>
      <c r="L401" s="14">
        <f>200-SUM(Table3[[#This Row],[D - LIGHT]:[D - VIGOROUS]])</f>
        <v>79.432000000000002</v>
      </c>
      <c r="M401" s="14">
        <f>'PIVOT TABLES'!$I$26</f>
        <v>65.603999999999999</v>
      </c>
      <c r="N401" s="14">
        <f>'PIVOT TABLES'!$I$27-'PIVOT TABLES'!$I$26</f>
        <v>32.802000000000007</v>
      </c>
      <c r="O401" s="14">
        <f>'PIVOT TABLES'!$I$28-'PIVOT TABLES'!$I$27</f>
        <v>32.801999999999992</v>
      </c>
      <c r="P401" s="14">
        <f>200-SUM(Table3[[#This Row],[M - LIGHT]:[M - VIGOROUS]])</f>
        <v>68.792000000000002</v>
      </c>
      <c r="Q401" s="14">
        <f>'PIVOT TABLES'!$P$26</f>
        <v>62.64</v>
      </c>
      <c r="R401" s="14">
        <f>'PIVOT TABLES'!$P$27-'PIVOT TABLES'!$P$26</f>
        <v>31.320000000000007</v>
      </c>
      <c r="S401" s="14">
        <f>'PIVOT TABLES'!$P$28-'PIVOT TABLES'!$P$27</f>
        <v>31.319999999999993</v>
      </c>
      <c r="T401" s="14">
        <f>200-SUM(Table3[[#This Row],[W - LIGHT]:[W - VIGOROUS]])</f>
        <v>74.72</v>
      </c>
      <c r="U401" s="14">
        <f>'PIVOT TABLES'!$W$26</f>
        <v>55.895999999999994</v>
      </c>
      <c r="V401" s="14">
        <f>'PIVOT TABLES'!$W$27-'PIVOT TABLES'!$W$26</f>
        <v>27.948</v>
      </c>
      <c r="W401" s="14">
        <f>'PIVOT TABLES'!$W$28-'PIVOT TABLES'!$W$27</f>
        <v>27.947999999999993</v>
      </c>
      <c r="X401" s="14">
        <f>200-SUM(Table3[[#This Row],[S - LIGHT]:[S - VIGOROUS]])</f>
        <v>88.208000000000013</v>
      </c>
    </row>
    <row r="402" spans="1:24" x14ac:dyDescent="0.25">
      <c r="A402" s="17" t="s">
        <v>6</v>
      </c>
      <c r="B402" s="13" t="str">
        <f t="shared" si="6"/>
        <v>Midfielder</v>
      </c>
      <c r="C402" s="7">
        <v>45309.430486111109</v>
      </c>
      <c r="D402" s="14">
        <v>8017</v>
      </c>
      <c r="E402" s="14">
        <v>286</v>
      </c>
      <c r="F402" s="14">
        <v>32</v>
      </c>
      <c r="G402" s="14">
        <v>38</v>
      </c>
      <c r="H402" s="31">
        <v>90.79</v>
      </c>
      <c r="I402" s="14">
        <f>'PIVOT TABLES'!$B$26</f>
        <v>60.283999999999999</v>
      </c>
      <c r="J402" s="14">
        <f>'PIVOT TABLES'!$B$27-'PIVOT TABLES'!$B$26</f>
        <v>30.142000000000003</v>
      </c>
      <c r="K402" s="14">
        <f>'PIVOT TABLES'!$B$28-'PIVOT TABLES'!$B$27</f>
        <v>30.141999999999996</v>
      </c>
      <c r="L402" s="14">
        <f>200-SUM(Table3[[#This Row],[D - LIGHT]:[D - VIGOROUS]])</f>
        <v>79.432000000000002</v>
      </c>
      <c r="M402" s="14">
        <f>'PIVOT TABLES'!$I$26</f>
        <v>65.603999999999999</v>
      </c>
      <c r="N402" s="14">
        <f>'PIVOT TABLES'!$I$27-'PIVOT TABLES'!$I$26</f>
        <v>32.802000000000007</v>
      </c>
      <c r="O402" s="14">
        <f>'PIVOT TABLES'!$I$28-'PIVOT TABLES'!$I$27</f>
        <v>32.801999999999992</v>
      </c>
      <c r="P402" s="14">
        <f>200-SUM(Table3[[#This Row],[M - LIGHT]:[M - VIGOROUS]])</f>
        <v>68.792000000000002</v>
      </c>
      <c r="Q402" s="14">
        <f>'PIVOT TABLES'!$P$26</f>
        <v>62.64</v>
      </c>
      <c r="R402" s="14">
        <f>'PIVOT TABLES'!$P$27-'PIVOT TABLES'!$P$26</f>
        <v>31.320000000000007</v>
      </c>
      <c r="S402" s="14">
        <f>'PIVOT TABLES'!$P$28-'PIVOT TABLES'!$P$27</f>
        <v>31.319999999999993</v>
      </c>
      <c r="T402" s="14">
        <f>200-SUM(Table3[[#This Row],[W - LIGHT]:[W - VIGOROUS]])</f>
        <v>74.72</v>
      </c>
      <c r="U402" s="14">
        <f>'PIVOT TABLES'!$W$26</f>
        <v>55.895999999999994</v>
      </c>
      <c r="V402" s="14">
        <f>'PIVOT TABLES'!$W$27-'PIVOT TABLES'!$W$26</f>
        <v>27.948</v>
      </c>
      <c r="W402" s="14">
        <f>'PIVOT TABLES'!$W$28-'PIVOT TABLES'!$W$27</f>
        <v>27.947999999999993</v>
      </c>
      <c r="X402" s="14">
        <f>200-SUM(Table3[[#This Row],[S - LIGHT]:[S - VIGOROUS]])</f>
        <v>88.208000000000013</v>
      </c>
    </row>
    <row r="403" spans="1:24" x14ac:dyDescent="0.25">
      <c r="A403" s="17" t="s">
        <v>62</v>
      </c>
      <c r="B403" s="13" t="str">
        <f t="shared" si="6"/>
        <v>Midfielder</v>
      </c>
      <c r="C403" s="7">
        <v>45309.430486111109</v>
      </c>
      <c r="D403" s="14">
        <v>6756</v>
      </c>
      <c r="E403" s="14">
        <v>47</v>
      </c>
      <c r="F403" s="14">
        <v>12</v>
      </c>
      <c r="G403" s="14">
        <v>13</v>
      </c>
      <c r="H403" s="31">
        <v>69.709999999999994</v>
      </c>
      <c r="I403" s="14">
        <f>'PIVOT TABLES'!$B$26</f>
        <v>60.283999999999999</v>
      </c>
      <c r="J403" s="14">
        <f>'PIVOT TABLES'!$B$27-'PIVOT TABLES'!$B$26</f>
        <v>30.142000000000003</v>
      </c>
      <c r="K403" s="14">
        <f>'PIVOT TABLES'!$B$28-'PIVOT TABLES'!$B$27</f>
        <v>30.141999999999996</v>
      </c>
      <c r="L403" s="14">
        <f>200-SUM(Table3[[#This Row],[D - LIGHT]:[D - VIGOROUS]])</f>
        <v>79.432000000000002</v>
      </c>
      <c r="M403" s="14">
        <f>'PIVOT TABLES'!$I$26</f>
        <v>65.603999999999999</v>
      </c>
      <c r="N403" s="14">
        <f>'PIVOT TABLES'!$I$27-'PIVOT TABLES'!$I$26</f>
        <v>32.802000000000007</v>
      </c>
      <c r="O403" s="14">
        <f>'PIVOT TABLES'!$I$28-'PIVOT TABLES'!$I$27</f>
        <v>32.801999999999992</v>
      </c>
      <c r="P403" s="14">
        <f>200-SUM(Table3[[#This Row],[M - LIGHT]:[M - VIGOROUS]])</f>
        <v>68.792000000000002</v>
      </c>
      <c r="Q403" s="14">
        <f>'PIVOT TABLES'!$P$26</f>
        <v>62.64</v>
      </c>
      <c r="R403" s="14">
        <f>'PIVOT TABLES'!$P$27-'PIVOT TABLES'!$P$26</f>
        <v>31.320000000000007</v>
      </c>
      <c r="S403" s="14">
        <f>'PIVOT TABLES'!$P$28-'PIVOT TABLES'!$P$27</f>
        <v>31.319999999999993</v>
      </c>
      <c r="T403" s="14">
        <f>200-SUM(Table3[[#This Row],[W - LIGHT]:[W - VIGOROUS]])</f>
        <v>74.72</v>
      </c>
      <c r="U403" s="14">
        <f>'PIVOT TABLES'!$W$26</f>
        <v>55.895999999999994</v>
      </c>
      <c r="V403" s="14">
        <f>'PIVOT TABLES'!$W$27-'PIVOT TABLES'!$W$26</f>
        <v>27.948</v>
      </c>
      <c r="W403" s="14">
        <f>'PIVOT TABLES'!$W$28-'PIVOT TABLES'!$W$27</f>
        <v>27.947999999999993</v>
      </c>
      <c r="X403" s="14">
        <f>200-SUM(Table3[[#This Row],[S - LIGHT]:[S - VIGOROUS]])</f>
        <v>88.208000000000013</v>
      </c>
    </row>
    <row r="404" spans="1:24" x14ac:dyDescent="0.25">
      <c r="A404" s="17" t="s">
        <v>64</v>
      </c>
      <c r="B404" s="13" t="str">
        <f t="shared" si="6"/>
        <v>Midfielder</v>
      </c>
      <c r="C404" s="7">
        <v>45309.430486111109</v>
      </c>
      <c r="D404" s="14">
        <v>8478</v>
      </c>
      <c r="E404" s="14">
        <v>17</v>
      </c>
      <c r="F404" s="14">
        <v>31</v>
      </c>
      <c r="G404" s="14">
        <v>39</v>
      </c>
      <c r="H404" s="31">
        <v>87.31</v>
      </c>
      <c r="I404" s="14">
        <f>'PIVOT TABLES'!$B$26</f>
        <v>60.283999999999999</v>
      </c>
      <c r="J404" s="14">
        <f>'PIVOT TABLES'!$B$27-'PIVOT TABLES'!$B$26</f>
        <v>30.142000000000003</v>
      </c>
      <c r="K404" s="14">
        <f>'PIVOT TABLES'!$B$28-'PIVOT TABLES'!$B$27</f>
        <v>30.141999999999996</v>
      </c>
      <c r="L404" s="14">
        <f>200-SUM(Table3[[#This Row],[D - LIGHT]:[D - VIGOROUS]])</f>
        <v>79.432000000000002</v>
      </c>
      <c r="M404" s="14">
        <f>'PIVOT TABLES'!$I$26</f>
        <v>65.603999999999999</v>
      </c>
      <c r="N404" s="14">
        <f>'PIVOT TABLES'!$I$27-'PIVOT TABLES'!$I$26</f>
        <v>32.802000000000007</v>
      </c>
      <c r="O404" s="14">
        <f>'PIVOT TABLES'!$I$28-'PIVOT TABLES'!$I$27</f>
        <v>32.801999999999992</v>
      </c>
      <c r="P404" s="14">
        <f>200-SUM(Table3[[#This Row],[M - LIGHT]:[M - VIGOROUS]])</f>
        <v>68.792000000000002</v>
      </c>
      <c r="Q404" s="14">
        <f>'PIVOT TABLES'!$P$26</f>
        <v>62.64</v>
      </c>
      <c r="R404" s="14">
        <f>'PIVOT TABLES'!$P$27-'PIVOT TABLES'!$P$26</f>
        <v>31.320000000000007</v>
      </c>
      <c r="S404" s="14">
        <f>'PIVOT TABLES'!$P$28-'PIVOT TABLES'!$P$27</f>
        <v>31.319999999999993</v>
      </c>
      <c r="T404" s="14">
        <f>200-SUM(Table3[[#This Row],[W - LIGHT]:[W - VIGOROUS]])</f>
        <v>74.72</v>
      </c>
      <c r="U404" s="14">
        <f>'PIVOT TABLES'!$W$26</f>
        <v>55.895999999999994</v>
      </c>
      <c r="V404" s="14">
        <f>'PIVOT TABLES'!$W$27-'PIVOT TABLES'!$W$26</f>
        <v>27.948</v>
      </c>
      <c r="W404" s="14">
        <f>'PIVOT TABLES'!$W$28-'PIVOT TABLES'!$W$27</f>
        <v>27.947999999999993</v>
      </c>
      <c r="X404" s="14">
        <f>200-SUM(Table3[[#This Row],[S - LIGHT]:[S - VIGOROUS]])</f>
        <v>88.208000000000013</v>
      </c>
    </row>
    <row r="405" spans="1:24" x14ac:dyDescent="0.25">
      <c r="A405" s="17" t="s">
        <v>66</v>
      </c>
      <c r="B405" s="13" t="str">
        <f t="shared" si="6"/>
        <v>Striker</v>
      </c>
      <c r="C405" s="7">
        <v>45309.430486111109</v>
      </c>
      <c r="D405" s="14">
        <v>7509</v>
      </c>
      <c r="E405" s="14">
        <v>294</v>
      </c>
      <c r="F405" s="14">
        <v>28</v>
      </c>
      <c r="G405" s="14">
        <v>19</v>
      </c>
      <c r="H405" s="31">
        <v>85.41</v>
      </c>
      <c r="I405" s="14">
        <f>'PIVOT TABLES'!$B$26</f>
        <v>60.283999999999999</v>
      </c>
      <c r="J405" s="14">
        <f>'PIVOT TABLES'!$B$27-'PIVOT TABLES'!$B$26</f>
        <v>30.142000000000003</v>
      </c>
      <c r="K405" s="14">
        <f>'PIVOT TABLES'!$B$28-'PIVOT TABLES'!$B$27</f>
        <v>30.141999999999996</v>
      </c>
      <c r="L405" s="14">
        <f>200-SUM(Table3[[#This Row],[D - LIGHT]:[D - VIGOROUS]])</f>
        <v>79.432000000000002</v>
      </c>
      <c r="M405" s="14">
        <f>'PIVOT TABLES'!$I$26</f>
        <v>65.603999999999999</v>
      </c>
      <c r="N405" s="14">
        <f>'PIVOT TABLES'!$I$27-'PIVOT TABLES'!$I$26</f>
        <v>32.802000000000007</v>
      </c>
      <c r="O405" s="14">
        <f>'PIVOT TABLES'!$I$28-'PIVOT TABLES'!$I$27</f>
        <v>32.801999999999992</v>
      </c>
      <c r="P405" s="14">
        <f>200-SUM(Table3[[#This Row],[M - LIGHT]:[M - VIGOROUS]])</f>
        <v>68.792000000000002</v>
      </c>
      <c r="Q405" s="14">
        <f>'PIVOT TABLES'!$P$26</f>
        <v>62.64</v>
      </c>
      <c r="R405" s="14">
        <f>'PIVOT TABLES'!$P$27-'PIVOT TABLES'!$P$26</f>
        <v>31.320000000000007</v>
      </c>
      <c r="S405" s="14">
        <f>'PIVOT TABLES'!$P$28-'PIVOT TABLES'!$P$27</f>
        <v>31.319999999999993</v>
      </c>
      <c r="T405" s="14">
        <f>200-SUM(Table3[[#This Row],[W - LIGHT]:[W - VIGOROUS]])</f>
        <v>74.72</v>
      </c>
      <c r="U405" s="14">
        <f>'PIVOT TABLES'!$W$26</f>
        <v>55.895999999999994</v>
      </c>
      <c r="V405" s="14">
        <f>'PIVOT TABLES'!$W$27-'PIVOT TABLES'!$W$26</f>
        <v>27.948</v>
      </c>
      <c r="W405" s="14">
        <f>'PIVOT TABLES'!$W$28-'PIVOT TABLES'!$W$27</f>
        <v>27.947999999999993</v>
      </c>
      <c r="X405" s="14">
        <f>200-SUM(Table3[[#This Row],[S - LIGHT]:[S - VIGOROUS]])</f>
        <v>88.208000000000013</v>
      </c>
    </row>
    <row r="406" spans="1:24" x14ac:dyDescent="0.25">
      <c r="A406" s="17" t="s">
        <v>78</v>
      </c>
      <c r="B406" s="13" t="str">
        <f t="shared" si="6"/>
        <v>Defender</v>
      </c>
      <c r="C406" s="7">
        <v>45309.430486111109</v>
      </c>
      <c r="D406" s="14">
        <v>7314</v>
      </c>
      <c r="E406" s="14">
        <v>40</v>
      </c>
      <c r="F406" s="14">
        <v>31</v>
      </c>
      <c r="G406" s="14">
        <v>27</v>
      </c>
      <c r="H406" s="31">
        <v>76.12</v>
      </c>
      <c r="I406" s="14">
        <f>'PIVOT TABLES'!$B$26</f>
        <v>60.283999999999999</v>
      </c>
      <c r="J406" s="14">
        <f>'PIVOT TABLES'!$B$27-'PIVOT TABLES'!$B$26</f>
        <v>30.142000000000003</v>
      </c>
      <c r="K406" s="14">
        <f>'PIVOT TABLES'!$B$28-'PIVOT TABLES'!$B$27</f>
        <v>30.141999999999996</v>
      </c>
      <c r="L406" s="14">
        <f>200-SUM(Table3[[#This Row],[D - LIGHT]:[D - VIGOROUS]])</f>
        <v>79.432000000000002</v>
      </c>
      <c r="M406" s="14">
        <f>'PIVOT TABLES'!$I$26</f>
        <v>65.603999999999999</v>
      </c>
      <c r="N406" s="14">
        <f>'PIVOT TABLES'!$I$27-'PIVOT TABLES'!$I$26</f>
        <v>32.802000000000007</v>
      </c>
      <c r="O406" s="14">
        <f>'PIVOT TABLES'!$I$28-'PIVOT TABLES'!$I$27</f>
        <v>32.801999999999992</v>
      </c>
      <c r="P406" s="14">
        <f>200-SUM(Table3[[#This Row],[M - LIGHT]:[M - VIGOROUS]])</f>
        <v>68.792000000000002</v>
      </c>
      <c r="Q406" s="14">
        <f>'PIVOT TABLES'!$P$26</f>
        <v>62.64</v>
      </c>
      <c r="R406" s="14">
        <f>'PIVOT TABLES'!$P$27-'PIVOT TABLES'!$P$26</f>
        <v>31.320000000000007</v>
      </c>
      <c r="S406" s="14">
        <f>'PIVOT TABLES'!$P$28-'PIVOT TABLES'!$P$27</f>
        <v>31.319999999999993</v>
      </c>
      <c r="T406" s="14">
        <f>200-SUM(Table3[[#This Row],[W - LIGHT]:[W - VIGOROUS]])</f>
        <v>74.72</v>
      </c>
      <c r="U406" s="14">
        <f>'PIVOT TABLES'!$W$26</f>
        <v>55.895999999999994</v>
      </c>
      <c r="V406" s="14">
        <f>'PIVOT TABLES'!$W$27-'PIVOT TABLES'!$W$26</f>
        <v>27.948</v>
      </c>
      <c r="W406" s="14">
        <f>'PIVOT TABLES'!$W$28-'PIVOT TABLES'!$W$27</f>
        <v>27.947999999999993</v>
      </c>
      <c r="X406" s="14">
        <f>200-SUM(Table3[[#This Row],[S - LIGHT]:[S - VIGOROUS]])</f>
        <v>88.208000000000013</v>
      </c>
    </row>
    <row r="407" spans="1:24" x14ac:dyDescent="0.25">
      <c r="A407" s="17" t="s">
        <v>95</v>
      </c>
      <c r="B407" s="13" t="str">
        <f t="shared" si="6"/>
        <v>Winger</v>
      </c>
      <c r="C407" s="7">
        <v>45309.430486111109</v>
      </c>
      <c r="D407" s="14">
        <v>7517</v>
      </c>
      <c r="E407" s="14">
        <v>30</v>
      </c>
      <c r="F407" s="14">
        <v>12</v>
      </c>
      <c r="G407" s="14">
        <v>17</v>
      </c>
      <c r="H407" s="31">
        <v>76.89</v>
      </c>
      <c r="I407" s="14">
        <f>'PIVOT TABLES'!$B$26</f>
        <v>60.283999999999999</v>
      </c>
      <c r="J407" s="14">
        <f>'PIVOT TABLES'!$B$27-'PIVOT TABLES'!$B$26</f>
        <v>30.142000000000003</v>
      </c>
      <c r="K407" s="14">
        <f>'PIVOT TABLES'!$B$28-'PIVOT TABLES'!$B$27</f>
        <v>30.141999999999996</v>
      </c>
      <c r="L407" s="14">
        <f>200-SUM(Table3[[#This Row],[D - LIGHT]:[D - VIGOROUS]])</f>
        <v>79.432000000000002</v>
      </c>
      <c r="M407" s="14">
        <f>'PIVOT TABLES'!$I$26</f>
        <v>65.603999999999999</v>
      </c>
      <c r="N407" s="14">
        <f>'PIVOT TABLES'!$I$27-'PIVOT TABLES'!$I$26</f>
        <v>32.802000000000007</v>
      </c>
      <c r="O407" s="14">
        <f>'PIVOT TABLES'!$I$28-'PIVOT TABLES'!$I$27</f>
        <v>32.801999999999992</v>
      </c>
      <c r="P407" s="14">
        <f>200-SUM(Table3[[#This Row],[M - LIGHT]:[M - VIGOROUS]])</f>
        <v>68.792000000000002</v>
      </c>
      <c r="Q407" s="14">
        <f>'PIVOT TABLES'!$P$26</f>
        <v>62.64</v>
      </c>
      <c r="R407" s="14">
        <f>'PIVOT TABLES'!$P$27-'PIVOT TABLES'!$P$26</f>
        <v>31.320000000000007</v>
      </c>
      <c r="S407" s="14">
        <f>'PIVOT TABLES'!$P$28-'PIVOT TABLES'!$P$27</f>
        <v>31.319999999999993</v>
      </c>
      <c r="T407" s="14">
        <f>200-SUM(Table3[[#This Row],[W - LIGHT]:[W - VIGOROUS]])</f>
        <v>74.72</v>
      </c>
      <c r="U407" s="14">
        <f>'PIVOT TABLES'!$W$26</f>
        <v>55.895999999999994</v>
      </c>
      <c r="V407" s="14">
        <f>'PIVOT TABLES'!$W$27-'PIVOT TABLES'!$W$26</f>
        <v>27.948</v>
      </c>
      <c r="W407" s="14">
        <f>'PIVOT TABLES'!$W$28-'PIVOT TABLES'!$W$27</f>
        <v>27.947999999999993</v>
      </c>
      <c r="X407" s="14">
        <f>200-SUM(Table3[[#This Row],[S - LIGHT]:[S - VIGOROUS]])</f>
        <v>88.208000000000013</v>
      </c>
    </row>
    <row r="408" spans="1:24" x14ac:dyDescent="0.25">
      <c r="A408" s="17" t="s">
        <v>96</v>
      </c>
      <c r="B408" s="13" t="str">
        <f t="shared" si="6"/>
        <v>Winger</v>
      </c>
      <c r="C408" s="7">
        <v>45309.430486111109</v>
      </c>
      <c r="D408" s="14">
        <v>6984</v>
      </c>
      <c r="E408" s="14">
        <v>7</v>
      </c>
      <c r="F408" s="14">
        <v>16</v>
      </c>
      <c r="G408" s="14">
        <v>14</v>
      </c>
      <c r="H408" s="31">
        <v>70.97</v>
      </c>
      <c r="I408" s="14">
        <f>'PIVOT TABLES'!$B$26</f>
        <v>60.283999999999999</v>
      </c>
      <c r="J408" s="14">
        <f>'PIVOT TABLES'!$B$27-'PIVOT TABLES'!$B$26</f>
        <v>30.142000000000003</v>
      </c>
      <c r="K408" s="14">
        <f>'PIVOT TABLES'!$B$28-'PIVOT TABLES'!$B$27</f>
        <v>30.141999999999996</v>
      </c>
      <c r="L408" s="14">
        <f>200-SUM(Table3[[#This Row],[D - LIGHT]:[D - VIGOROUS]])</f>
        <v>79.432000000000002</v>
      </c>
      <c r="M408" s="14">
        <f>'PIVOT TABLES'!$I$26</f>
        <v>65.603999999999999</v>
      </c>
      <c r="N408" s="14">
        <f>'PIVOT TABLES'!$I$27-'PIVOT TABLES'!$I$26</f>
        <v>32.802000000000007</v>
      </c>
      <c r="O408" s="14">
        <f>'PIVOT TABLES'!$I$28-'PIVOT TABLES'!$I$27</f>
        <v>32.801999999999992</v>
      </c>
      <c r="P408" s="14">
        <f>200-SUM(Table3[[#This Row],[M - LIGHT]:[M - VIGOROUS]])</f>
        <v>68.792000000000002</v>
      </c>
      <c r="Q408" s="14">
        <f>'PIVOT TABLES'!$P$26</f>
        <v>62.64</v>
      </c>
      <c r="R408" s="14">
        <f>'PIVOT TABLES'!$P$27-'PIVOT TABLES'!$P$26</f>
        <v>31.320000000000007</v>
      </c>
      <c r="S408" s="14">
        <f>'PIVOT TABLES'!$P$28-'PIVOT TABLES'!$P$27</f>
        <v>31.319999999999993</v>
      </c>
      <c r="T408" s="14">
        <f>200-SUM(Table3[[#This Row],[W - LIGHT]:[W - VIGOROUS]])</f>
        <v>74.72</v>
      </c>
      <c r="U408" s="14">
        <f>'PIVOT TABLES'!$W$26</f>
        <v>55.895999999999994</v>
      </c>
      <c r="V408" s="14">
        <f>'PIVOT TABLES'!$W$27-'PIVOT TABLES'!$W$26</f>
        <v>27.948</v>
      </c>
      <c r="W408" s="14">
        <f>'PIVOT TABLES'!$W$28-'PIVOT TABLES'!$W$27</f>
        <v>27.947999999999993</v>
      </c>
      <c r="X408" s="14">
        <f>200-SUM(Table3[[#This Row],[S - LIGHT]:[S - VIGOROUS]])</f>
        <v>88.208000000000013</v>
      </c>
    </row>
    <row r="409" spans="1:24" x14ac:dyDescent="0.25">
      <c r="A409" s="17" t="s">
        <v>8</v>
      </c>
      <c r="B409" s="13" t="str">
        <f t="shared" si="6"/>
        <v>Striker</v>
      </c>
      <c r="C409" s="7">
        <v>45309.430486111109</v>
      </c>
      <c r="D409" s="14">
        <v>7415</v>
      </c>
      <c r="E409" s="14">
        <v>60</v>
      </c>
      <c r="F409" s="14">
        <v>30</v>
      </c>
      <c r="G409" s="14">
        <v>33</v>
      </c>
      <c r="H409" s="31">
        <v>77.81</v>
      </c>
      <c r="I409" s="14">
        <f>'PIVOT TABLES'!$B$26</f>
        <v>60.283999999999999</v>
      </c>
      <c r="J409" s="14">
        <f>'PIVOT TABLES'!$B$27-'PIVOT TABLES'!$B$26</f>
        <v>30.142000000000003</v>
      </c>
      <c r="K409" s="14">
        <f>'PIVOT TABLES'!$B$28-'PIVOT TABLES'!$B$27</f>
        <v>30.141999999999996</v>
      </c>
      <c r="L409" s="14">
        <f>200-SUM(Table3[[#This Row],[D - LIGHT]:[D - VIGOROUS]])</f>
        <v>79.432000000000002</v>
      </c>
      <c r="M409" s="14">
        <f>'PIVOT TABLES'!$I$26</f>
        <v>65.603999999999999</v>
      </c>
      <c r="N409" s="14">
        <f>'PIVOT TABLES'!$I$27-'PIVOT TABLES'!$I$26</f>
        <v>32.802000000000007</v>
      </c>
      <c r="O409" s="14">
        <f>'PIVOT TABLES'!$I$28-'PIVOT TABLES'!$I$27</f>
        <v>32.801999999999992</v>
      </c>
      <c r="P409" s="14">
        <f>200-SUM(Table3[[#This Row],[M - LIGHT]:[M - VIGOROUS]])</f>
        <v>68.792000000000002</v>
      </c>
      <c r="Q409" s="14">
        <f>'PIVOT TABLES'!$P$26</f>
        <v>62.64</v>
      </c>
      <c r="R409" s="14">
        <f>'PIVOT TABLES'!$P$27-'PIVOT TABLES'!$P$26</f>
        <v>31.320000000000007</v>
      </c>
      <c r="S409" s="14">
        <f>'PIVOT TABLES'!$P$28-'PIVOT TABLES'!$P$27</f>
        <v>31.319999999999993</v>
      </c>
      <c r="T409" s="14">
        <f>200-SUM(Table3[[#This Row],[W - LIGHT]:[W - VIGOROUS]])</f>
        <v>74.72</v>
      </c>
      <c r="U409" s="14">
        <f>'PIVOT TABLES'!$W$26</f>
        <v>55.895999999999994</v>
      </c>
      <c r="V409" s="14">
        <f>'PIVOT TABLES'!$W$27-'PIVOT TABLES'!$W$26</f>
        <v>27.948</v>
      </c>
      <c r="W409" s="14">
        <f>'PIVOT TABLES'!$W$28-'PIVOT TABLES'!$W$27</f>
        <v>27.947999999999993</v>
      </c>
      <c r="X409" s="14">
        <f>200-SUM(Table3[[#This Row],[S - LIGHT]:[S - VIGOROUS]])</f>
        <v>88.208000000000013</v>
      </c>
    </row>
    <row r="410" spans="1:24" x14ac:dyDescent="0.25">
      <c r="A410" s="17" t="s">
        <v>67</v>
      </c>
      <c r="B410" s="13" t="str">
        <f t="shared" si="6"/>
        <v>Midfielder</v>
      </c>
      <c r="C410" s="7">
        <v>45309</v>
      </c>
      <c r="D410" s="14">
        <v>8225</v>
      </c>
      <c r="E410" s="14">
        <v>7</v>
      </c>
      <c r="F410" s="14">
        <v>18</v>
      </c>
      <c r="G410" s="14">
        <v>24</v>
      </c>
      <c r="H410" s="31">
        <v>83.66</v>
      </c>
      <c r="I410" s="14">
        <f>'PIVOT TABLES'!$B$26</f>
        <v>60.283999999999999</v>
      </c>
      <c r="J410" s="14">
        <f>'PIVOT TABLES'!$B$27-'PIVOT TABLES'!$B$26</f>
        <v>30.142000000000003</v>
      </c>
      <c r="K410" s="14">
        <f>'PIVOT TABLES'!$B$28-'PIVOT TABLES'!$B$27</f>
        <v>30.141999999999996</v>
      </c>
      <c r="L410" s="14">
        <f>200-SUM(Table3[[#This Row],[D - LIGHT]:[D - VIGOROUS]])</f>
        <v>79.432000000000002</v>
      </c>
      <c r="M410" s="14">
        <f>'PIVOT TABLES'!$I$26</f>
        <v>65.603999999999999</v>
      </c>
      <c r="N410" s="14">
        <f>'PIVOT TABLES'!$I$27-'PIVOT TABLES'!$I$26</f>
        <v>32.802000000000007</v>
      </c>
      <c r="O410" s="14">
        <f>'PIVOT TABLES'!$I$28-'PIVOT TABLES'!$I$27</f>
        <v>32.801999999999992</v>
      </c>
      <c r="P410" s="14">
        <f>200-SUM(Table3[[#This Row],[M - LIGHT]:[M - VIGOROUS]])</f>
        <v>68.792000000000002</v>
      </c>
      <c r="Q410" s="14">
        <f>'PIVOT TABLES'!$P$26</f>
        <v>62.64</v>
      </c>
      <c r="R410" s="14">
        <f>'PIVOT TABLES'!$P$27-'PIVOT TABLES'!$P$26</f>
        <v>31.320000000000007</v>
      </c>
      <c r="S410" s="14">
        <f>'PIVOT TABLES'!$P$28-'PIVOT TABLES'!$P$27</f>
        <v>31.319999999999993</v>
      </c>
      <c r="T410" s="14">
        <f>200-SUM(Table3[[#This Row],[W - LIGHT]:[W - VIGOROUS]])</f>
        <v>74.72</v>
      </c>
      <c r="U410" s="14">
        <f>'PIVOT TABLES'!$W$26</f>
        <v>55.895999999999994</v>
      </c>
      <c r="V410" s="14">
        <f>'PIVOT TABLES'!$W$27-'PIVOT TABLES'!$W$26</f>
        <v>27.948</v>
      </c>
      <c r="W410" s="14">
        <f>'PIVOT TABLES'!$W$28-'PIVOT TABLES'!$W$27</f>
        <v>27.947999999999993</v>
      </c>
      <c r="X410" s="14">
        <f>200-SUM(Table3[[#This Row],[S - LIGHT]:[S - VIGOROUS]])</f>
        <v>88.208000000000013</v>
      </c>
    </row>
    <row r="411" spans="1:24" x14ac:dyDescent="0.25">
      <c r="A411" s="17" t="s">
        <v>69</v>
      </c>
      <c r="B411" s="13" t="str">
        <f t="shared" si="6"/>
        <v>Midfielder</v>
      </c>
      <c r="C411" s="7">
        <v>45309</v>
      </c>
      <c r="D411" s="14">
        <v>7877</v>
      </c>
      <c r="E411" s="14">
        <v>133</v>
      </c>
      <c r="F411" s="14">
        <v>37</v>
      </c>
      <c r="G411" s="14">
        <v>27</v>
      </c>
      <c r="H411" s="31">
        <v>84.78</v>
      </c>
      <c r="I411" s="14">
        <f>'PIVOT TABLES'!$B$26</f>
        <v>60.283999999999999</v>
      </c>
      <c r="J411" s="14">
        <f>'PIVOT TABLES'!$B$27-'PIVOT TABLES'!$B$26</f>
        <v>30.142000000000003</v>
      </c>
      <c r="K411" s="14">
        <f>'PIVOT TABLES'!$B$28-'PIVOT TABLES'!$B$27</f>
        <v>30.141999999999996</v>
      </c>
      <c r="L411" s="14">
        <f>200-SUM(Table3[[#This Row],[D - LIGHT]:[D - VIGOROUS]])</f>
        <v>79.432000000000002</v>
      </c>
      <c r="M411" s="14">
        <f>'PIVOT TABLES'!$I$26</f>
        <v>65.603999999999999</v>
      </c>
      <c r="N411" s="14">
        <f>'PIVOT TABLES'!$I$27-'PIVOT TABLES'!$I$26</f>
        <v>32.802000000000007</v>
      </c>
      <c r="O411" s="14">
        <f>'PIVOT TABLES'!$I$28-'PIVOT TABLES'!$I$27</f>
        <v>32.801999999999992</v>
      </c>
      <c r="P411" s="14">
        <f>200-SUM(Table3[[#This Row],[M - LIGHT]:[M - VIGOROUS]])</f>
        <v>68.792000000000002</v>
      </c>
      <c r="Q411" s="14">
        <f>'PIVOT TABLES'!$P$26</f>
        <v>62.64</v>
      </c>
      <c r="R411" s="14">
        <f>'PIVOT TABLES'!$P$27-'PIVOT TABLES'!$P$26</f>
        <v>31.320000000000007</v>
      </c>
      <c r="S411" s="14">
        <f>'PIVOT TABLES'!$P$28-'PIVOT TABLES'!$P$27</f>
        <v>31.319999999999993</v>
      </c>
      <c r="T411" s="14">
        <f>200-SUM(Table3[[#This Row],[W - LIGHT]:[W - VIGOROUS]])</f>
        <v>74.72</v>
      </c>
      <c r="U411" s="14">
        <f>'PIVOT TABLES'!$W$26</f>
        <v>55.895999999999994</v>
      </c>
      <c r="V411" s="14">
        <f>'PIVOT TABLES'!$W$27-'PIVOT TABLES'!$W$26</f>
        <v>27.948</v>
      </c>
      <c r="W411" s="14">
        <f>'PIVOT TABLES'!$W$28-'PIVOT TABLES'!$W$27</f>
        <v>27.947999999999993</v>
      </c>
      <c r="X411" s="14">
        <f>200-SUM(Table3[[#This Row],[S - LIGHT]:[S - VIGOROUS]])</f>
        <v>88.208000000000013</v>
      </c>
    </row>
    <row r="412" spans="1:24" x14ac:dyDescent="0.25">
      <c r="A412" s="17" t="s">
        <v>70</v>
      </c>
      <c r="B412" s="13" t="str">
        <f t="shared" si="6"/>
        <v>Winger</v>
      </c>
      <c r="C412" s="7">
        <v>45313.424027777779</v>
      </c>
      <c r="D412" s="14">
        <v>7674</v>
      </c>
      <c r="E412" s="14">
        <v>86</v>
      </c>
      <c r="F412" s="14">
        <v>18</v>
      </c>
      <c r="G412" s="14">
        <v>12</v>
      </c>
      <c r="H412" s="32">
        <v>80.28</v>
      </c>
      <c r="I412" s="14">
        <f>'PIVOT TABLES'!$B$26</f>
        <v>60.283999999999999</v>
      </c>
      <c r="J412" s="14">
        <f>'PIVOT TABLES'!$B$27-'PIVOT TABLES'!$B$26</f>
        <v>30.142000000000003</v>
      </c>
      <c r="K412" s="14">
        <f>'PIVOT TABLES'!$B$28-'PIVOT TABLES'!$B$27</f>
        <v>30.141999999999996</v>
      </c>
      <c r="L412" s="14">
        <f>200-SUM(Table3[[#This Row],[D - LIGHT]:[D - VIGOROUS]])</f>
        <v>79.432000000000002</v>
      </c>
      <c r="M412" s="14">
        <f>'PIVOT TABLES'!$I$26</f>
        <v>65.603999999999999</v>
      </c>
      <c r="N412" s="14">
        <f>'PIVOT TABLES'!$I$27-'PIVOT TABLES'!$I$26</f>
        <v>32.802000000000007</v>
      </c>
      <c r="O412" s="14">
        <f>'PIVOT TABLES'!$I$28-'PIVOT TABLES'!$I$27</f>
        <v>32.801999999999992</v>
      </c>
      <c r="P412" s="14">
        <f>200-SUM(Table3[[#This Row],[M - LIGHT]:[M - VIGOROUS]])</f>
        <v>68.792000000000002</v>
      </c>
      <c r="Q412" s="14">
        <f>'PIVOT TABLES'!$P$26</f>
        <v>62.64</v>
      </c>
      <c r="R412" s="14">
        <f>'PIVOT TABLES'!$P$27-'PIVOT TABLES'!$P$26</f>
        <v>31.320000000000007</v>
      </c>
      <c r="S412" s="14">
        <f>'PIVOT TABLES'!$P$28-'PIVOT TABLES'!$P$27</f>
        <v>31.319999999999993</v>
      </c>
      <c r="T412" s="14">
        <f>200-SUM(Table3[[#This Row],[W - LIGHT]:[W - VIGOROUS]])</f>
        <v>74.72</v>
      </c>
      <c r="U412" s="14">
        <f>'PIVOT TABLES'!$W$26</f>
        <v>55.895999999999994</v>
      </c>
      <c r="V412" s="14">
        <f>'PIVOT TABLES'!$W$27-'PIVOT TABLES'!$W$26</f>
        <v>27.948</v>
      </c>
      <c r="W412" s="14">
        <f>'PIVOT TABLES'!$W$28-'PIVOT TABLES'!$W$27</f>
        <v>27.947999999999993</v>
      </c>
      <c r="X412" s="14">
        <f>200-SUM(Table3[[#This Row],[S - LIGHT]:[S - VIGOROUS]])</f>
        <v>88.208000000000013</v>
      </c>
    </row>
    <row r="413" spans="1:24" x14ac:dyDescent="0.25">
      <c r="A413" s="17" t="s">
        <v>53</v>
      </c>
      <c r="B413" s="13" t="str">
        <f t="shared" si="6"/>
        <v>Midfielder</v>
      </c>
      <c r="C413" s="7">
        <v>45313.424027777779</v>
      </c>
      <c r="D413" s="14">
        <v>7959</v>
      </c>
      <c r="E413" s="14">
        <v>42</v>
      </c>
      <c r="F413" s="14">
        <v>18</v>
      </c>
      <c r="G413" s="14">
        <v>27</v>
      </c>
      <c r="H413" s="32">
        <v>82.11</v>
      </c>
      <c r="I413" s="14">
        <f>'PIVOT TABLES'!$B$26</f>
        <v>60.283999999999999</v>
      </c>
      <c r="J413" s="14">
        <f>'PIVOT TABLES'!$B$27-'PIVOT TABLES'!$B$26</f>
        <v>30.142000000000003</v>
      </c>
      <c r="K413" s="14">
        <f>'PIVOT TABLES'!$B$28-'PIVOT TABLES'!$B$27</f>
        <v>30.141999999999996</v>
      </c>
      <c r="L413" s="14">
        <f>200-SUM(Table3[[#This Row],[D - LIGHT]:[D - VIGOROUS]])</f>
        <v>79.432000000000002</v>
      </c>
      <c r="M413" s="14">
        <f>'PIVOT TABLES'!$I$26</f>
        <v>65.603999999999999</v>
      </c>
      <c r="N413" s="14">
        <f>'PIVOT TABLES'!$I$27-'PIVOT TABLES'!$I$26</f>
        <v>32.802000000000007</v>
      </c>
      <c r="O413" s="14">
        <f>'PIVOT TABLES'!$I$28-'PIVOT TABLES'!$I$27</f>
        <v>32.801999999999992</v>
      </c>
      <c r="P413" s="14">
        <f>200-SUM(Table3[[#This Row],[M - LIGHT]:[M - VIGOROUS]])</f>
        <v>68.792000000000002</v>
      </c>
      <c r="Q413" s="14">
        <f>'PIVOT TABLES'!$P$26</f>
        <v>62.64</v>
      </c>
      <c r="R413" s="14">
        <f>'PIVOT TABLES'!$P$27-'PIVOT TABLES'!$P$26</f>
        <v>31.320000000000007</v>
      </c>
      <c r="S413" s="14">
        <f>'PIVOT TABLES'!$P$28-'PIVOT TABLES'!$P$27</f>
        <v>31.319999999999993</v>
      </c>
      <c r="T413" s="14">
        <f>200-SUM(Table3[[#This Row],[W - LIGHT]:[W - VIGOROUS]])</f>
        <v>74.72</v>
      </c>
      <c r="U413" s="14">
        <f>'PIVOT TABLES'!$W$26</f>
        <v>55.895999999999994</v>
      </c>
      <c r="V413" s="14">
        <f>'PIVOT TABLES'!$W$27-'PIVOT TABLES'!$W$26</f>
        <v>27.948</v>
      </c>
      <c r="W413" s="14">
        <f>'PIVOT TABLES'!$W$28-'PIVOT TABLES'!$W$27</f>
        <v>27.947999999999993</v>
      </c>
      <c r="X413" s="14">
        <f>200-SUM(Table3[[#This Row],[S - LIGHT]:[S - VIGOROUS]])</f>
        <v>88.208000000000013</v>
      </c>
    </row>
    <row r="414" spans="1:24" x14ac:dyDescent="0.25">
      <c r="A414" s="32" t="s">
        <v>55</v>
      </c>
      <c r="B414" s="13" t="str">
        <f t="shared" si="6"/>
        <v>Striker</v>
      </c>
      <c r="C414" s="7">
        <v>45313.424027777779</v>
      </c>
      <c r="D414" s="14">
        <v>7378</v>
      </c>
      <c r="E414" s="14">
        <v>88</v>
      </c>
      <c r="F414" s="14">
        <v>17</v>
      </c>
      <c r="G414" s="14">
        <v>14</v>
      </c>
      <c r="H414" s="32">
        <v>77.38</v>
      </c>
      <c r="I414" s="14">
        <f>'PIVOT TABLES'!$B$26</f>
        <v>60.283999999999999</v>
      </c>
      <c r="J414" s="14">
        <f>'PIVOT TABLES'!$B$27-'PIVOT TABLES'!$B$26</f>
        <v>30.142000000000003</v>
      </c>
      <c r="K414" s="14">
        <f>'PIVOT TABLES'!$B$28-'PIVOT TABLES'!$B$27</f>
        <v>30.141999999999996</v>
      </c>
      <c r="L414" s="14">
        <f>200-SUM(Table3[[#This Row],[D - LIGHT]:[D - VIGOROUS]])</f>
        <v>79.432000000000002</v>
      </c>
      <c r="M414" s="14">
        <f>'PIVOT TABLES'!$I$26</f>
        <v>65.603999999999999</v>
      </c>
      <c r="N414" s="14">
        <f>'PIVOT TABLES'!$I$27-'PIVOT TABLES'!$I$26</f>
        <v>32.802000000000007</v>
      </c>
      <c r="O414" s="14">
        <f>'PIVOT TABLES'!$I$28-'PIVOT TABLES'!$I$27</f>
        <v>32.801999999999992</v>
      </c>
      <c r="P414" s="14">
        <f>200-SUM(Table3[[#This Row],[M - LIGHT]:[M - VIGOROUS]])</f>
        <v>68.792000000000002</v>
      </c>
      <c r="Q414" s="14">
        <f>'PIVOT TABLES'!$P$26</f>
        <v>62.64</v>
      </c>
      <c r="R414" s="14">
        <f>'PIVOT TABLES'!$P$27-'PIVOT TABLES'!$P$26</f>
        <v>31.320000000000007</v>
      </c>
      <c r="S414" s="14">
        <f>'PIVOT TABLES'!$P$28-'PIVOT TABLES'!$P$27</f>
        <v>31.319999999999993</v>
      </c>
      <c r="T414" s="14">
        <f>200-SUM(Table3[[#This Row],[W - LIGHT]:[W - VIGOROUS]])</f>
        <v>74.72</v>
      </c>
      <c r="U414" s="14">
        <f>'PIVOT TABLES'!$W$26</f>
        <v>55.895999999999994</v>
      </c>
      <c r="V414" s="14">
        <f>'PIVOT TABLES'!$W$27-'PIVOT TABLES'!$W$26</f>
        <v>27.948</v>
      </c>
      <c r="W414" s="14">
        <f>'PIVOT TABLES'!$W$28-'PIVOT TABLES'!$W$27</f>
        <v>27.947999999999993</v>
      </c>
      <c r="X414" s="14">
        <f>200-SUM(Table3[[#This Row],[S - LIGHT]:[S - VIGOROUS]])</f>
        <v>88.208000000000013</v>
      </c>
    </row>
    <row r="415" spans="1:24" x14ac:dyDescent="0.25">
      <c r="A415" s="32" t="s">
        <v>1</v>
      </c>
      <c r="B415" s="13" t="str">
        <f t="shared" si="6"/>
        <v>Defender</v>
      </c>
      <c r="C415" s="7">
        <v>45313.424027777779</v>
      </c>
      <c r="D415" s="14">
        <v>7297</v>
      </c>
      <c r="E415" s="14">
        <v>153</v>
      </c>
      <c r="F415" s="14">
        <v>27</v>
      </c>
      <c r="G415" s="14">
        <v>12</v>
      </c>
      <c r="H415" s="32">
        <v>78.88</v>
      </c>
      <c r="I415" s="14">
        <f>'PIVOT TABLES'!$B$26</f>
        <v>60.283999999999999</v>
      </c>
      <c r="J415" s="14">
        <f>'PIVOT TABLES'!$B$27-'PIVOT TABLES'!$B$26</f>
        <v>30.142000000000003</v>
      </c>
      <c r="K415" s="14">
        <f>'PIVOT TABLES'!$B$28-'PIVOT TABLES'!$B$27</f>
        <v>30.141999999999996</v>
      </c>
      <c r="L415" s="14">
        <f>200-SUM(Table3[[#This Row],[D - LIGHT]:[D - VIGOROUS]])</f>
        <v>79.432000000000002</v>
      </c>
      <c r="M415" s="14">
        <f>'PIVOT TABLES'!$I$26</f>
        <v>65.603999999999999</v>
      </c>
      <c r="N415" s="14">
        <f>'PIVOT TABLES'!$I$27-'PIVOT TABLES'!$I$26</f>
        <v>32.802000000000007</v>
      </c>
      <c r="O415" s="14">
        <f>'PIVOT TABLES'!$I$28-'PIVOT TABLES'!$I$27</f>
        <v>32.801999999999992</v>
      </c>
      <c r="P415" s="14">
        <f>200-SUM(Table3[[#This Row],[M - LIGHT]:[M - VIGOROUS]])</f>
        <v>68.792000000000002</v>
      </c>
      <c r="Q415" s="14">
        <f>'PIVOT TABLES'!$P$26</f>
        <v>62.64</v>
      </c>
      <c r="R415" s="14">
        <f>'PIVOT TABLES'!$P$27-'PIVOT TABLES'!$P$26</f>
        <v>31.320000000000007</v>
      </c>
      <c r="S415" s="14">
        <f>'PIVOT TABLES'!$P$28-'PIVOT TABLES'!$P$27</f>
        <v>31.319999999999993</v>
      </c>
      <c r="T415" s="14">
        <f>200-SUM(Table3[[#This Row],[W - LIGHT]:[W - VIGOROUS]])</f>
        <v>74.72</v>
      </c>
      <c r="U415" s="14">
        <f>'PIVOT TABLES'!$W$26</f>
        <v>55.895999999999994</v>
      </c>
      <c r="V415" s="14">
        <f>'PIVOT TABLES'!$W$27-'PIVOT TABLES'!$W$26</f>
        <v>27.948</v>
      </c>
      <c r="W415" s="14">
        <f>'PIVOT TABLES'!$W$28-'PIVOT TABLES'!$W$27</f>
        <v>27.947999999999993</v>
      </c>
      <c r="X415" s="14">
        <f>200-SUM(Table3[[#This Row],[S - LIGHT]:[S - VIGOROUS]])</f>
        <v>88.208000000000013</v>
      </c>
    </row>
    <row r="416" spans="1:24" x14ac:dyDescent="0.25">
      <c r="A416" s="32" t="s">
        <v>56</v>
      </c>
      <c r="B416" s="13" t="str">
        <f t="shared" si="6"/>
        <v>Midfielder</v>
      </c>
      <c r="C416" s="7">
        <v>45313.424027777779</v>
      </c>
      <c r="D416" s="14">
        <v>8164</v>
      </c>
      <c r="E416" s="14">
        <v>19</v>
      </c>
      <c r="F416" s="14">
        <v>26</v>
      </c>
      <c r="G416" s="14">
        <v>17</v>
      </c>
      <c r="H416" s="32">
        <v>83.59</v>
      </c>
      <c r="I416" s="14">
        <f>'PIVOT TABLES'!$B$26</f>
        <v>60.283999999999999</v>
      </c>
      <c r="J416" s="14">
        <f>'PIVOT TABLES'!$B$27-'PIVOT TABLES'!$B$26</f>
        <v>30.142000000000003</v>
      </c>
      <c r="K416" s="14">
        <f>'PIVOT TABLES'!$B$28-'PIVOT TABLES'!$B$27</f>
        <v>30.141999999999996</v>
      </c>
      <c r="L416" s="14">
        <f>200-SUM(Table3[[#This Row],[D - LIGHT]:[D - VIGOROUS]])</f>
        <v>79.432000000000002</v>
      </c>
      <c r="M416" s="14">
        <f>'PIVOT TABLES'!$I$26</f>
        <v>65.603999999999999</v>
      </c>
      <c r="N416" s="14">
        <f>'PIVOT TABLES'!$I$27-'PIVOT TABLES'!$I$26</f>
        <v>32.802000000000007</v>
      </c>
      <c r="O416" s="14">
        <f>'PIVOT TABLES'!$I$28-'PIVOT TABLES'!$I$27</f>
        <v>32.801999999999992</v>
      </c>
      <c r="P416" s="14">
        <f>200-SUM(Table3[[#This Row],[M - LIGHT]:[M - VIGOROUS]])</f>
        <v>68.792000000000002</v>
      </c>
      <c r="Q416" s="14">
        <f>'PIVOT TABLES'!$P$26</f>
        <v>62.64</v>
      </c>
      <c r="R416" s="14">
        <f>'PIVOT TABLES'!$P$27-'PIVOT TABLES'!$P$26</f>
        <v>31.320000000000007</v>
      </c>
      <c r="S416" s="14">
        <f>'PIVOT TABLES'!$P$28-'PIVOT TABLES'!$P$27</f>
        <v>31.319999999999993</v>
      </c>
      <c r="T416" s="14">
        <f>200-SUM(Table3[[#This Row],[W - LIGHT]:[W - VIGOROUS]])</f>
        <v>74.72</v>
      </c>
      <c r="U416" s="14">
        <f>'PIVOT TABLES'!$W$26</f>
        <v>55.895999999999994</v>
      </c>
      <c r="V416" s="14">
        <f>'PIVOT TABLES'!$W$27-'PIVOT TABLES'!$W$26</f>
        <v>27.948</v>
      </c>
      <c r="W416" s="14">
        <f>'PIVOT TABLES'!$W$28-'PIVOT TABLES'!$W$27</f>
        <v>27.947999999999993</v>
      </c>
      <c r="X416" s="14">
        <f>200-SUM(Table3[[#This Row],[S - LIGHT]:[S - VIGOROUS]])</f>
        <v>88.208000000000013</v>
      </c>
    </row>
    <row r="417" spans="1:24" x14ac:dyDescent="0.25">
      <c r="A417" s="32" t="s">
        <v>2</v>
      </c>
      <c r="B417" s="13" t="str">
        <f t="shared" si="6"/>
        <v>Defender</v>
      </c>
      <c r="C417" s="7">
        <v>45313.424027777779</v>
      </c>
      <c r="D417" s="14">
        <v>7334</v>
      </c>
      <c r="E417" s="14">
        <v>0</v>
      </c>
      <c r="F417" s="14">
        <v>15</v>
      </c>
      <c r="G417" s="14">
        <v>15</v>
      </c>
      <c r="H417" s="32">
        <v>74.239999999999995</v>
      </c>
      <c r="I417" s="14">
        <f>'PIVOT TABLES'!$B$26</f>
        <v>60.283999999999999</v>
      </c>
      <c r="J417" s="14">
        <f>'PIVOT TABLES'!$B$27-'PIVOT TABLES'!$B$26</f>
        <v>30.142000000000003</v>
      </c>
      <c r="K417" s="14">
        <f>'PIVOT TABLES'!$B$28-'PIVOT TABLES'!$B$27</f>
        <v>30.141999999999996</v>
      </c>
      <c r="L417" s="14">
        <f>200-SUM(Table3[[#This Row],[D - LIGHT]:[D - VIGOROUS]])</f>
        <v>79.432000000000002</v>
      </c>
      <c r="M417" s="14">
        <f>'PIVOT TABLES'!$I$26</f>
        <v>65.603999999999999</v>
      </c>
      <c r="N417" s="14">
        <f>'PIVOT TABLES'!$I$27-'PIVOT TABLES'!$I$26</f>
        <v>32.802000000000007</v>
      </c>
      <c r="O417" s="14">
        <f>'PIVOT TABLES'!$I$28-'PIVOT TABLES'!$I$27</f>
        <v>32.801999999999992</v>
      </c>
      <c r="P417" s="14">
        <f>200-SUM(Table3[[#This Row],[M - LIGHT]:[M - VIGOROUS]])</f>
        <v>68.792000000000002</v>
      </c>
      <c r="Q417" s="14">
        <f>'PIVOT TABLES'!$P$26</f>
        <v>62.64</v>
      </c>
      <c r="R417" s="14">
        <f>'PIVOT TABLES'!$P$27-'PIVOT TABLES'!$P$26</f>
        <v>31.320000000000007</v>
      </c>
      <c r="S417" s="14">
        <f>'PIVOT TABLES'!$P$28-'PIVOT TABLES'!$P$27</f>
        <v>31.319999999999993</v>
      </c>
      <c r="T417" s="14">
        <f>200-SUM(Table3[[#This Row],[W - LIGHT]:[W - VIGOROUS]])</f>
        <v>74.72</v>
      </c>
      <c r="U417" s="14">
        <f>'PIVOT TABLES'!$W$26</f>
        <v>55.895999999999994</v>
      </c>
      <c r="V417" s="14">
        <f>'PIVOT TABLES'!$W$27-'PIVOT TABLES'!$W$26</f>
        <v>27.948</v>
      </c>
      <c r="W417" s="14">
        <f>'PIVOT TABLES'!$W$28-'PIVOT TABLES'!$W$27</f>
        <v>27.947999999999993</v>
      </c>
      <c r="X417" s="14">
        <f>200-SUM(Table3[[#This Row],[S - LIGHT]:[S - VIGOROUS]])</f>
        <v>88.208000000000013</v>
      </c>
    </row>
    <row r="418" spans="1:24" x14ac:dyDescent="0.25">
      <c r="A418" s="32" t="s">
        <v>58</v>
      </c>
      <c r="B418" s="13" t="str">
        <f t="shared" si="6"/>
        <v>Defender</v>
      </c>
      <c r="C418" s="7">
        <v>45313.424027777779</v>
      </c>
      <c r="D418" s="14">
        <v>7667</v>
      </c>
      <c r="E418" s="14">
        <v>90</v>
      </c>
      <c r="F418" s="14">
        <v>27</v>
      </c>
      <c r="G418" s="14">
        <v>10</v>
      </c>
      <c r="H418" s="32">
        <v>80.650000000000006</v>
      </c>
      <c r="I418" s="14">
        <f>'PIVOT TABLES'!$B$26</f>
        <v>60.283999999999999</v>
      </c>
      <c r="J418" s="14">
        <f>'PIVOT TABLES'!$B$27-'PIVOT TABLES'!$B$26</f>
        <v>30.142000000000003</v>
      </c>
      <c r="K418" s="14">
        <f>'PIVOT TABLES'!$B$28-'PIVOT TABLES'!$B$27</f>
        <v>30.141999999999996</v>
      </c>
      <c r="L418" s="14">
        <f>200-SUM(Table3[[#This Row],[D - LIGHT]:[D - VIGOROUS]])</f>
        <v>79.432000000000002</v>
      </c>
      <c r="M418" s="14">
        <f>'PIVOT TABLES'!$I$26</f>
        <v>65.603999999999999</v>
      </c>
      <c r="N418" s="14">
        <f>'PIVOT TABLES'!$I$27-'PIVOT TABLES'!$I$26</f>
        <v>32.802000000000007</v>
      </c>
      <c r="O418" s="14">
        <f>'PIVOT TABLES'!$I$28-'PIVOT TABLES'!$I$27</f>
        <v>32.801999999999992</v>
      </c>
      <c r="P418" s="14">
        <f>200-SUM(Table3[[#This Row],[M - LIGHT]:[M - VIGOROUS]])</f>
        <v>68.792000000000002</v>
      </c>
      <c r="Q418" s="14">
        <f>'PIVOT TABLES'!$P$26</f>
        <v>62.64</v>
      </c>
      <c r="R418" s="14">
        <f>'PIVOT TABLES'!$P$27-'PIVOT TABLES'!$P$26</f>
        <v>31.320000000000007</v>
      </c>
      <c r="S418" s="14">
        <f>'PIVOT TABLES'!$P$28-'PIVOT TABLES'!$P$27</f>
        <v>31.319999999999993</v>
      </c>
      <c r="T418" s="14">
        <f>200-SUM(Table3[[#This Row],[W - LIGHT]:[W - VIGOROUS]])</f>
        <v>74.72</v>
      </c>
      <c r="U418" s="14">
        <f>'PIVOT TABLES'!$W$26</f>
        <v>55.895999999999994</v>
      </c>
      <c r="V418" s="14">
        <f>'PIVOT TABLES'!$W$27-'PIVOT TABLES'!$W$26</f>
        <v>27.948</v>
      </c>
      <c r="W418" s="14">
        <f>'PIVOT TABLES'!$W$28-'PIVOT TABLES'!$W$27</f>
        <v>27.947999999999993</v>
      </c>
      <c r="X418" s="14">
        <f>200-SUM(Table3[[#This Row],[S - LIGHT]:[S - VIGOROUS]])</f>
        <v>88.208000000000013</v>
      </c>
    </row>
    <row r="419" spans="1:24" x14ac:dyDescent="0.25">
      <c r="A419" s="32" t="s">
        <v>3</v>
      </c>
      <c r="B419" s="13" t="str">
        <f t="shared" si="6"/>
        <v>Defender</v>
      </c>
      <c r="C419" s="7">
        <v>45313.424027777779</v>
      </c>
      <c r="D419" s="14">
        <v>7264</v>
      </c>
      <c r="E419" s="14">
        <v>82</v>
      </c>
      <c r="F419" s="14">
        <v>22</v>
      </c>
      <c r="G419" s="14">
        <v>25</v>
      </c>
      <c r="H419" s="32">
        <v>76.48</v>
      </c>
      <c r="I419" s="14">
        <f>'PIVOT TABLES'!$B$26</f>
        <v>60.283999999999999</v>
      </c>
      <c r="J419" s="14">
        <f>'PIVOT TABLES'!$B$27-'PIVOT TABLES'!$B$26</f>
        <v>30.142000000000003</v>
      </c>
      <c r="K419" s="14">
        <f>'PIVOT TABLES'!$B$28-'PIVOT TABLES'!$B$27</f>
        <v>30.141999999999996</v>
      </c>
      <c r="L419" s="14">
        <f>200-SUM(Table3[[#This Row],[D - LIGHT]:[D - VIGOROUS]])</f>
        <v>79.432000000000002</v>
      </c>
      <c r="M419" s="14">
        <f>'PIVOT TABLES'!$I$26</f>
        <v>65.603999999999999</v>
      </c>
      <c r="N419" s="14">
        <f>'PIVOT TABLES'!$I$27-'PIVOT TABLES'!$I$26</f>
        <v>32.802000000000007</v>
      </c>
      <c r="O419" s="14">
        <f>'PIVOT TABLES'!$I$28-'PIVOT TABLES'!$I$27</f>
        <v>32.801999999999992</v>
      </c>
      <c r="P419" s="14">
        <f>200-SUM(Table3[[#This Row],[M - LIGHT]:[M - VIGOROUS]])</f>
        <v>68.792000000000002</v>
      </c>
      <c r="Q419" s="14">
        <f>'PIVOT TABLES'!$P$26</f>
        <v>62.64</v>
      </c>
      <c r="R419" s="14">
        <f>'PIVOT TABLES'!$P$27-'PIVOT TABLES'!$P$26</f>
        <v>31.320000000000007</v>
      </c>
      <c r="S419" s="14">
        <f>'PIVOT TABLES'!$P$28-'PIVOT TABLES'!$P$27</f>
        <v>31.319999999999993</v>
      </c>
      <c r="T419" s="14">
        <f>200-SUM(Table3[[#This Row],[W - LIGHT]:[W - VIGOROUS]])</f>
        <v>74.72</v>
      </c>
      <c r="U419" s="14">
        <f>'PIVOT TABLES'!$W$26</f>
        <v>55.895999999999994</v>
      </c>
      <c r="V419" s="14">
        <f>'PIVOT TABLES'!$W$27-'PIVOT TABLES'!$W$26</f>
        <v>27.948</v>
      </c>
      <c r="W419" s="14">
        <f>'PIVOT TABLES'!$W$28-'PIVOT TABLES'!$W$27</f>
        <v>27.947999999999993</v>
      </c>
      <c r="X419" s="14">
        <f>200-SUM(Table3[[#This Row],[S - LIGHT]:[S - VIGOROUS]])</f>
        <v>88.208000000000013</v>
      </c>
    </row>
    <row r="420" spans="1:24" x14ac:dyDescent="0.25">
      <c r="A420" s="32" t="s">
        <v>59</v>
      </c>
      <c r="B420" s="13" t="str">
        <f t="shared" si="6"/>
        <v>Striker</v>
      </c>
      <c r="C420" s="7">
        <v>45313.424027777779</v>
      </c>
      <c r="D420" s="14">
        <v>7264</v>
      </c>
      <c r="E420" s="14">
        <v>89</v>
      </c>
      <c r="F420" s="14">
        <v>30</v>
      </c>
      <c r="G420" s="14">
        <v>22</v>
      </c>
      <c r="H420" s="32">
        <v>76.95</v>
      </c>
      <c r="I420" s="14">
        <f>'PIVOT TABLES'!$B$26</f>
        <v>60.283999999999999</v>
      </c>
      <c r="J420" s="14">
        <f>'PIVOT TABLES'!$B$27-'PIVOT TABLES'!$B$26</f>
        <v>30.142000000000003</v>
      </c>
      <c r="K420" s="14">
        <f>'PIVOT TABLES'!$B$28-'PIVOT TABLES'!$B$27</f>
        <v>30.141999999999996</v>
      </c>
      <c r="L420" s="14">
        <f>200-SUM(Table3[[#This Row],[D - LIGHT]:[D - VIGOROUS]])</f>
        <v>79.432000000000002</v>
      </c>
      <c r="M420" s="14">
        <f>'PIVOT TABLES'!$I$26</f>
        <v>65.603999999999999</v>
      </c>
      <c r="N420" s="14">
        <f>'PIVOT TABLES'!$I$27-'PIVOT TABLES'!$I$26</f>
        <v>32.802000000000007</v>
      </c>
      <c r="O420" s="14">
        <f>'PIVOT TABLES'!$I$28-'PIVOT TABLES'!$I$27</f>
        <v>32.801999999999992</v>
      </c>
      <c r="P420" s="14">
        <f>200-SUM(Table3[[#This Row],[M - LIGHT]:[M - VIGOROUS]])</f>
        <v>68.792000000000002</v>
      </c>
      <c r="Q420" s="14">
        <f>'PIVOT TABLES'!$P$26</f>
        <v>62.64</v>
      </c>
      <c r="R420" s="14">
        <f>'PIVOT TABLES'!$P$27-'PIVOT TABLES'!$P$26</f>
        <v>31.320000000000007</v>
      </c>
      <c r="S420" s="14">
        <f>'PIVOT TABLES'!$P$28-'PIVOT TABLES'!$P$27</f>
        <v>31.319999999999993</v>
      </c>
      <c r="T420" s="14">
        <f>200-SUM(Table3[[#This Row],[W - LIGHT]:[W - VIGOROUS]])</f>
        <v>74.72</v>
      </c>
      <c r="U420" s="14">
        <f>'PIVOT TABLES'!$W$26</f>
        <v>55.895999999999994</v>
      </c>
      <c r="V420" s="14">
        <f>'PIVOT TABLES'!$W$27-'PIVOT TABLES'!$W$26</f>
        <v>27.948</v>
      </c>
      <c r="W420" s="14">
        <f>'PIVOT TABLES'!$W$28-'PIVOT TABLES'!$W$27</f>
        <v>27.947999999999993</v>
      </c>
      <c r="X420" s="14">
        <f>200-SUM(Table3[[#This Row],[S - LIGHT]:[S - VIGOROUS]])</f>
        <v>88.208000000000013</v>
      </c>
    </row>
    <row r="421" spans="1:24" x14ac:dyDescent="0.25">
      <c r="A421" s="32" t="s">
        <v>4</v>
      </c>
      <c r="B421" s="13" t="str">
        <f t="shared" si="6"/>
        <v>Midfielder</v>
      </c>
      <c r="C421" s="7">
        <v>45313.424027777779</v>
      </c>
      <c r="D421" s="14">
        <v>7494</v>
      </c>
      <c r="E421" s="14">
        <v>31</v>
      </c>
      <c r="F421" s="14">
        <v>17</v>
      </c>
      <c r="G421" s="14">
        <v>14</v>
      </c>
      <c r="H421" s="32">
        <v>76.83</v>
      </c>
      <c r="I421" s="14">
        <f>'PIVOT TABLES'!$B$26</f>
        <v>60.283999999999999</v>
      </c>
      <c r="J421" s="14">
        <f>'PIVOT TABLES'!$B$27-'PIVOT TABLES'!$B$26</f>
        <v>30.142000000000003</v>
      </c>
      <c r="K421" s="14">
        <f>'PIVOT TABLES'!$B$28-'PIVOT TABLES'!$B$27</f>
        <v>30.141999999999996</v>
      </c>
      <c r="L421" s="14">
        <f>200-SUM(Table3[[#This Row],[D - LIGHT]:[D - VIGOROUS]])</f>
        <v>79.432000000000002</v>
      </c>
      <c r="M421" s="14">
        <f>'PIVOT TABLES'!$I$26</f>
        <v>65.603999999999999</v>
      </c>
      <c r="N421" s="14">
        <f>'PIVOT TABLES'!$I$27-'PIVOT TABLES'!$I$26</f>
        <v>32.802000000000007</v>
      </c>
      <c r="O421" s="14">
        <f>'PIVOT TABLES'!$I$28-'PIVOT TABLES'!$I$27</f>
        <v>32.801999999999992</v>
      </c>
      <c r="P421" s="14">
        <f>200-SUM(Table3[[#This Row],[M - LIGHT]:[M - VIGOROUS]])</f>
        <v>68.792000000000002</v>
      </c>
      <c r="Q421" s="14">
        <f>'PIVOT TABLES'!$P$26</f>
        <v>62.64</v>
      </c>
      <c r="R421" s="14">
        <f>'PIVOT TABLES'!$P$27-'PIVOT TABLES'!$P$26</f>
        <v>31.320000000000007</v>
      </c>
      <c r="S421" s="14">
        <f>'PIVOT TABLES'!$P$28-'PIVOT TABLES'!$P$27</f>
        <v>31.319999999999993</v>
      </c>
      <c r="T421" s="14">
        <f>200-SUM(Table3[[#This Row],[W - LIGHT]:[W - VIGOROUS]])</f>
        <v>74.72</v>
      </c>
      <c r="U421" s="14">
        <f>'PIVOT TABLES'!$W$26</f>
        <v>55.895999999999994</v>
      </c>
      <c r="V421" s="14">
        <f>'PIVOT TABLES'!$W$27-'PIVOT TABLES'!$W$26</f>
        <v>27.948</v>
      </c>
      <c r="W421" s="14">
        <f>'PIVOT TABLES'!$W$28-'PIVOT TABLES'!$W$27</f>
        <v>27.947999999999993</v>
      </c>
      <c r="X421" s="14">
        <f>200-SUM(Table3[[#This Row],[S - LIGHT]:[S - VIGOROUS]])</f>
        <v>88.208000000000013</v>
      </c>
    </row>
    <row r="422" spans="1:24" x14ac:dyDescent="0.25">
      <c r="A422" s="32" t="s">
        <v>60</v>
      </c>
      <c r="B422" s="13" t="str">
        <f t="shared" si="6"/>
        <v>Winger</v>
      </c>
      <c r="C422" s="7">
        <v>45313.424027777779</v>
      </c>
      <c r="D422" s="14">
        <v>8131</v>
      </c>
      <c r="E422" s="14">
        <v>133</v>
      </c>
      <c r="F422" s="14">
        <v>25</v>
      </c>
      <c r="G422" s="14">
        <v>15</v>
      </c>
      <c r="H422" s="32">
        <v>86.6</v>
      </c>
      <c r="I422" s="14">
        <f>'PIVOT TABLES'!$B$26</f>
        <v>60.283999999999999</v>
      </c>
      <c r="J422" s="14">
        <f>'PIVOT TABLES'!$B$27-'PIVOT TABLES'!$B$26</f>
        <v>30.142000000000003</v>
      </c>
      <c r="K422" s="14">
        <f>'PIVOT TABLES'!$B$28-'PIVOT TABLES'!$B$27</f>
        <v>30.141999999999996</v>
      </c>
      <c r="L422" s="14">
        <f>200-SUM(Table3[[#This Row],[D - LIGHT]:[D - VIGOROUS]])</f>
        <v>79.432000000000002</v>
      </c>
      <c r="M422" s="14">
        <f>'PIVOT TABLES'!$I$26</f>
        <v>65.603999999999999</v>
      </c>
      <c r="N422" s="14">
        <f>'PIVOT TABLES'!$I$27-'PIVOT TABLES'!$I$26</f>
        <v>32.802000000000007</v>
      </c>
      <c r="O422" s="14">
        <f>'PIVOT TABLES'!$I$28-'PIVOT TABLES'!$I$27</f>
        <v>32.801999999999992</v>
      </c>
      <c r="P422" s="14">
        <f>200-SUM(Table3[[#This Row],[M - LIGHT]:[M - VIGOROUS]])</f>
        <v>68.792000000000002</v>
      </c>
      <c r="Q422" s="14">
        <f>'PIVOT TABLES'!$P$26</f>
        <v>62.64</v>
      </c>
      <c r="R422" s="14">
        <f>'PIVOT TABLES'!$P$27-'PIVOT TABLES'!$P$26</f>
        <v>31.320000000000007</v>
      </c>
      <c r="S422" s="14">
        <f>'PIVOT TABLES'!$P$28-'PIVOT TABLES'!$P$27</f>
        <v>31.319999999999993</v>
      </c>
      <c r="T422" s="14">
        <f>200-SUM(Table3[[#This Row],[W - LIGHT]:[W - VIGOROUS]])</f>
        <v>74.72</v>
      </c>
      <c r="U422" s="14">
        <f>'PIVOT TABLES'!$W$26</f>
        <v>55.895999999999994</v>
      </c>
      <c r="V422" s="14">
        <f>'PIVOT TABLES'!$W$27-'PIVOT TABLES'!$W$26</f>
        <v>27.948</v>
      </c>
      <c r="W422" s="14">
        <f>'PIVOT TABLES'!$W$28-'PIVOT TABLES'!$W$27</f>
        <v>27.947999999999993</v>
      </c>
      <c r="X422" s="14">
        <f>200-SUM(Table3[[#This Row],[S - LIGHT]:[S - VIGOROUS]])</f>
        <v>88.208000000000013</v>
      </c>
    </row>
    <row r="423" spans="1:24" x14ac:dyDescent="0.25">
      <c r="A423" s="32" t="s">
        <v>71</v>
      </c>
      <c r="B423" s="13" t="str">
        <f t="shared" si="6"/>
        <v>Midfielder</v>
      </c>
      <c r="C423" s="7">
        <v>45313.424027777779</v>
      </c>
      <c r="D423" s="14">
        <v>8600</v>
      </c>
      <c r="E423" s="14">
        <v>2</v>
      </c>
      <c r="F423" s="14">
        <v>24</v>
      </c>
      <c r="G423" s="14">
        <v>13</v>
      </c>
      <c r="H423" s="32">
        <v>87.28</v>
      </c>
      <c r="I423" s="14">
        <f>'PIVOT TABLES'!$B$26</f>
        <v>60.283999999999999</v>
      </c>
      <c r="J423" s="14">
        <f>'PIVOT TABLES'!$B$27-'PIVOT TABLES'!$B$26</f>
        <v>30.142000000000003</v>
      </c>
      <c r="K423" s="14">
        <f>'PIVOT TABLES'!$B$28-'PIVOT TABLES'!$B$27</f>
        <v>30.141999999999996</v>
      </c>
      <c r="L423" s="14">
        <f>200-SUM(Table3[[#This Row],[D - LIGHT]:[D - VIGOROUS]])</f>
        <v>79.432000000000002</v>
      </c>
      <c r="M423" s="14">
        <f>'PIVOT TABLES'!$I$26</f>
        <v>65.603999999999999</v>
      </c>
      <c r="N423" s="14">
        <f>'PIVOT TABLES'!$I$27-'PIVOT TABLES'!$I$26</f>
        <v>32.802000000000007</v>
      </c>
      <c r="O423" s="14">
        <f>'PIVOT TABLES'!$I$28-'PIVOT TABLES'!$I$27</f>
        <v>32.801999999999992</v>
      </c>
      <c r="P423" s="14">
        <f>200-SUM(Table3[[#This Row],[M - LIGHT]:[M - VIGOROUS]])</f>
        <v>68.792000000000002</v>
      </c>
      <c r="Q423" s="14">
        <f>'PIVOT TABLES'!$P$26</f>
        <v>62.64</v>
      </c>
      <c r="R423" s="14">
        <f>'PIVOT TABLES'!$P$27-'PIVOT TABLES'!$P$26</f>
        <v>31.320000000000007</v>
      </c>
      <c r="S423" s="14">
        <f>'PIVOT TABLES'!$P$28-'PIVOT TABLES'!$P$27</f>
        <v>31.319999999999993</v>
      </c>
      <c r="T423" s="14">
        <f>200-SUM(Table3[[#This Row],[W - LIGHT]:[W - VIGOROUS]])</f>
        <v>74.72</v>
      </c>
      <c r="U423" s="14">
        <f>'PIVOT TABLES'!$W$26</f>
        <v>55.895999999999994</v>
      </c>
      <c r="V423" s="14">
        <f>'PIVOT TABLES'!$W$27-'PIVOT TABLES'!$W$26</f>
        <v>27.948</v>
      </c>
      <c r="W423" s="14">
        <f>'PIVOT TABLES'!$W$28-'PIVOT TABLES'!$W$27</f>
        <v>27.947999999999993</v>
      </c>
      <c r="X423" s="14">
        <f>200-SUM(Table3[[#This Row],[S - LIGHT]:[S - VIGOROUS]])</f>
        <v>88.208000000000013</v>
      </c>
    </row>
    <row r="424" spans="1:24" x14ac:dyDescent="0.25">
      <c r="A424" s="32" t="s">
        <v>6</v>
      </c>
      <c r="B424" s="13" t="str">
        <f t="shared" si="6"/>
        <v>Midfielder</v>
      </c>
      <c r="C424" s="7">
        <v>45313.424027777779</v>
      </c>
      <c r="D424" s="14">
        <v>8310</v>
      </c>
      <c r="E424" s="14">
        <v>191</v>
      </c>
      <c r="F424" s="14">
        <v>38</v>
      </c>
      <c r="G424" s="14">
        <v>32</v>
      </c>
      <c r="H424" s="32">
        <v>90.99</v>
      </c>
      <c r="I424" s="14">
        <f>'PIVOT TABLES'!$B$26</f>
        <v>60.283999999999999</v>
      </c>
      <c r="J424" s="14">
        <f>'PIVOT TABLES'!$B$27-'PIVOT TABLES'!$B$26</f>
        <v>30.142000000000003</v>
      </c>
      <c r="K424" s="14">
        <f>'PIVOT TABLES'!$B$28-'PIVOT TABLES'!$B$27</f>
        <v>30.141999999999996</v>
      </c>
      <c r="L424" s="14">
        <f>200-SUM(Table3[[#This Row],[D - LIGHT]:[D - VIGOROUS]])</f>
        <v>79.432000000000002</v>
      </c>
      <c r="M424" s="14">
        <f>'PIVOT TABLES'!$I$26</f>
        <v>65.603999999999999</v>
      </c>
      <c r="N424" s="14">
        <f>'PIVOT TABLES'!$I$27-'PIVOT TABLES'!$I$26</f>
        <v>32.802000000000007</v>
      </c>
      <c r="O424" s="14">
        <f>'PIVOT TABLES'!$I$28-'PIVOT TABLES'!$I$27</f>
        <v>32.801999999999992</v>
      </c>
      <c r="P424" s="14">
        <f>200-SUM(Table3[[#This Row],[M - LIGHT]:[M - VIGOROUS]])</f>
        <v>68.792000000000002</v>
      </c>
      <c r="Q424" s="14">
        <f>'PIVOT TABLES'!$P$26</f>
        <v>62.64</v>
      </c>
      <c r="R424" s="14">
        <f>'PIVOT TABLES'!$P$27-'PIVOT TABLES'!$P$26</f>
        <v>31.320000000000007</v>
      </c>
      <c r="S424" s="14">
        <f>'PIVOT TABLES'!$P$28-'PIVOT TABLES'!$P$27</f>
        <v>31.319999999999993</v>
      </c>
      <c r="T424" s="14">
        <f>200-SUM(Table3[[#This Row],[W - LIGHT]:[W - VIGOROUS]])</f>
        <v>74.72</v>
      </c>
      <c r="U424" s="14">
        <f>'PIVOT TABLES'!$W$26</f>
        <v>55.895999999999994</v>
      </c>
      <c r="V424" s="14">
        <f>'PIVOT TABLES'!$W$27-'PIVOT TABLES'!$W$26</f>
        <v>27.948</v>
      </c>
      <c r="W424" s="14">
        <f>'PIVOT TABLES'!$W$28-'PIVOT TABLES'!$W$27</f>
        <v>27.947999999999993</v>
      </c>
      <c r="X424" s="14">
        <f>200-SUM(Table3[[#This Row],[S - LIGHT]:[S - VIGOROUS]])</f>
        <v>88.208000000000013</v>
      </c>
    </row>
    <row r="425" spans="1:24" x14ac:dyDescent="0.25">
      <c r="A425" s="32" t="s">
        <v>62</v>
      </c>
      <c r="B425" s="13" t="str">
        <f t="shared" si="6"/>
        <v>Midfielder</v>
      </c>
      <c r="C425" s="7">
        <v>45313.424027777779</v>
      </c>
      <c r="D425" s="14">
        <v>7272</v>
      </c>
      <c r="E425" s="14">
        <v>133</v>
      </c>
      <c r="F425" s="14">
        <v>20</v>
      </c>
      <c r="G425" s="14">
        <v>13</v>
      </c>
      <c r="H425" s="32">
        <v>77.77</v>
      </c>
      <c r="I425" s="14">
        <f>'PIVOT TABLES'!$B$26</f>
        <v>60.283999999999999</v>
      </c>
      <c r="J425" s="14">
        <f>'PIVOT TABLES'!$B$27-'PIVOT TABLES'!$B$26</f>
        <v>30.142000000000003</v>
      </c>
      <c r="K425" s="14">
        <f>'PIVOT TABLES'!$B$28-'PIVOT TABLES'!$B$27</f>
        <v>30.141999999999996</v>
      </c>
      <c r="L425" s="14">
        <f>200-SUM(Table3[[#This Row],[D - LIGHT]:[D - VIGOROUS]])</f>
        <v>79.432000000000002</v>
      </c>
      <c r="M425" s="14">
        <f>'PIVOT TABLES'!$I$26</f>
        <v>65.603999999999999</v>
      </c>
      <c r="N425" s="14">
        <f>'PIVOT TABLES'!$I$27-'PIVOT TABLES'!$I$26</f>
        <v>32.802000000000007</v>
      </c>
      <c r="O425" s="14">
        <f>'PIVOT TABLES'!$I$28-'PIVOT TABLES'!$I$27</f>
        <v>32.801999999999992</v>
      </c>
      <c r="P425" s="14">
        <f>200-SUM(Table3[[#This Row],[M - LIGHT]:[M - VIGOROUS]])</f>
        <v>68.792000000000002</v>
      </c>
      <c r="Q425" s="14">
        <f>'PIVOT TABLES'!$P$26</f>
        <v>62.64</v>
      </c>
      <c r="R425" s="14">
        <f>'PIVOT TABLES'!$P$27-'PIVOT TABLES'!$P$26</f>
        <v>31.320000000000007</v>
      </c>
      <c r="S425" s="14">
        <f>'PIVOT TABLES'!$P$28-'PIVOT TABLES'!$P$27</f>
        <v>31.319999999999993</v>
      </c>
      <c r="T425" s="14">
        <f>200-SUM(Table3[[#This Row],[W - LIGHT]:[W - VIGOROUS]])</f>
        <v>74.72</v>
      </c>
      <c r="U425" s="14">
        <f>'PIVOT TABLES'!$W$26</f>
        <v>55.895999999999994</v>
      </c>
      <c r="V425" s="14">
        <f>'PIVOT TABLES'!$W$27-'PIVOT TABLES'!$W$26</f>
        <v>27.948</v>
      </c>
      <c r="W425" s="14">
        <f>'PIVOT TABLES'!$W$28-'PIVOT TABLES'!$W$27</f>
        <v>27.947999999999993</v>
      </c>
      <c r="X425" s="14">
        <f>200-SUM(Table3[[#This Row],[S - LIGHT]:[S - VIGOROUS]])</f>
        <v>88.208000000000013</v>
      </c>
    </row>
    <row r="426" spans="1:24" x14ac:dyDescent="0.25">
      <c r="A426" s="32" t="s">
        <v>64</v>
      </c>
      <c r="B426" s="13" t="str">
        <f t="shared" si="6"/>
        <v>Midfielder</v>
      </c>
      <c r="C426" s="7">
        <v>45313.424027777779</v>
      </c>
      <c r="D426" s="14">
        <v>8754</v>
      </c>
      <c r="E426" s="14">
        <v>34</v>
      </c>
      <c r="F426" s="14">
        <v>38</v>
      </c>
      <c r="G426" s="14">
        <v>22</v>
      </c>
      <c r="H426" s="32">
        <v>90.52</v>
      </c>
      <c r="I426" s="14">
        <f>'PIVOT TABLES'!$B$26</f>
        <v>60.283999999999999</v>
      </c>
      <c r="J426" s="14">
        <f>'PIVOT TABLES'!$B$27-'PIVOT TABLES'!$B$26</f>
        <v>30.142000000000003</v>
      </c>
      <c r="K426" s="14">
        <f>'PIVOT TABLES'!$B$28-'PIVOT TABLES'!$B$27</f>
        <v>30.141999999999996</v>
      </c>
      <c r="L426" s="14">
        <f>200-SUM(Table3[[#This Row],[D - LIGHT]:[D - VIGOROUS]])</f>
        <v>79.432000000000002</v>
      </c>
      <c r="M426" s="14">
        <f>'PIVOT TABLES'!$I$26</f>
        <v>65.603999999999999</v>
      </c>
      <c r="N426" s="14">
        <f>'PIVOT TABLES'!$I$27-'PIVOT TABLES'!$I$26</f>
        <v>32.802000000000007</v>
      </c>
      <c r="O426" s="14">
        <f>'PIVOT TABLES'!$I$28-'PIVOT TABLES'!$I$27</f>
        <v>32.801999999999992</v>
      </c>
      <c r="P426" s="14">
        <f>200-SUM(Table3[[#This Row],[M - LIGHT]:[M - VIGOROUS]])</f>
        <v>68.792000000000002</v>
      </c>
      <c r="Q426" s="14">
        <f>'PIVOT TABLES'!$P$26</f>
        <v>62.64</v>
      </c>
      <c r="R426" s="14">
        <f>'PIVOT TABLES'!$P$27-'PIVOT TABLES'!$P$26</f>
        <v>31.320000000000007</v>
      </c>
      <c r="S426" s="14">
        <f>'PIVOT TABLES'!$P$28-'PIVOT TABLES'!$P$27</f>
        <v>31.319999999999993</v>
      </c>
      <c r="T426" s="14">
        <f>200-SUM(Table3[[#This Row],[W - LIGHT]:[W - VIGOROUS]])</f>
        <v>74.72</v>
      </c>
      <c r="U426" s="14">
        <f>'PIVOT TABLES'!$W$26</f>
        <v>55.895999999999994</v>
      </c>
      <c r="V426" s="14">
        <f>'PIVOT TABLES'!$W$27-'PIVOT TABLES'!$W$26</f>
        <v>27.948</v>
      </c>
      <c r="W426" s="14">
        <f>'PIVOT TABLES'!$W$28-'PIVOT TABLES'!$W$27</f>
        <v>27.947999999999993</v>
      </c>
      <c r="X426" s="14">
        <f>200-SUM(Table3[[#This Row],[S - LIGHT]:[S - VIGOROUS]])</f>
        <v>88.208000000000013</v>
      </c>
    </row>
    <row r="427" spans="1:24" x14ac:dyDescent="0.25">
      <c r="A427" s="32" t="s">
        <v>66</v>
      </c>
      <c r="B427" s="13" t="str">
        <f t="shared" si="6"/>
        <v>Striker</v>
      </c>
      <c r="C427" s="7">
        <v>45313.424027777779</v>
      </c>
      <c r="D427" s="14">
        <v>7936</v>
      </c>
      <c r="E427" s="14">
        <v>182</v>
      </c>
      <c r="F427" s="14">
        <v>31</v>
      </c>
      <c r="G427" s="14">
        <v>21</v>
      </c>
      <c r="H427" s="32">
        <v>86.48</v>
      </c>
      <c r="I427" s="14">
        <f>'PIVOT TABLES'!$B$26</f>
        <v>60.283999999999999</v>
      </c>
      <c r="J427" s="14">
        <f>'PIVOT TABLES'!$B$27-'PIVOT TABLES'!$B$26</f>
        <v>30.142000000000003</v>
      </c>
      <c r="K427" s="14">
        <f>'PIVOT TABLES'!$B$28-'PIVOT TABLES'!$B$27</f>
        <v>30.141999999999996</v>
      </c>
      <c r="L427" s="14">
        <f>200-SUM(Table3[[#This Row],[D - LIGHT]:[D - VIGOROUS]])</f>
        <v>79.432000000000002</v>
      </c>
      <c r="M427" s="14">
        <f>'PIVOT TABLES'!$I$26</f>
        <v>65.603999999999999</v>
      </c>
      <c r="N427" s="14">
        <f>'PIVOT TABLES'!$I$27-'PIVOT TABLES'!$I$26</f>
        <v>32.802000000000007</v>
      </c>
      <c r="O427" s="14">
        <f>'PIVOT TABLES'!$I$28-'PIVOT TABLES'!$I$27</f>
        <v>32.801999999999992</v>
      </c>
      <c r="P427" s="14">
        <f>200-SUM(Table3[[#This Row],[M - LIGHT]:[M - VIGOROUS]])</f>
        <v>68.792000000000002</v>
      </c>
      <c r="Q427" s="14">
        <f>'PIVOT TABLES'!$P$26</f>
        <v>62.64</v>
      </c>
      <c r="R427" s="14">
        <f>'PIVOT TABLES'!$P$27-'PIVOT TABLES'!$P$26</f>
        <v>31.320000000000007</v>
      </c>
      <c r="S427" s="14">
        <f>'PIVOT TABLES'!$P$28-'PIVOT TABLES'!$P$27</f>
        <v>31.319999999999993</v>
      </c>
      <c r="T427" s="14">
        <f>200-SUM(Table3[[#This Row],[W - LIGHT]:[W - VIGOROUS]])</f>
        <v>74.72</v>
      </c>
      <c r="U427" s="14">
        <f>'PIVOT TABLES'!$W$26</f>
        <v>55.895999999999994</v>
      </c>
      <c r="V427" s="14">
        <f>'PIVOT TABLES'!$W$27-'PIVOT TABLES'!$W$26</f>
        <v>27.948</v>
      </c>
      <c r="W427" s="14">
        <f>'PIVOT TABLES'!$W$28-'PIVOT TABLES'!$W$27</f>
        <v>27.947999999999993</v>
      </c>
      <c r="X427" s="14">
        <f>200-SUM(Table3[[#This Row],[S - LIGHT]:[S - VIGOROUS]])</f>
        <v>88.208000000000013</v>
      </c>
    </row>
    <row r="428" spans="1:24" x14ac:dyDescent="0.25">
      <c r="A428" s="32" t="s">
        <v>78</v>
      </c>
      <c r="B428" s="13" t="str">
        <f t="shared" si="6"/>
        <v>Defender</v>
      </c>
      <c r="C428" s="7">
        <v>45313.424027777779</v>
      </c>
      <c r="D428" s="14">
        <v>7468</v>
      </c>
      <c r="E428" s="14">
        <v>49</v>
      </c>
      <c r="F428" s="14">
        <v>33</v>
      </c>
      <c r="G428" s="14">
        <v>22</v>
      </c>
      <c r="H428" s="32">
        <v>77.91</v>
      </c>
      <c r="I428" s="14">
        <f>'PIVOT TABLES'!$B$26</f>
        <v>60.283999999999999</v>
      </c>
      <c r="J428" s="14">
        <f>'PIVOT TABLES'!$B$27-'PIVOT TABLES'!$B$26</f>
        <v>30.142000000000003</v>
      </c>
      <c r="K428" s="14">
        <f>'PIVOT TABLES'!$B$28-'PIVOT TABLES'!$B$27</f>
        <v>30.141999999999996</v>
      </c>
      <c r="L428" s="14">
        <f>200-SUM(Table3[[#This Row],[D - LIGHT]:[D - VIGOROUS]])</f>
        <v>79.432000000000002</v>
      </c>
      <c r="M428" s="14">
        <f>'PIVOT TABLES'!$I$26</f>
        <v>65.603999999999999</v>
      </c>
      <c r="N428" s="14">
        <f>'PIVOT TABLES'!$I$27-'PIVOT TABLES'!$I$26</f>
        <v>32.802000000000007</v>
      </c>
      <c r="O428" s="14">
        <f>'PIVOT TABLES'!$I$28-'PIVOT TABLES'!$I$27</f>
        <v>32.801999999999992</v>
      </c>
      <c r="P428" s="14">
        <f>200-SUM(Table3[[#This Row],[M - LIGHT]:[M - VIGOROUS]])</f>
        <v>68.792000000000002</v>
      </c>
      <c r="Q428" s="14">
        <f>'PIVOT TABLES'!$P$26</f>
        <v>62.64</v>
      </c>
      <c r="R428" s="14">
        <f>'PIVOT TABLES'!$P$27-'PIVOT TABLES'!$P$26</f>
        <v>31.320000000000007</v>
      </c>
      <c r="S428" s="14">
        <f>'PIVOT TABLES'!$P$28-'PIVOT TABLES'!$P$27</f>
        <v>31.319999999999993</v>
      </c>
      <c r="T428" s="14">
        <f>200-SUM(Table3[[#This Row],[W - LIGHT]:[W - VIGOROUS]])</f>
        <v>74.72</v>
      </c>
      <c r="U428" s="14">
        <f>'PIVOT TABLES'!$W$26</f>
        <v>55.895999999999994</v>
      </c>
      <c r="V428" s="14">
        <f>'PIVOT TABLES'!$W$27-'PIVOT TABLES'!$W$26</f>
        <v>27.948</v>
      </c>
      <c r="W428" s="14">
        <f>'PIVOT TABLES'!$W$28-'PIVOT TABLES'!$W$27</f>
        <v>27.947999999999993</v>
      </c>
      <c r="X428" s="14">
        <f>200-SUM(Table3[[#This Row],[S - LIGHT]:[S - VIGOROUS]])</f>
        <v>88.208000000000013</v>
      </c>
    </row>
    <row r="429" spans="1:24" x14ac:dyDescent="0.25">
      <c r="A429" s="32" t="s">
        <v>95</v>
      </c>
      <c r="B429" s="13" t="str">
        <f t="shared" si="6"/>
        <v>Winger</v>
      </c>
      <c r="C429" s="7">
        <v>45313.424027777779</v>
      </c>
      <c r="D429" s="14">
        <v>7370</v>
      </c>
      <c r="E429" s="14">
        <v>45</v>
      </c>
      <c r="F429" s="14">
        <v>22</v>
      </c>
      <c r="G429" s="14">
        <v>14</v>
      </c>
      <c r="H429" s="32">
        <v>76.209999999999994</v>
      </c>
      <c r="I429" s="14">
        <f>'PIVOT TABLES'!$B$26</f>
        <v>60.283999999999999</v>
      </c>
      <c r="J429" s="14">
        <f>'PIVOT TABLES'!$B$27-'PIVOT TABLES'!$B$26</f>
        <v>30.142000000000003</v>
      </c>
      <c r="K429" s="14">
        <f>'PIVOT TABLES'!$B$28-'PIVOT TABLES'!$B$27</f>
        <v>30.141999999999996</v>
      </c>
      <c r="L429" s="14">
        <f>200-SUM(Table3[[#This Row],[D - LIGHT]:[D - VIGOROUS]])</f>
        <v>79.432000000000002</v>
      </c>
      <c r="M429" s="14">
        <f>'PIVOT TABLES'!$I$26</f>
        <v>65.603999999999999</v>
      </c>
      <c r="N429" s="14">
        <f>'PIVOT TABLES'!$I$27-'PIVOT TABLES'!$I$26</f>
        <v>32.802000000000007</v>
      </c>
      <c r="O429" s="14">
        <f>'PIVOT TABLES'!$I$28-'PIVOT TABLES'!$I$27</f>
        <v>32.801999999999992</v>
      </c>
      <c r="P429" s="14">
        <f>200-SUM(Table3[[#This Row],[M - LIGHT]:[M - VIGOROUS]])</f>
        <v>68.792000000000002</v>
      </c>
      <c r="Q429" s="14">
        <f>'PIVOT TABLES'!$P$26</f>
        <v>62.64</v>
      </c>
      <c r="R429" s="14">
        <f>'PIVOT TABLES'!$P$27-'PIVOT TABLES'!$P$26</f>
        <v>31.320000000000007</v>
      </c>
      <c r="S429" s="14">
        <f>'PIVOT TABLES'!$P$28-'PIVOT TABLES'!$P$27</f>
        <v>31.319999999999993</v>
      </c>
      <c r="T429" s="14">
        <f>200-SUM(Table3[[#This Row],[W - LIGHT]:[W - VIGOROUS]])</f>
        <v>74.72</v>
      </c>
      <c r="U429" s="14">
        <f>'PIVOT TABLES'!$W$26</f>
        <v>55.895999999999994</v>
      </c>
      <c r="V429" s="14">
        <f>'PIVOT TABLES'!$W$27-'PIVOT TABLES'!$W$26</f>
        <v>27.948</v>
      </c>
      <c r="W429" s="14">
        <f>'PIVOT TABLES'!$W$28-'PIVOT TABLES'!$W$27</f>
        <v>27.947999999999993</v>
      </c>
      <c r="X429" s="14">
        <f>200-SUM(Table3[[#This Row],[S - LIGHT]:[S - VIGOROUS]])</f>
        <v>88.208000000000013</v>
      </c>
    </row>
    <row r="430" spans="1:24" x14ac:dyDescent="0.25">
      <c r="A430" s="32" t="s">
        <v>96</v>
      </c>
      <c r="B430" s="13" t="str">
        <f t="shared" si="6"/>
        <v>Winger</v>
      </c>
      <c r="C430" s="7">
        <v>45313.424027777779</v>
      </c>
      <c r="D430" s="14">
        <v>6973</v>
      </c>
      <c r="E430" s="14">
        <v>89</v>
      </c>
      <c r="F430" s="14">
        <v>24</v>
      </c>
      <c r="G430" s="14">
        <v>19</v>
      </c>
      <c r="H430" s="32">
        <v>73.739999999999995</v>
      </c>
      <c r="I430" s="14">
        <f>'PIVOT TABLES'!$B$26</f>
        <v>60.283999999999999</v>
      </c>
      <c r="J430" s="14">
        <f>'PIVOT TABLES'!$B$27-'PIVOT TABLES'!$B$26</f>
        <v>30.142000000000003</v>
      </c>
      <c r="K430" s="14">
        <f>'PIVOT TABLES'!$B$28-'PIVOT TABLES'!$B$27</f>
        <v>30.141999999999996</v>
      </c>
      <c r="L430" s="14">
        <f>200-SUM(Table3[[#This Row],[D - LIGHT]:[D - VIGOROUS]])</f>
        <v>79.432000000000002</v>
      </c>
      <c r="M430" s="14">
        <f>'PIVOT TABLES'!$I$26</f>
        <v>65.603999999999999</v>
      </c>
      <c r="N430" s="14">
        <f>'PIVOT TABLES'!$I$27-'PIVOT TABLES'!$I$26</f>
        <v>32.802000000000007</v>
      </c>
      <c r="O430" s="14">
        <f>'PIVOT TABLES'!$I$28-'PIVOT TABLES'!$I$27</f>
        <v>32.801999999999992</v>
      </c>
      <c r="P430" s="14">
        <f>200-SUM(Table3[[#This Row],[M - LIGHT]:[M - VIGOROUS]])</f>
        <v>68.792000000000002</v>
      </c>
      <c r="Q430" s="14">
        <f>'PIVOT TABLES'!$P$26</f>
        <v>62.64</v>
      </c>
      <c r="R430" s="14">
        <f>'PIVOT TABLES'!$P$27-'PIVOT TABLES'!$P$26</f>
        <v>31.320000000000007</v>
      </c>
      <c r="S430" s="14">
        <f>'PIVOT TABLES'!$P$28-'PIVOT TABLES'!$P$27</f>
        <v>31.319999999999993</v>
      </c>
      <c r="T430" s="14">
        <f>200-SUM(Table3[[#This Row],[W - LIGHT]:[W - VIGOROUS]])</f>
        <v>74.72</v>
      </c>
      <c r="U430" s="14">
        <f>'PIVOT TABLES'!$W$26</f>
        <v>55.895999999999994</v>
      </c>
      <c r="V430" s="14">
        <f>'PIVOT TABLES'!$W$27-'PIVOT TABLES'!$W$26</f>
        <v>27.948</v>
      </c>
      <c r="W430" s="14">
        <f>'PIVOT TABLES'!$W$28-'PIVOT TABLES'!$W$27</f>
        <v>27.947999999999993</v>
      </c>
      <c r="X430" s="14">
        <f>200-SUM(Table3[[#This Row],[S - LIGHT]:[S - VIGOROUS]])</f>
        <v>88.208000000000013</v>
      </c>
    </row>
    <row r="431" spans="1:24" x14ac:dyDescent="0.25">
      <c r="A431" s="32" t="s">
        <v>8</v>
      </c>
      <c r="B431" s="13" t="str">
        <f t="shared" si="6"/>
        <v>Striker</v>
      </c>
      <c r="C431" s="7">
        <v>45313.424027777779</v>
      </c>
      <c r="D431" s="14">
        <v>7073</v>
      </c>
      <c r="E431" s="14">
        <v>248</v>
      </c>
      <c r="F431" s="14">
        <v>22</v>
      </c>
      <c r="G431" s="14">
        <v>28</v>
      </c>
      <c r="H431" s="32">
        <v>79.61</v>
      </c>
      <c r="I431" s="14">
        <f>'PIVOT TABLES'!$B$26</f>
        <v>60.283999999999999</v>
      </c>
      <c r="J431" s="14">
        <f>'PIVOT TABLES'!$B$27-'PIVOT TABLES'!$B$26</f>
        <v>30.142000000000003</v>
      </c>
      <c r="K431" s="14">
        <f>'PIVOT TABLES'!$B$28-'PIVOT TABLES'!$B$27</f>
        <v>30.141999999999996</v>
      </c>
      <c r="L431" s="14">
        <f>200-SUM(Table3[[#This Row],[D - LIGHT]:[D - VIGOROUS]])</f>
        <v>79.432000000000002</v>
      </c>
      <c r="M431" s="14">
        <f>'PIVOT TABLES'!$I$26</f>
        <v>65.603999999999999</v>
      </c>
      <c r="N431" s="14">
        <f>'PIVOT TABLES'!$I$27-'PIVOT TABLES'!$I$26</f>
        <v>32.802000000000007</v>
      </c>
      <c r="O431" s="14">
        <f>'PIVOT TABLES'!$I$28-'PIVOT TABLES'!$I$27</f>
        <v>32.801999999999992</v>
      </c>
      <c r="P431" s="14">
        <f>200-SUM(Table3[[#This Row],[M - LIGHT]:[M - VIGOROUS]])</f>
        <v>68.792000000000002</v>
      </c>
      <c r="Q431" s="14">
        <f>'PIVOT TABLES'!$P$26</f>
        <v>62.64</v>
      </c>
      <c r="R431" s="14">
        <f>'PIVOT TABLES'!$P$27-'PIVOT TABLES'!$P$26</f>
        <v>31.320000000000007</v>
      </c>
      <c r="S431" s="14">
        <f>'PIVOT TABLES'!$P$28-'PIVOT TABLES'!$P$27</f>
        <v>31.319999999999993</v>
      </c>
      <c r="T431" s="14">
        <f>200-SUM(Table3[[#This Row],[W - LIGHT]:[W - VIGOROUS]])</f>
        <v>74.72</v>
      </c>
      <c r="U431" s="14">
        <f>'PIVOT TABLES'!$W$26</f>
        <v>55.895999999999994</v>
      </c>
      <c r="V431" s="14">
        <f>'PIVOT TABLES'!$W$27-'PIVOT TABLES'!$W$26</f>
        <v>27.948</v>
      </c>
      <c r="W431" s="14">
        <f>'PIVOT TABLES'!$W$28-'PIVOT TABLES'!$W$27</f>
        <v>27.947999999999993</v>
      </c>
      <c r="X431" s="14">
        <f>200-SUM(Table3[[#This Row],[S - LIGHT]:[S - VIGOROUS]])</f>
        <v>88.208000000000013</v>
      </c>
    </row>
    <row r="432" spans="1:24" x14ac:dyDescent="0.25">
      <c r="A432" s="32" t="s">
        <v>67</v>
      </c>
      <c r="B432" s="13" t="str">
        <f t="shared" si="6"/>
        <v>Midfielder</v>
      </c>
      <c r="C432" s="7">
        <v>45313.424027777779</v>
      </c>
      <c r="D432" s="14">
        <v>7818</v>
      </c>
      <c r="E432" s="14">
        <v>75</v>
      </c>
      <c r="F432" s="14">
        <v>33</v>
      </c>
      <c r="G432" s="14">
        <v>24</v>
      </c>
      <c r="H432" s="32">
        <v>82.23</v>
      </c>
      <c r="I432" s="14">
        <f>'PIVOT TABLES'!$B$26</f>
        <v>60.283999999999999</v>
      </c>
      <c r="J432" s="14">
        <f>'PIVOT TABLES'!$B$27-'PIVOT TABLES'!$B$26</f>
        <v>30.142000000000003</v>
      </c>
      <c r="K432" s="14">
        <f>'PIVOT TABLES'!$B$28-'PIVOT TABLES'!$B$27</f>
        <v>30.141999999999996</v>
      </c>
      <c r="L432" s="14">
        <f>200-SUM(Table3[[#This Row],[D - LIGHT]:[D - VIGOROUS]])</f>
        <v>79.432000000000002</v>
      </c>
      <c r="M432" s="14">
        <f>'PIVOT TABLES'!$I$26</f>
        <v>65.603999999999999</v>
      </c>
      <c r="N432" s="14">
        <f>'PIVOT TABLES'!$I$27-'PIVOT TABLES'!$I$26</f>
        <v>32.802000000000007</v>
      </c>
      <c r="O432" s="14">
        <f>'PIVOT TABLES'!$I$28-'PIVOT TABLES'!$I$27</f>
        <v>32.801999999999992</v>
      </c>
      <c r="P432" s="14">
        <f>200-SUM(Table3[[#This Row],[M - LIGHT]:[M - VIGOROUS]])</f>
        <v>68.792000000000002</v>
      </c>
      <c r="Q432" s="14">
        <f>'PIVOT TABLES'!$P$26</f>
        <v>62.64</v>
      </c>
      <c r="R432" s="14">
        <f>'PIVOT TABLES'!$P$27-'PIVOT TABLES'!$P$26</f>
        <v>31.320000000000007</v>
      </c>
      <c r="S432" s="14">
        <f>'PIVOT TABLES'!$P$28-'PIVOT TABLES'!$P$27</f>
        <v>31.319999999999993</v>
      </c>
      <c r="T432" s="14">
        <f>200-SUM(Table3[[#This Row],[W - LIGHT]:[W - VIGOROUS]])</f>
        <v>74.72</v>
      </c>
      <c r="U432" s="14">
        <f>'PIVOT TABLES'!$W$26</f>
        <v>55.895999999999994</v>
      </c>
      <c r="V432" s="14">
        <f>'PIVOT TABLES'!$W$27-'PIVOT TABLES'!$W$26</f>
        <v>27.948</v>
      </c>
      <c r="W432" s="14">
        <f>'PIVOT TABLES'!$W$28-'PIVOT TABLES'!$W$27</f>
        <v>27.947999999999993</v>
      </c>
      <c r="X432" s="14">
        <f>200-SUM(Table3[[#This Row],[S - LIGHT]:[S - VIGOROUS]])</f>
        <v>88.208000000000013</v>
      </c>
    </row>
    <row r="433" spans="1:24" x14ac:dyDescent="0.25">
      <c r="A433" s="32" t="s">
        <v>69</v>
      </c>
      <c r="B433" s="13" t="str">
        <f t="shared" si="6"/>
        <v>Midfielder</v>
      </c>
      <c r="C433" s="7">
        <v>45313.424027777779</v>
      </c>
      <c r="D433" s="14">
        <v>8026</v>
      </c>
      <c r="E433" s="14">
        <v>230</v>
      </c>
      <c r="F433" s="14">
        <v>46</v>
      </c>
      <c r="G433" s="14">
        <v>31</v>
      </c>
      <c r="H433" s="32">
        <v>89.62</v>
      </c>
      <c r="I433" s="14">
        <f>'PIVOT TABLES'!$B$26</f>
        <v>60.283999999999999</v>
      </c>
      <c r="J433" s="14">
        <f>'PIVOT TABLES'!$B$27-'PIVOT TABLES'!$B$26</f>
        <v>30.142000000000003</v>
      </c>
      <c r="K433" s="14">
        <f>'PIVOT TABLES'!$B$28-'PIVOT TABLES'!$B$27</f>
        <v>30.141999999999996</v>
      </c>
      <c r="L433" s="14">
        <f>200-SUM(Table3[[#This Row],[D - LIGHT]:[D - VIGOROUS]])</f>
        <v>79.432000000000002</v>
      </c>
      <c r="M433" s="14">
        <f>'PIVOT TABLES'!$I$26</f>
        <v>65.603999999999999</v>
      </c>
      <c r="N433" s="14">
        <f>'PIVOT TABLES'!$I$27-'PIVOT TABLES'!$I$26</f>
        <v>32.802000000000007</v>
      </c>
      <c r="O433" s="14">
        <f>'PIVOT TABLES'!$I$28-'PIVOT TABLES'!$I$27</f>
        <v>32.801999999999992</v>
      </c>
      <c r="P433" s="14">
        <f>200-SUM(Table3[[#This Row],[M - LIGHT]:[M - VIGOROUS]])</f>
        <v>68.792000000000002</v>
      </c>
      <c r="Q433" s="14">
        <f>'PIVOT TABLES'!$P$26</f>
        <v>62.64</v>
      </c>
      <c r="R433" s="14">
        <f>'PIVOT TABLES'!$P$27-'PIVOT TABLES'!$P$26</f>
        <v>31.320000000000007</v>
      </c>
      <c r="S433" s="14">
        <f>'PIVOT TABLES'!$P$28-'PIVOT TABLES'!$P$27</f>
        <v>31.319999999999993</v>
      </c>
      <c r="T433" s="14">
        <f>200-SUM(Table3[[#This Row],[W - LIGHT]:[W - VIGOROUS]])</f>
        <v>74.72</v>
      </c>
      <c r="U433" s="14">
        <f>'PIVOT TABLES'!$W$26</f>
        <v>55.895999999999994</v>
      </c>
      <c r="V433" s="14">
        <f>'PIVOT TABLES'!$W$27-'PIVOT TABLES'!$W$26</f>
        <v>27.948</v>
      </c>
      <c r="W433" s="14">
        <f>'PIVOT TABLES'!$W$28-'PIVOT TABLES'!$W$27</f>
        <v>27.947999999999993</v>
      </c>
      <c r="X433" s="14">
        <f>200-SUM(Table3[[#This Row],[S - LIGHT]:[S - VIGOROUS]])</f>
        <v>88.208000000000013</v>
      </c>
    </row>
    <row r="434" spans="1:24" x14ac:dyDescent="0.25">
      <c r="A434" s="17" t="s">
        <v>70</v>
      </c>
      <c r="B434" s="13" t="str">
        <f t="shared" si="6"/>
        <v>Winger</v>
      </c>
      <c r="C434" s="7">
        <v>45314.426435185182</v>
      </c>
      <c r="D434" s="14">
        <v>6273</v>
      </c>
      <c r="E434" s="14">
        <v>40</v>
      </c>
      <c r="F434" s="14">
        <v>12</v>
      </c>
      <c r="G434" s="14">
        <v>9</v>
      </c>
      <c r="H434" s="14">
        <v>64.59</v>
      </c>
      <c r="I434" s="14">
        <f>'PIVOT TABLES'!$B$26</f>
        <v>60.283999999999999</v>
      </c>
      <c r="J434" s="14">
        <f>'PIVOT TABLES'!$B$27-'PIVOT TABLES'!$B$26</f>
        <v>30.142000000000003</v>
      </c>
      <c r="K434" s="14">
        <f>'PIVOT TABLES'!$B$28-'PIVOT TABLES'!$B$27</f>
        <v>30.141999999999996</v>
      </c>
      <c r="L434" s="14">
        <f>200-SUM(Table3[[#This Row],[D - LIGHT]:[D - VIGOROUS]])</f>
        <v>79.432000000000002</v>
      </c>
      <c r="M434" s="14">
        <f>'PIVOT TABLES'!$I$26</f>
        <v>65.603999999999999</v>
      </c>
      <c r="N434" s="14">
        <f>'PIVOT TABLES'!$I$27-'PIVOT TABLES'!$I$26</f>
        <v>32.802000000000007</v>
      </c>
      <c r="O434" s="14">
        <f>'PIVOT TABLES'!$I$28-'PIVOT TABLES'!$I$27</f>
        <v>32.801999999999992</v>
      </c>
      <c r="P434" s="14">
        <f>200-SUM(Table3[[#This Row],[M - LIGHT]:[M - VIGOROUS]])</f>
        <v>68.792000000000002</v>
      </c>
      <c r="Q434" s="14">
        <f>'PIVOT TABLES'!$P$26</f>
        <v>62.64</v>
      </c>
      <c r="R434" s="14">
        <f>'PIVOT TABLES'!$P$27-'PIVOT TABLES'!$P$26</f>
        <v>31.320000000000007</v>
      </c>
      <c r="S434" s="14">
        <f>'PIVOT TABLES'!$P$28-'PIVOT TABLES'!$P$27</f>
        <v>31.319999999999993</v>
      </c>
      <c r="T434" s="14">
        <f>200-SUM(Table3[[#This Row],[W - LIGHT]:[W - VIGOROUS]])</f>
        <v>74.72</v>
      </c>
      <c r="U434" s="14">
        <f>'PIVOT TABLES'!$W$26</f>
        <v>55.895999999999994</v>
      </c>
      <c r="V434" s="14">
        <f>'PIVOT TABLES'!$W$27-'PIVOT TABLES'!$W$26</f>
        <v>27.948</v>
      </c>
      <c r="W434" s="14">
        <f>'PIVOT TABLES'!$W$28-'PIVOT TABLES'!$W$27</f>
        <v>27.947999999999993</v>
      </c>
      <c r="X434" s="14">
        <f>200-SUM(Table3[[#This Row],[S - LIGHT]:[S - VIGOROUS]])</f>
        <v>88.208000000000013</v>
      </c>
    </row>
    <row r="435" spans="1:24" x14ac:dyDescent="0.25">
      <c r="A435" s="17" t="s">
        <v>53</v>
      </c>
      <c r="B435" s="13" t="str">
        <f t="shared" si="6"/>
        <v>Midfielder</v>
      </c>
      <c r="C435" s="7">
        <v>45314.426435185182</v>
      </c>
      <c r="D435" s="14">
        <v>6599</v>
      </c>
      <c r="E435" s="14">
        <v>64</v>
      </c>
      <c r="F435" s="14">
        <v>16</v>
      </c>
      <c r="G435" s="14">
        <v>14</v>
      </c>
      <c r="H435" s="14">
        <v>68.83</v>
      </c>
      <c r="I435" s="14">
        <f>'PIVOT TABLES'!$B$26</f>
        <v>60.283999999999999</v>
      </c>
      <c r="J435" s="14">
        <f>'PIVOT TABLES'!$B$27-'PIVOT TABLES'!$B$26</f>
        <v>30.142000000000003</v>
      </c>
      <c r="K435" s="14">
        <f>'PIVOT TABLES'!$B$28-'PIVOT TABLES'!$B$27</f>
        <v>30.141999999999996</v>
      </c>
      <c r="L435" s="14">
        <f>200-SUM(Table3[[#This Row],[D - LIGHT]:[D - VIGOROUS]])</f>
        <v>79.432000000000002</v>
      </c>
      <c r="M435" s="14">
        <f>'PIVOT TABLES'!$I$26</f>
        <v>65.603999999999999</v>
      </c>
      <c r="N435" s="14">
        <f>'PIVOT TABLES'!$I$27-'PIVOT TABLES'!$I$26</f>
        <v>32.802000000000007</v>
      </c>
      <c r="O435" s="14">
        <f>'PIVOT TABLES'!$I$28-'PIVOT TABLES'!$I$27</f>
        <v>32.801999999999992</v>
      </c>
      <c r="P435" s="14">
        <f>200-SUM(Table3[[#This Row],[M - LIGHT]:[M - VIGOROUS]])</f>
        <v>68.792000000000002</v>
      </c>
      <c r="Q435" s="14">
        <f>'PIVOT TABLES'!$P$26</f>
        <v>62.64</v>
      </c>
      <c r="R435" s="14">
        <f>'PIVOT TABLES'!$P$27-'PIVOT TABLES'!$P$26</f>
        <v>31.320000000000007</v>
      </c>
      <c r="S435" s="14">
        <f>'PIVOT TABLES'!$P$28-'PIVOT TABLES'!$P$27</f>
        <v>31.319999999999993</v>
      </c>
      <c r="T435" s="14">
        <f>200-SUM(Table3[[#This Row],[W - LIGHT]:[W - VIGOROUS]])</f>
        <v>74.72</v>
      </c>
      <c r="U435" s="14">
        <f>'PIVOT TABLES'!$W$26</f>
        <v>55.895999999999994</v>
      </c>
      <c r="V435" s="14">
        <f>'PIVOT TABLES'!$W$27-'PIVOT TABLES'!$W$26</f>
        <v>27.948</v>
      </c>
      <c r="W435" s="14">
        <f>'PIVOT TABLES'!$W$28-'PIVOT TABLES'!$W$27</f>
        <v>27.947999999999993</v>
      </c>
      <c r="X435" s="14">
        <f>200-SUM(Table3[[#This Row],[S - LIGHT]:[S - VIGOROUS]])</f>
        <v>88.208000000000013</v>
      </c>
    </row>
    <row r="436" spans="1:24" x14ac:dyDescent="0.25">
      <c r="A436" s="17" t="s">
        <v>54</v>
      </c>
      <c r="B436" s="13" t="str">
        <f t="shared" si="6"/>
        <v>Striker</v>
      </c>
      <c r="C436" s="7">
        <v>45314.426435185182</v>
      </c>
      <c r="D436" s="14">
        <v>4213</v>
      </c>
      <c r="E436" s="14">
        <v>0</v>
      </c>
      <c r="F436" s="14">
        <v>2</v>
      </c>
      <c r="G436" s="14">
        <v>1</v>
      </c>
      <c r="H436" s="14">
        <v>42.23</v>
      </c>
      <c r="I436" s="14">
        <f>'PIVOT TABLES'!$B$26</f>
        <v>60.283999999999999</v>
      </c>
      <c r="J436" s="14">
        <f>'PIVOT TABLES'!$B$27-'PIVOT TABLES'!$B$26</f>
        <v>30.142000000000003</v>
      </c>
      <c r="K436" s="14">
        <f>'PIVOT TABLES'!$B$28-'PIVOT TABLES'!$B$27</f>
        <v>30.141999999999996</v>
      </c>
      <c r="L436" s="14">
        <f>200-SUM(Table3[[#This Row],[D - LIGHT]:[D - VIGOROUS]])</f>
        <v>79.432000000000002</v>
      </c>
      <c r="M436" s="14">
        <f>'PIVOT TABLES'!$I$26</f>
        <v>65.603999999999999</v>
      </c>
      <c r="N436" s="14">
        <f>'PIVOT TABLES'!$I$27-'PIVOT TABLES'!$I$26</f>
        <v>32.802000000000007</v>
      </c>
      <c r="O436" s="14">
        <f>'PIVOT TABLES'!$I$28-'PIVOT TABLES'!$I$27</f>
        <v>32.801999999999992</v>
      </c>
      <c r="P436" s="14">
        <f>200-SUM(Table3[[#This Row],[M - LIGHT]:[M - VIGOROUS]])</f>
        <v>68.792000000000002</v>
      </c>
      <c r="Q436" s="14">
        <f>'PIVOT TABLES'!$P$26</f>
        <v>62.64</v>
      </c>
      <c r="R436" s="14">
        <f>'PIVOT TABLES'!$P$27-'PIVOT TABLES'!$P$26</f>
        <v>31.320000000000007</v>
      </c>
      <c r="S436" s="14">
        <f>'PIVOT TABLES'!$P$28-'PIVOT TABLES'!$P$27</f>
        <v>31.319999999999993</v>
      </c>
      <c r="T436" s="14">
        <f>200-SUM(Table3[[#This Row],[W - LIGHT]:[W - VIGOROUS]])</f>
        <v>74.72</v>
      </c>
      <c r="U436" s="14">
        <f>'PIVOT TABLES'!$W$26</f>
        <v>55.895999999999994</v>
      </c>
      <c r="V436" s="14">
        <f>'PIVOT TABLES'!$W$27-'PIVOT TABLES'!$W$26</f>
        <v>27.948</v>
      </c>
      <c r="W436" s="14">
        <f>'PIVOT TABLES'!$W$28-'PIVOT TABLES'!$W$27</f>
        <v>27.947999999999993</v>
      </c>
      <c r="X436" s="14">
        <f>200-SUM(Table3[[#This Row],[S - LIGHT]:[S - VIGOROUS]])</f>
        <v>88.208000000000013</v>
      </c>
    </row>
    <row r="437" spans="1:24" x14ac:dyDescent="0.25">
      <c r="A437" s="17" t="s">
        <v>55</v>
      </c>
      <c r="B437" s="13" t="str">
        <f t="shared" si="6"/>
        <v>Striker</v>
      </c>
      <c r="C437" s="7">
        <v>45314.426435185182</v>
      </c>
      <c r="D437" s="14">
        <v>10230</v>
      </c>
      <c r="E437" s="14">
        <v>95</v>
      </c>
      <c r="F437" s="14">
        <v>24</v>
      </c>
      <c r="G437" s="14">
        <v>16</v>
      </c>
      <c r="H437" s="14">
        <v>106.43</v>
      </c>
      <c r="I437" s="14">
        <f>'PIVOT TABLES'!$B$26</f>
        <v>60.283999999999999</v>
      </c>
      <c r="J437" s="14">
        <f>'PIVOT TABLES'!$B$27-'PIVOT TABLES'!$B$26</f>
        <v>30.142000000000003</v>
      </c>
      <c r="K437" s="14">
        <f>'PIVOT TABLES'!$B$28-'PIVOT TABLES'!$B$27</f>
        <v>30.141999999999996</v>
      </c>
      <c r="L437" s="14">
        <f>200-SUM(Table3[[#This Row],[D - LIGHT]:[D - VIGOROUS]])</f>
        <v>79.432000000000002</v>
      </c>
      <c r="M437" s="14">
        <f>'PIVOT TABLES'!$I$26</f>
        <v>65.603999999999999</v>
      </c>
      <c r="N437" s="14">
        <f>'PIVOT TABLES'!$I$27-'PIVOT TABLES'!$I$26</f>
        <v>32.802000000000007</v>
      </c>
      <c r="O437" s="14">
        <f>'PIVOT TABLES'!$I$28-'PIVOT TABLES'!$I$27</f>
        <v>32.801999999999992</v>
      </c>
      <c r="P437" s="14">
        <f>200-SUM(Table3[[#This Row],[M - LIGHT]:[M - VIGOROUS]])</f>
        <v>68.792000000000002</v>
      </c>
      <c r="Q437" s="14">
        <f>'PIVOT TABLES'!$P$26</f>
        <v>62.64</v>
      </c>
      <c r="R437" s="14">
        <f>'PIVOT TABLES'!$P$27-'PIVOT TABLES'!$P$26</f>
        <v>31.320000000000007</v>
      </c>
      <c r="S437" s="14">
        <f>'PIVOT TABLES'!$P$28-'PIVOT TABLES'!$P$27</f>
        <v>31.319999999999993</v>
      </c>
      <c r="T437" s="14">
        <f>200-SUM(Table3[[#This Row],[W - LIGHT]:[W - VIGOROUS]])</f>
        <v>74.72</v>
      </c>
      <c r="U437" s="14">
        <f>'PIVOT TABLES'!$W$26</f>
        <v>55.895999999999994</v>
      </c>
      <c r="V437" s="14">
        <f>'PIVOT TABLES'!$W$27-'PIVOT TABLES'!$W$26</f>
        <v>27.948</v>
      </c>
      <c r="W437" s="14">
        <f>'PIVOT TABLES'!$W$28-'PIVOT TABLES'!$W$27</f>
        <v>27.947999999999993</v>
      </c>
      <c r="X437" s="14">
        <f>200-SUM(Table3[[#This Row],[S - LIGHT]:[S - VIGOROUS]])</f>
        <v>88.208000000000013</v>
      </c>
    </row>
    <row r="438" spans="1:24" x14ac:dyDescent="0.25">
      <c r="A438" s="17" t="s">
        <v>1</v>
      </c>
      <c r="B438" s="13" t="str">
        <f t="shared" si="6"/>
        <v>Defender</v>
      </c>
      <c r="C438" s="7">
        <v>45314.426435185182</v>
      </c>
      <c r="D438" s="14">
        <v>8264</v>
      </c>
      <c r="E438" s="14">
        <v>55</v>
      </c>
      <c r="F438" s="14">
        <v>15</v>
      </c>
      <c r="G438" s="14">
        <v>21</v>
      </c>
      <c r="H438" s="14">
        <v>85.31</v>
      </c>
      <c r="I438" s="14">
        <f>'PIVOT TABLES'!$B$26</f>
        <v>60.283999999999999</v>
      </c>
      <c r="J438" s="14">
        <f>'PIVOT TABLES'!$B$27-'PIVOT TABLES'!$B$26</f>
        <v>30.142000000000003</v>
      </c>
      <c r="K438" s="14">
        <f>'PIVOT TABLES'!$B$28-'PIVOT TABLES'!$B$27</f>
        <v>30.141999999999996</v>
      </c>
      <c r="L438" s="14">
        <f>200-SUM(Table3[[#This Row],[D - LIGHT]:[D - VIGOROUS]])</f>
        <v>79.432000000000002</v>
      </c>
      <c r="M438" s="14">
        <f>'PIVOT TABLES'!$I$26</f>
        <v>65.603999999999999</v>
      </c>
      <c r="N438" s="14">
        <f>'PIVOT TABLES'!$I$27-'PIVOT TABLES'!$I$26</f>
        <v>32.802000000000007</v>
      </c>
      <c r="O438" s="14">
        <f>'PIVOT TABLES'!$I$28-'PIVOT TABLES'!$I$27</f>
        <v>32.801999999999992</v>
      </c>
      <c r="P438" s="14">
        <f>200-SUM(Table3[[#This Row],[M - LIGHT]:[M - VIGOROUS]])</f>
        <v>68.792000000000002</v>
      </c>
      <c r="Q438" s="14">
        <f>'PIVOT TABLES'!$P$26</f>
        <v>62.64</v>
      </c>
      <c r="R438" s="14">
        <f>'PIVOT TABLES'!$P$27-'PIVOT TABLES'!$P$26</f>
        <v>31.320000000000007</v>
      </c>
      <c r="S438" s="14">
        <f>'PIVOT TABLES'!$P$28-'PIVOT TABLES'!$P$27</f>
        <v>31.319999999999993</v>
      </c>
      <c r="T438" s="14">
        <f>200-SUM(Table3[[#This Row],[W - LIGHT]:[W - VIGOROUS]])</f>
        <v>74.72</v>
      </c>
      <c r="U438" s="14">
        <f>'PIVOT TABLES'!$W$26</f>
        <v>55.895999999999994</v>
      </c>
      <c r="V438" s="14">
        <f>'PIVOT TABLES'!$W$27-'PIVOT TABLES'!$W$26</f>
        <v>27.948</v>
      </c>
      <c r="W438" s="14">
        <f>'PIVOT TABLES'!$W$28-'PIVOT TABLES'!$W$27</f>
        <v>27.947999999999993</v>
      </c>
      <c r="X438" s="14">
        <f>200-SUM(Table3[[#This Row],[S - LIGHT]:[S - VIGOROUS]])</f>
        <v>88.208000000000013</v>
      </c>
    </row>
    <row r="439" spans="1:24" x14ac:dyDescent="0.25">
      <c r="A439" s="17" t="s">
        <v>56</v>
      </c>
      <c r="B439" s="13" t="str">
        <f t="shared" si="6"/>
        <v>Midfielder</v>
      </c>
      <c r="C439" s="7">
        <v>45314.426435185182</v>
      </c>
      <c r="D439" s="14">
        <v>10472</v>
      </c>
      <c r="E439" s="14">
        <v>61</v>
      </c>
      <c r="F439" s="14">
        <v>28</v>
      </c>
      <c r="G439" s="14">
        <v>17</v>
      </c>
      <c r="H439" s="14">
        <v>108.01</v>
      </c>
      <c r="I439" s="14">
        <f>'PIVOT TABLES'!$B$26</f>
        <v>60.283999999999999</v>
      </c>
      <c r="J439" s="14">
        <f>'PIVOT TABLES'!$B$27-'PIVOT TABLES'!$B$26</f>
        <v>30.142000000000003</v>
      </c>
      <c r="K439" s="14">
        <f>'PIVOT TABLES'!$B$28-'PIVOT TABLES'!$B$27</f>
        <v>30.141999999999996</v>
      </c>
      <c r="L439" s="14">
        <f>200-SUM(Table3[[#This Row],[D - LIGHT]:[D - VIGOROUS]])</f>
        <v>79.432000000000002</v>
      </c>
      <c r="M439" s="14">
        <f>'PIVOT TABLES'!$I$26</f>
        <v>65.603999999999999</v>
      </c>
      <c r="N439" s="14">
        <f>'PIVOT TABLES'!$I$27-'PIVOT TABLES'!$I$26</f>
        <v>32.802000000000007</v>
      </c>
      <c r="O439" s="14">
        <f>'PIVOT TABLES'!$I$28-'PIVOT TABLES'!$I$27</f>
        <v>32.801999999999992</v>
      </c>
      <c r="P439" s="14">
        <f>200-SUM(Table3[[#This Row],[M - LIGHT]:[M - VIGOROUS]])</f>
        <v>68.792000000000002</v>
      </c>
      <c r="Q439" s="14">
        <f>'PIVOT TABLES'!$P$26</f>
        <v>62.64</v>
      </c>
      <c r="R439" s="14">
        <f>'PIVOT TABLES'!$P$27-'PIVOT TABLES'!$P$26</f>
        <v>31.320000000000007</v>
      </c>
      <c r="S439" s="14">
        <f>'PIVOT TABLES'!$P$28-'PIVOT TABLES'!$P$27</f>
        <v>31.319999999999993</v>
      </c>
      <c r="T439" s="14">
        <f>200-SUM(Table3[[#This Row],[W - LIGHT]:[W - VIGOROUS]])</f>
        <v>74.72</v>
      </c>
      <c r="U439" s="14">
        <f>'PIVOT TABLES'!$W$26</f>
        <v>55.895999999999994</v>
      </c>
      <c r="V439" s="14">
        <f>'PIVOT TABLES'!$W$27-'PIVOT TABLES'!$W$26</f>
        <v>27.948</v>
      </c>
      <c r="W439" s="14">
        <f>'PIVOT TABLES'!$W$28-'PIVOT TABLES'!$W$27</f>
        <v>27.947999999999993</v>
      </c>
      <c r="X439" s="14">
        <f>200-SUM(Table3[[#This Row],[S - LIGHT]:[S - VIGOROUS]])</f>
        <v>88.208000000000013</v>
      </c>
    </row>
    <row r="440" spans="1:24" x14ac:dyDescent="0.25">
      <c r="A440" s="17" t="s">
        <v>2</v>
      </c>
      <c r="B440" s="13" t="str">
        <f t="shared" si="6"/>
        <v>Defender</v>
      </c>
      <c r="C440" s="7">
        <v>45314.426435185182</v>
      </c>
      <c r="D440" s="14">
        <v>2129</v>
      </c>
      <c r="E440" s="14">
        <v>5</v>
      </c>
      <c r="F440" s="14">
        <v>0</v>
      </c>
      <c r="G440" s="14">
        <v>2</v>
      </c>
      <c r="H440" s="14">
        <v>21.48</v>
      </c>
      <c r="I440" s="14">
        <f>'PIVOT TABLES'!$B$26</f>
        <v>60.283999999999999</v>
      </c>
      <c r="J440" s="14">
        <f>'PIVOT TABLES'!$B$27-'PIVOT TABLES'!$B$26</f>
        <v>30.142000000000003</v>
      </c>
      <c r="K440" s="14">
        <f>'PIVOT TABLES'!$B$28-'PIVOT TABLES'!$B$27</f>
        <v>30.141999999999996</v>
      </c>
      <c r="L440" s="14">
        <f>200-SUM(Table3[[#This Row],[D - LIGHT]:[D - VIGOROUS]])</f>
        <v>79.432000000000002</v>
      </c>
      <c r="M440" s="14">
        <f>'PIVOT TABLES'!$I$26</f>
        <v>65.603999999999999</v>
      </c>
      <c r="N440" s="14">
        <f>'PIVOT TABLES'!$I$27-'PIVOT TABLES'!$I$26</f>
        <v>32.802000000000007</v>
      </c>
      <c r="O440" s="14">
        <f>'PIVOT TABLES'!$I$28-'PIVOT TABLES'!$I$27</f>
        <v>32.801999999999992</v>
      </c>
      <c r="P440" s="14">
        <f>200-SUM(Table3[[#This Row],[M - LIGHT]:[M - VIGOROUS]])</f>
        <v>68.792000000000002</v>
      </c>
      <c r="Q440" s="14">
        <f>'PIVOT TABLES'!$P$26</f>
        <v>62.64</v>
      </c>
      <c r="R440" s="14">
        <f>'PIVOT TABLES'!$P$27-'PIVOT TABLES'!$P$26</f>
        <v>31.320000000000007</v>
      </c>
      <c r="S440" s="14">
        <f>'PIVOT TABLES'!$P$28-'PIVOT TABLES'!$P$27</f>
        <v>31.319999999999993</v>
      </c>
      <c r="T440" s="14">
        <f>200-SUM(Table3[[#This Row],[W - LIGHT]:[W - VIGOROUS]])</f>
        <v>74.72</v>
      </c>
      <c r="U440" s="14">
        <f>'PIVOT TABLES'!$W$26</f>
        <v>55.895999999999994</v>
      </c>
      <c r="V440" s="14">
        <f>'PIVOT TABLES'!$W$27-'PIVOT TABLES'!$W$26</f>
        <v>27.948</v>
      </c>
      <c r="W440" s="14">
        <f>'PIVOT TABLES'!$W$28-'PIVOT TABLES'!$W$27</f>
        <v>27.947999999999993</v>
      </c>
      <c r="X440" s="14">
        <f>200-SUM(Table3[[#This Row],[S - LIGHT]:[S - VIGOROUS]])</f>
        <v>88.208000000000013</v>
      </c>
    </row>
    <row r="441" spans="1:24" x14ac:dyDescent="0.25">
      <c r="A441" s="17" t="s">
        <v>58</v>
      </c>
      <c r="B441" s="13" t="str">
        <f t="shared" si="6"/>
        <v>Defender</v>
      </c>
      <c r="C441" s="7">
        <v>45314.426435185182</v>
      </c>
      <c r="D441" s="14">
        <v>9718</v>
      </c>
      <c r="E441" s="14">
        <v>116</v>
      </c>
      <c r="F441" s="14">
        <v>29</v>
      </c>
      <c r="G441" s="14">
        <v>20</v>
      </c>
      <c r="H441" s="14">
        <v>102.22</v>
      </c>
      <c r="I441" s="14">
        <f>'PIVOT TABLES'!$B$26</f>
        <v>60.283999999999999</v>
      </c>
      <c r="J441" s="14">
        <f>'PIVOT TABLES'!$B$27-'PIVOT TABLES'!$B$26</f>
        <v>30.142000000000003</v>
      </c>
      <c r="K441" s="14">
        <f>'PIVOT TABLES'!$B$28-'PIVOT TABLES'!$B$27</f>
        <v>30.141999999999996</v>
      </c>
      <c r="L441" s="14">
        <f>200-SUM(Table3[[#This Row],[D - LIGHT]:[D - VIGOROUS]])</f>
        <v>79.432000000000002</v>
      </c>
      <c r="M441" s="14">
        <f>'PIVOT TABLES'!$I$26</f>
        <v>65.603999999999999</v>
      </c>
      <c r="N441" s="14">
        <f>'PIVOT TABLES'!$I$27-'PIVOT TABLES'!$I$26</f>
        <v>32.802000000000007</v>
      </c>
      <c r="O441" s="14">
        <f>'PIVOT TABLES'!$I$28-'PIVOT TABLES'!$I$27</f>
        <v>32.801999999999992</v>
      </c>
      <c r="P441" s="14">
        <f>200-SUM(Table3[[#This Row],[M - LIGHT]:[M - VIGOROUS]])</f>
        <v>68.792000000000002</v>
      </c>
      <c r="Q441" s="14">
        <f>'PIVOT TABLES'!$P$26</f>
        <v>62.64</v>
      </c>
      <c r="R441" s="14">
        <f>'PIVOT TABLES'!$P$27-'PIVOT TABLES'!$P$26</f>
        <v>31.320000000000007</v>
      </c>
      <c r="S441" s="14">
        <f>'PIVOT TABLES'!$P$28-'PIVOT TABLES'!$P$27</f>
        <v>31.319999999999993</v>
      </c>
      <c r="T441" s="14">
        <f>200-SUM(Table3[[#This Row],[W - LIGHT]:[W - VIGOROUS]])</f>
        <v>74.72</v>
      </c>
      <c r="U441" s="14">
        <f>'PIVOT TABLES'!$W$26</f>
        <v>55.895999999999994</v>
      </c>
      <c r="V441" s="14">
        <f>'PIVOT TABLES'!$W$27-'PIVOT TABLES'!$W$26</f>
        <v>27.948</v>
      </c>
      <c r="W441" s="14">
        <f>'PIVOT TABLES'!$W$28-'PIVOT TABLES'!$W$27</f>
        <v>27.947999999999993</v>
      </c>
      <c r="X441" s="14">
        <f>200-SUM(Table3[[#This Row],[S - LIGHT]:[S - VIGOROUS]])</f>
        <v>88.208000000000013</v>
      </c>
    </row>
    <row r="442" spans="1:24" x14ac:dyDescent="0.25">
      <c r="A442" s="17" t="s">
        <v>94</v>
      </c>
      <c r="B442" s="13" t="str">
        <f t="shared" si="6"/>
        <v>Defender</v>
      </c>
      <c r="C442" s="7">
        <v>45314.426435185182</v>
      </c>
      <c r="D442" s="14">
        <v>9364</v>
      </c>
      <c r="E442" s="14">
        <v>44</v>
      </c>
      <c r="F442" s="14">
        <v>23</v>
      </c>
      <c r="G442" s="14">
        <v>20</v>
      </c>
      <c r="H442" s="14">
        <v>96.28</v>
      </c>
      <c r="I442" s="14">
        <f>'PIVOT TABLES'!$B$26</f>
        <v>60.283999999999999</v>
      </c>
      <c r="J442" s="14">
        <f>'PIVOT TABLES'!$B$27-'PIVOT TABLES'!$B$26</f>
        <v>30.142000000000003</v>
      </c>
      <c r="K442" s="14">
        <f>'PIVOT TABLES'!$B$28-'PIVOT TABLES'!$B$27</f>
        <v>30.141999999999996</v>
      </c>
      <c r="L442" s="14">
        <f>200-SUM(Table3[[#This Row],[D - LIGHT]:[D - VIGOROUS]])</f>
        <v>79.432000000000002</v>
      </c>
      <c r="M442" s="14">
        <f>'PIVOT TABLES'!$I$26</f>
        <v>65.603999999999999</v>
      </c>
      <c r="N442" s="14">
        <f>'PIVOT TABLES'!$I$27-'PIVOT TABLES'!$I$26</f>
        <v>32.802000000000007</v>
      </c>
      <c r="O442" s="14">
        <f>'PIVOT TABLES'!$I$28-'PIVOT TABLES'!$I$27</f>
        <v>32.801999999999992</v>
      </c>
      <c r="P442" s="14">
        <f>200-SUM(Table3[[#This Row],[M - LIGHT]:[M - VIGOROUS]])</f>
        <v>68.792000000000002</v>
      </c>
      <c r="Q442" s="14">
        <f>'PIVOT TABLES'!$P$26</f>
        <v>62.64</v>
      </c>
      <c r="R442" s="14">
        <f>'PIVOT TABLES'!$P$27-'PIVOT TABLES'!$P$26</f>
        <v>31.320000000000007</v>
      </c>
      <c r="S442" s="14">
        <f>'PIVOT TABLES'!$P$28-'PIVOT TABLES'!$P$27</f>
        <v>31.319999999999993</v>
      </c>
      <c r="T442" s="14">
        <f>200-SUM(Table3[[#This Row],[W - LIGHT]:[W - VIGOROUS]])</f>
        <v>74.72</v>
      </c>
      <c r="U442" s="14">
        <f>'PIVOT TABLES'!$W$26</f>
        <v>55.895999999999994</v>
      </c>
      <c r="V442" s="14">
        <f>'PIVOT TABLES'!$W$27-'PIVOT TABLES'!$W$26</f>
        <v>27.948</v>
      </c>
      <c r="W442" s="14">
        <f>'PIVOT TABLES'!$W$28-'PIVOT TABLES'!$W$27</f>
        <v>27.947999999999993</v>
      </c>
      <c r="X442" s="14">
        <f>200-SUM(Table3[[#This Row],[S - LIGHT]:[S - VIGOROUS]])</f>
        <v>88.208000000000013</v>
      </c>
    </row>
    <row r="443" spans="1:24" x14ac:dyDescent="0.25">
      <c r="A443" s="17" t="s">
        <v>3</v>
      </c>
      <c r="B443" s="13" t="str">
        <f t="shared" si="6"/>
        <v>Defender</v>
      </c>
      <c r="C443" s="7">
        <v>45314.426435185182</v>
      </c>
      <c r="D443" s="14">
        <v>9772</v>
      </c>
      <c r="E443" s="14">
        <v>75</v>
      </c>
      <c r="F443" s="14">
        <v>27</v>
      </c>
      <c r="G443" s="14">
        <v>31</v>
      </c>
      <c r="H443" s="14">
        <v>101.67</v>
      </c>
      <c r="I443" s="14">
        <f>'PIVOT TABLES'!$B$26</f>
        <v>60.283999999999999</v>
      </c>
      <c r="J443" s="14">
        <f>'PIVOT TABLES'!$B$27-'PIVOT TABLES'!$B$26</f>
        <v>30.142000000000003</v>
      </c>
      <c r="K443" s="14">
        <f>'PIVOT TABLES'!$B$28-'PIVOT TABLES'!$B$27</f>
        <v>30.141999999999996</v>
      </c>
      <c r="L443" s="14">
        <f>200-SUM(Table3[[#This Row],[D - LIGHT]:[D - VIGOROUS]])</f>
        <v>79.432000000000002</v>
      </c>
      <c r="M443" s="14">
        <f>'PIVOT TABLES'!$I$26</f>
        <v>65.603999999999999</v>
      </c>
      <c r="N443" s="14">
        <f>'PIVOT TABLES'!$I$27-'PIVOT TABLES'!$I$26</f>
        <v>32.802000000000007</v>
      </c>
      <c r="O443" s="14">
        <f>'PIVOT TABLES'!$I$28-'PIVOT TABLES'!$I$27</f>
        <v>32.801999999999992</v>
      </c>
      <c r="P443" s="14">
        <f>200-SUM(Table3[[#This Row],[M - LIGHT]:[M - VIGOROUS]])</f>
        <v>68.792000000000002</v>
      </c>
      <c r="Q443" s="14">
        <f>'PIVOT TABLES'!$P$26</f>
        <v>62.64</v>
      </c>
      <c r="R443" s="14">
        <f>'PIVOT TABLES'!$P$27-'PIVOT TABLES'!$P$26</f>
        <v>31.320000000000007</v>
      </c>
      <c r="S443" s="14">
        <f>'PIVOT TABLES'!$P$28-'PIVOT TABLES'!$P$27</f>
        <v>31.319999999999993</v>
      </c>
      <c r="T443" s="14">
        <f>200-SUM(Table3[[#This Row],[W - LIGHT]:[W - VIGOROUS]])</f>
        <v>74.72</v>
      </c>
      <c r="U443" s="14">
        <f>'PIVOT TABLES'!$W$26</f>
        <v>55.895999999999994</v>
      </c>
      <c r="V443" s="14">
        <f>'PIVOT TABLES'!$W$27-'PIVOT TABLES'!$W$26</f>
        <v>27.948</v>
      </c>
      <c r="W443" s="14">
        <f>'PIVOT TABLES'!$W$28-'PIVOT TABLES'!$W$27</f>
        <v>27.947999999999993</v>
      </c>
      <c r="X443" s="14">
        <f>200-SUM(Table3[[#This Row],[S - LIGHT]:[S - VIGOROUS]])</f>
        <v>88.208000000000013</v>
      </c>
    </row>
    <row r="444" spans="1:24" x14ac:dyDescent="0.25">
      <c r="A444" s="17" t="s">
        <v>59</v>
      </c>
      <c r="B444" s="13" t="str">
        <f t="shared" si="6"/>
        <v>Striker</v>
      </c>
      <c r="C444" s="7">
        <v>45314.426435185182</v>
      </c>
      <c r="D444" s="14">
        <v>9568</v>
      </c>
      <c r="E444" s="14">
        <v>113</v>
      </c>
      <c r="F444" s="14">
        <v>41</v>
      </c>
      <c r="G444" s="14">
        <v>28</v>
      </c>
      <c r="H444" s="14">
        <v>101.27</v>
      </c>
      <c r="I444" s="14">
        <f>'PIVOT TABLES'!$B$26</f>
        <v>60.283999999999999</v>
      </c>
      <c r="J444" s="14">
        <f>'PIVOT TABLES'!$B$27-'PIVOT TABLES'!$B$26</f>
        <v>30.142000000000003</v>
      </c>
      <c r="K444" s="14">
        <f>'PIVOT TABLES'!$B$28-'PIVOT TABLES'!$B$27</f>
        <v>30.141999999999996</v>
      </c>
      <c r="L444" s="14">
        <f>200-SUM(Table3[[#This Row],[D - LIGHT]:[D - VIGOROUS]])</f>
        <v>79.432000000000002</v>
      </c>
      <c r="M444" s="14">
        <f>'PIVOT TABLES'!$I$26</f>
        <v>65.603999999999999</v>
      </c>
      <c r="N444" s="14">
        <f>'PIVOT TABLES'!$I$27-'PIVOT TABLES'!$I$26</f>
        <v>32.802000000000007</v>
      </c>
      <c r="O444" s="14">
        <f>'PIVOT TABLES'!$I$28-'PIVOT TABLES'!$I$27</f>
        <v>32.801999999999992</v>
      </c>
      <c r="P444" s="14">
        <f>200-SUM(Table3[[#This Row],[M - LIGHT]:[M - VIGOROUS]])</f>
        <v>68.792000000000002</v>
      </c>
      <c r="Q444" s="14">
        <f>'PIVOT TABLES'!$P$26</f>
        <v>62.64</v>
      </c>
      <c r="R444" s="14">
        <f>'PIVOT TABLES'!$P$27-'PIVOT TABLES'!$P$26</f>
        <v>31.320000000000007</v>
      </c>
      <c r="S444" s="14">
        <f>'PIVOT TABLES'!$P$28-'PIVOT TABLES'!$P$27</f>
        <v>31.319999999999993</v>
      </c>
      <c r="T444" s="14">
        <f>200-SUM(Table3[[#This Row],[W - LIGHT]:[W - VIGOROUS]])</f>
        <v>74.72</v>
      </c>
      <c r="U444" s="14">
        <f>'PIVOT TABLES'!$W$26</f>
        <v>55.895999999999994</v>
      </c>
      <c r="V444" s="14">
        <f>'PIVOT TABLES'!$W$27-'PIVOT TABLES'!$W$26</f>
        <v>27.948</v>
      </c>
      <c r="W444" s="14">
        <f>'PIVOT TABLES'!$W$28-'PIVOT TABLES'!$W$27</f>
        <v>27.947999999999993</v>
      </c>
      <c r="X444" s="14">
        <f>200-SUM(Table3[[#This Row],[S - LIGHT]:[S - VIGOROUS]])</f>
        <v>88.208000000000013</v>
      </c>
    </row>
    <row r="445" spans="1:24" x14ac:dyDescent="0.25">
      <c r="A445" s="17" t="s">
        <v>4</v>
      </c>
      <c r="B445" s="13" t="str">
        <f t="shared" si="6"/>
        <v>Midfielder</v>
      </c>
      <c r="C445" s="7">
        <v>45314.426435185182</v>
      </c>
      <c r="D445" s="14">
        <v>10198</v>
      </c>
      <c r="E445" s="14">
        <v>117</v>
      </c>
      <c r="F445" s="14">
        <v>21</v>
      </c>
      <c r="G445" s="14">
        <v>21</v>
      </c>
      <c r="H445" s="14">
        <v>106.75</v>
      </c>
      <c r="I445" s="14">
        <f>'PIVOT TABLES'!$B$26</f>
        <v>60.283999999999999</v>
      </c>
      <c r="J445" s="14">
        <f>'PIVOT TABLES'!$B$27-'PIVOT TABLES'!$B$26</f>
        <v>30.142000000000003</v>
      </c>
      <c r="K445" s="14">
        <f>'PIVOT TABLES'!$B$28-'PIVOT TABLES'!$B$27</f>
        <v>30.141999999999996</v>
      </c>
      <c r="L445" s="14">
        <f>200-SUM(Table3[[#This Row],[D - LIGHT]:[D - VIGOROUS]])</f>
        <v>79.432000000000002</v>
      </c>
      <c r="M445" s="14">
        <f>'PIVOT TABLES'!$I$26</f>
        <v>65.603999999999999</v>
      </c>
      <c r="N445" s="14">
        <f>'PIVOT TABLES'!$I$27-'PIVOT TABLES'!$I$26</f>
        <v>32.802000000000007</v>
      </c>
      <c r="O445" s="14">
        <f>'PIVOT TABLES'!$I$28-'PIVOT TABLES'!$I$27</f>
        <v>32.801999999999992</v>
      </c>
      <c r="P445" s="14">
        <f>200-SUM(Table3[[#This Row],[M - LIGHT]:[M - VIGOROUS]])</f>
        <v>68.792000000000002</v>
      </c>
      <c r="Q445" s="14">
        <f>'PIVOT TABLES'!$P$26</f>
        <v>62.64</v>
      </c>
      <c r="R445" s="14">
        <f>'PIVOT TABLES'!$P$27-'PIVOT TABLES'!$P$26</f>
        <v>31.320000000000007</v>
      </c>
      <c r="S445" s="14">
        <f>'PIVOT TABLES'!$P$28-'PIVOT TABLES'!$P$27</f>
        <v>31.319999999999993</v>
      </c>
      <c r="T445" s="14">
        <f>200-SUM(Table3[[#This Row],[W - LIGHT]:[W - VIGOROUS]])</f>
        <v>74.72</v>
      </c>
      <c r="U445" s="14">
        <f>'PIVOT TABLES'!$W$26</f>
        <v>55.895999999999994</v>
      </c>
      <c r="V445" s="14">
        <f>'PIVOT TABLES'!$W$27-'PIVOT TABLES'!$W$26</f>
        <v>27.948</v>
      </c>
      <c r="W445" s="14">
        <f>'PIVOT TABLES'!$W$28-'PIVOT TABLES'!$W$27</f>
        <v>27.947999999999993</v>
      </c>
      <c r="X445" s="14">
        <f>200-SUM(Table3[[#This Row],[S - LIGHT]:[S - VIGOROUS]])</f>
        <v>88.208000000000013</v>
      </c>
    </row>
    <row r="446" spans="1:24" x14ac:dyDescent="0.25">
      <c r="A446" s="17" t="s">
        <v>60</v>
      </c>
      <c r="B446" s="13" t="str">
        <f t="shared" si="6"/>
        <v>Winger</v>
      </c>
      <c r="C446" s="7">
        <v>45314.426435185182</v>
      </c>
      <c r="D446" s="14">
        <v>11133</v>
      </c>
      <c r="E446" s="14">
        <v>123</v>
      </c>
      <c r="F446" s="14">
        <v>43</v>
      </c>
      <c r="G446" s="14">
        <v>21</v>
      </c>
      <c r="H446" s="14">
        <v>117.16</v>
      </c>
      <c r="I446" s="14">
        <f>'PIVOT TABLES'!$B$26</f>
        <v>60.283999999999999</v>
      </c>
      <c r="J446" s="14">
        <f>'PIVOT TABLES'!$B$27-'PIVOT TABLES'!$B$26</f>
        <v>30.142000000000003</v>
      </c>
      <c r="K446" s="14">
        <f>'PIVOT TABLES'!$B$28-'PIVOT TABLES'!$B$27</f>
        <v>30.141999999999996</v>
      </c>
      <c r="L446" s="14">
        <f>200-SUM(Table3[[#This Row],[D - LIGHT]:[D - VIGOROUS]])</f>
        <v>79.432000000000002</v>
      </c>
      <c r="M446" s="14">
        <f>'PIVOT TABLES'!$I$26</f>
        <v>65.603999999999999</v>
      </c>
      <c r="N446" s="14">
        <f>'PIVOT TABLES'!$I$27-'PIVOT TABLES'!$I$26</f>
        <v>32.802000000000007</v>
      </c>
      <c r="O446" s="14">
        <f>'PIVOT TABLES'!$I$28-'PIVOT TABLES'!$I$27</f>
        <v>32.801999999999992</v>
      </c>
      <c r="P446" s="14">
        <f>200-SUM(Table3[[#This Row],[M - LIGHT]:[M - VIGOROUS]])</f>
        <v>68.792000000000002</v>
      </c>
      <c r="Q446" s="14">
        <f>'PIVOT TABLES'!$P$26</f>
        <v>62.64</v>
      </c>
      <c r="R446" s="14">
        <f>'PIVOT TABLES'!$P$27-'PIVOT TABLES'!$P$26</f>
        <v>31.320000000000007</v>
      </c>
      <c r="S446" s="14">
        <f>'PIVOT TABLES'!$P$28-'PIVOT TABLES'!$P$27</f>
        <v>31.319999999999993</v>
      </c>
      <c r="T446" s="14">
        <f>200-SUM(Table3[[#This Row],[W - LIGHT]:[W - VIGOROUS]])</f>
        <v>74.72</v>
      </c>
      <c r="U446" s="14">
        <f>'PIVOT TABLES'!$W$26</f>
        <v>55.895999999999994</v>
      </c>
      <c r="V446" s="14">
        <f>'PIVOT TABLES'!$W$27-'PIVOT TABLES'!$W$26</f>
        <v>27.948</v>
      </c>
      <c r="W446" s="14">
        <f>'PIVOT TABLES'!$W$28-'PIVOT TABLES'!$W$27</f>
        <v>27.947999999999993</v>
      </c>
      <c r="X446" s="14">
        <f>200-SUM(Table3[[#This Row],[S - LIGHT]:[S - VIGOROUS]])</f>
        <v>88.208000000000013</v>
      </c>
    </row>
    <row r="447" spans="1:24" x14ac:dyDescent="0.25">
      <c r="A447" s="17" t="s">
        <v>71</v>
      </c>
      <c r="B447" s="13" t="str">
        <f t="shared" si="6"/>
        <v>Midfielder</v>
      </c>
      <c r="C447" s="7">
        <v>45314.426435185182</v>
      </c>
      <c r="D447" s="14">
        <v>1337</v>
      </c>
      <c r="E447" s="14">
        <v>0</v>
      </c>
      <c r="F447" s="14">
        <v>0</v>
      </c>
      <c r="G447" s="14">
        <v>1</v>
      </c>
      <c r="H447" s="14">
        <v>13.39</v>
      </c>
      <c r="I447" s="14">
        <f>'PIVOT TABLES'!$B$26</f>
        <v>60.283999999999999</v>
      </c>
      <c r="J447" s="14">
        <f>'PIVOT TABLES'!$B$27-'PIVOT TABLES'!$B$26</f>
        <v>30.142000000000003</v>
      </c>
      <c r="K447" s="14">
        <f>'PIVOT TABLES'!$B$28-'PIVOT TABLES'!$B$27</f>
        <v>30.141999999999996</v>
      </c>
      <c r="L447" s="14">
        <f>200-SUM(Table3[[#This Row],[D - LIGHT]:[D - VIGOROUS]])</f>
        <v>79.432000000000002</v>
      </c>
      <c r="M447" s="14">
        <f>'PIVOT TABLES'!$I$26</f>
        <v>65.603999999999999</v>
      </c>
      <c r="N447" s="14">
        <f>'PIVOT TABLES'!$I$27-'PIVOT TABLES'!$I$26</f>
        <v>32.802000000000007</v>
      </c>
      <c r="O447" s="14">
        <f>'PIVOT TABLES'!$I$28-'PIVOT TABLES'!$I$27</f>
        <v>32.801999999999992</v>
      </c>
      <c r="P447" s="14">
        <f>200-SUM(Table3[[#This Row],[M - LIGHT]:[M - VIGOROUS]])</f>
        <v>68.792000000000002</v>
      </c>
      <c r="Q447" s="14">
        <f>'PIVOT TABLES'!$P$26</f>
        <v>62.64</v>
      </c>
      <c r="R447" s="14">
        <f>'PIVOT TABLES'!$P$27-'PIVOT TABLES'!$P$26</f>
        <v>31.320000000000007</v>
      </c>
      <c r="S447" s="14">
        <f>'PIVOT TABLES'!$P$28-'PIVOT TABLES'!$P$27</f>
        <v>31.319999999999993</v>
      </c>
      <c r="T447" s="14">
        <f>200-SUM(Table3[[#This Row],[W - LIGHT]:[W - VIGOROUS]])</f>
        <v>74.72</v>
      </c>
      <c r="U447" s="14">
        <f>'PIVOT TABLES'!$W$26</f>
        <v>55.895999999999994</v>
      </c>
      <c r="V447" s="14">
        <f>'PIVOT TABLES'!$W$27-'PIVOT TABLES'!$W$26</f>
        <v>27.948</v>
      </c>
      <c r="W447" s="14">
        <f>'PIVOT TABLES'!$W$28-'PIVOT TABLES'!$W$27</f>
        <v>27.947999999999993</v>
      </c>
      <c r="X447" s="14">
        <f>200-SUM(Table3[[#This Row],[S - LIGHT]:[S - VIGOROUS]])</f>
        <v>88.208000000000013</v>
      </c>
    </row>
    <row r="448" spans="1:24" x14ac:dyDescent="0.25">
      <c r="A448" s="17" t="s">
        <v>6</v>
      </c>
      <c r="B448" s="13" t="str">
        <f t="shared" si="6"/>
        <v>Midfielder</v>
      </c>
      <c r="C448" s="7">
        <v>45314.426435185182</v>
      </c>
      <c r="D448" s="14">
        <v>10616</v>
      </c>
      <c r="E448" s="14">
        <v>87</v>
      </c>
      <c r="F448" s="14">
        <v>29</v>
      </c>
      <c r="G448" s="14">
        <v>18</v>
      </c>
      <c r="H448" s="14">
        <v>110.29</v>
      </c>
      <c r="I448" s="14">
        <f>'PIVOT TABLES'!$B$26</f>
        <v>60.283999999999999</v>
      </c>
      <c r="J448" s="14">
        <f>'PIVOT TABLES'!$B$27-'PIVOT TABLES'!$B$26</f>
        <v>30.142000000000003</v>
      </c>
      <c r="K448" s="14">
        <f>'PIVOT TABLES'!$B$28-'PIVOT TABLES'!$B$27</f>
        <v>30.141999999999996</v>
      </c>
      <c r="L448" s="14">
        <f>200-SUM(Table3[[#This Row],[D - LIGHT]:[D - VIGOROUS]])</f>
        <v>79.432000000000002</v>
      </c>
      <c r="M448" s="14">
        <f>'PIVOT TABLES'!$I$26</f>
        <v>65.603999999999999</v>
      </c>
      <c r="N448" s="14">
        <f>'PIVOT TABLES'!$I$27-'PIVOT TABLES'!$I$26</f>
        <v>32.802000000000007</v>
      </c>
      <c r="O448" s="14">
        <f>'PIVOT TABLES'!$I$28-'PIVOT TABLES'!$I$27</f>
        <v>32.801999999999992</v>
      </c>
      <c r="P448" s="14">
        <f>200-SUM(Table3[[#This Row],[M - LIGHT]:[M - VIGOROUS]])</f>
        <v>68.792000000000002</v>
      </c>
      <c r="Q448" s="14">
        <f>'PIVOT TABLES'!$P$26</f>
        <v>62.64</v>
      </c>
      <c r="R448" s="14">
        <f>'PIVOT TABLES'!$P$27-'PIVOT TABLES'!$P$26</f>
        <v>31.320000000000007</v>
      </c>
      <c r="S448" s="14">
        <f>'PIVOT TABLES'!$P$28-'PIVOT TABLES'!$P$27</f>
        <v>31.319999999999993</v>
      </c>
      <c r="T448" s="14">
        <f>200-SUM(Table3[[#This Row],[W - LIGHT]:[W - VIGOROUS]])</f>
        <v>74.72</v>
      </c>
      <c r="U448" s="14">
        <f>'PIVOT TABLES'!$W$26</f>
        <v>55.895999999999994</v>
      </c>
      <c r="V448" s="14">
        <f>'PIVOT TABLES'!$W$27-'PIVOT TABLES'!$W$26</f>
        <v>27.948</v>
      </c>
      <c r="W448" s="14">
        <f>'PIVOT TABLES'!$W$28-'PIVOT TABLES'!$W$27</f>
        <v>27.947999999999993</v>
      </c>
      <c r="X448" s="14">
        <f>200-SUM(Table3[[#This Row],[S - LIGHT]:[S - VIGOROUS]])</f>
        <v>88.208000000000013</v>
      </c>
    </row>
    <row r="449" spans="1:24" x14ac:dyDescent="0.25">
      <c r="A449" s="17" t="s">
        <v>62</v>
      </c>
      <c r="B449" s="13" t="str">
        <f t="shared" si="6"/>
        <v>Midfielder</v>
      </c>
      <c r="C449" s="7">
        <v>45314.426435185182</v>
      </c>
      <c r="D449" s="14">
        <v>9559</v>
      </c>
      <c r="E449" s="14">
        <v>0</v>
      </c>
      <c r="F449" s="14">
        <v>20</v>
      </c>
      <c r="G449" s="14">
        <v>5</v>
      </c>
      <c r="H449" s="14">
        <v>96.49</v>
      </c>
      <c r="I449" s="14">
        <f>'PIVOT TABLES'!$B$26</f>
        <v>60.283999999999999</v>
      </c>
      <c r="J449" s="14">
        <f>'PIVOT TABLES'!$B$27-'PIVOT TABLES'!$B$26</f>
        <v>30.142000000000003</v>
      </c>
      <c r="K449" s="14">
        <f>'PIVOT TABLES'!$B$28-'PIVOT TABLES'!$B$27</f>
        <v>30.141999999999996</v>
      </c>
      <c r="L449" s="14">
        <f>200-SUM(Table3[[#This Row],[D - LIGHT]:[D - VIGOROUS]])</f>
        <v>79.432000000000002</v>
      </c>
      <c r="M449" s="14">
        <f>'PIVOT TABLES'!$I$26</f>
        <v>65.603999999999999</v>
      </c>
      <c r="N449" s="14">
        <f>'PIVOT TABLES'!$I$27-'PIVOT TABLES'!$I$26</f>
        <v>32.802000000000007</v>
      </c>
      <c r="O449" s="14">
        <f>'PIVOT TABLES'!$I$28-'PIVOT TABLES'!$I$27</f>
        <v>32.801999999999992</v>
      </c>
      <c r="P449" s="14">
        <f>200-SUM(Table3[[#This Row],[M - LIGHT]:[M - VIGOROUS]])</f>
        <v>68.792000000000002</v>
      </c>
      <c r="Q449" s="14">
        <f>'PIVOT TABLES'!$P$26</f>
        <v>62.64</v>
      </c>
      <c r="R449" s="14">
        <f>'PIVOT TABLES'!$P$27-'PIVOT TABLES'!$P$26</f>
        <v>31.320000000000007</v>
      </c>
      <c r="S449" s="14">
        <f>'PIVOT TABLES'!$P$28-'PIVOT TABLES'!$P$27</f>
        <v>31.319999999999993</v>
      </c>
      <c r="T449" s="14">
        <f>200-SUM(Table3[[#This Row],[W - LIGHT]:[W - VIGOROUS]])</f>
        <v>74.72</v>
      </c>
      <c r="U449" s="14">
        <f>'PIVOT TABLES'!$W$26</f>
        <v>55.895999999999994</v>
      </c>
      <c r="V449" s="14">
        <f>'PIVOT TABLES'!$W$27-'PIVOT TABLES'!$W$26</f>
        <v>27.948</v>
      </c>
      <c r="W449" s="14">
        <f>'PIVOT TABLES'!$W$28-'PIVOT TABLES'!$W$27</f>
        <v>27.947999999999993</v>
      </c>
      <c r="X449" s="14">
        <f>200-SUM(Table3[[#This Row],[S - LIGHT]:[S - VIGOROUS]])</f>
        <v>88.208000000000013</v>
      </c>
    </row>
    <row r="450" spans="1:24" x14ac:dyDescent="0.25">
      <c r="A450" s="17" t="s">
        <v>64</v>
      </c>
      <c r="B450" s="13" t="str">
        <f t="shared" si="6"/>
        <v>Midfielder</v>
      </c>
      <c r="C450" s="7">
        <v>45314.426435185182</v>
      </c>
      <c r="D450" s="14">
        <v>11365</v>
      </c>
      <c r="E450" s="14">
        <v>27</v>
      </c>
      <c r="F450" s="14">
        <v>26</v>
      </c>
      <c r="G450" s="14">
        <v>27</v>
      </c>
      <c r="H450" s="14">
        <v>116.04</v>
      </c>
      <c r="I450" s="14">
        <f>'PIVOT TABLES'!$B$26</f>
        <v>60.283999999999999</v>
      </c>
      <c r="J450" s="14">
        <f>'PIVOT TABLES'!$B$27-'PIVOT TABLES'!$B$26</f>
        <v>30.142000000000003</v>
      </c>
      <c r="K450" s="14">
        <f>'PIVOT TABLES'!$B$28-'PIVOT TABLES'!$B$27</f>
        <v>30.141999999999996</v>
      </c>
      <c r="L450" s="14">
        <f>200-SUM(Table3[[#This Row],[D - LIGHT]:[D - VIGOROUS]])</f>
        <v>79.432000000000002</v>
      </c>
      <c r="M450" s="14">
        <f>'PIVOT TABLES'!$I$26</f>
        <v>65.603999999999999</v>
      </c>
      <c r="N450" s="14">
        <f>'PIVOT TABLES'!$I$27-'PIVOT TABLES'!$I$26</f>
        <v>32.802000000000007</v>
      </c>
      <c r="O450" s="14">
        <f>'PIVOT TABLES'!$I$28-'PIVOT TABLES'!$I$27</f>
        <v>32.801999999999992</v>
      </c>
      <c r="P450" s="14">
        <f>200-SUM(Table3[[#This Row],[M - LIGHT]:[M - VIGOROUS]])</f>
        <v>68.792000000000002</v>
      </c>
      <c r="Q450" s="14">
        <f>'PIVOT TABLES'!$P$26</f>
        <v>62.64</v>
      </c>
      <c r="R450" s="14">
        <f>'PIVOT TABLES'!$P$27-'PIVOT TABLES'!$P$26</f>
        <v>31.320000000000007</v>
      </c>
      <c r="S450" s="14">
        <f>'PIVOT TABLES'!$P$28-'PIVOT TABLES'!$P$27</f>
        <v>31.319999999999993</v>
      </c>
      <c r="T450" s="14">
        <f>200-SUM(Table3[[#This Row],[W - LIGHT]:[W - VIGOROUS]])</f>
        <v>74.72</v>
      </c>
      <c r="U450" s="14">
        <f>'PIVOT TABLES'!$W$26</f>
        <v>55.895999999999994</v>
      </c>
      <c r="V450" s="14">
        <f>'PIVOT TABLES'!$W$27-'PIVOT TABLES'!$W$26</f>
        <v>27.948</v>
      </c>
      <c r="W450" s="14">
        <f>'PIVOT TABLES'!$W$28-'PIVOT TABLES'!$W$27</f>
        <v>27.947999999999993</v>
      </c>
      <c r="X450" s="14">
        <f>200-SUM(Table3[[#This Row],[S - LIGHT]:[S - VIGOROUS]])</f>
        <v>88.208000000000013</v>
      </c>
    </row>
    <row r="451" spans="1:24" x14ac:dyDescent="0.25">
      <c r="A451" s="17" t="s">
        <v>65</v>
      </c>
      <c r="B451" s="13" t="str">
        <f t="shared" ref="B451:B514" si="7">IF(A451="Sihle Gum","Defender",IF(A451="Kenny Langa","Defender",IF(A451="Tshepang Makara","Defender",IF(A451="Tshepiso Mahlangu","Defender",IF(A451="Neo Ramashala","Defender",IF(A451="Keabetswe Nkogatse","Defender",IF(A451="Kaketso Harold Majadibodu","Defender",IF(A451="Samuel Julies","Midfielder",IF(A451="Frank Mpedi","Midfielder",IF(A451="Sapholwethu Kelepu","Midfielder",IF(A451="Manelisi Sithole","Midfielder",IF(A451="Thabiso Mokoena","Midfielder",IF(A451="Khomotso Marebane","Midfielder",IF(A451="Tebogo Mohlamonyane","Midfielder",IF(A451="Thulani Zandamela","Midfielder",IF(A451="Mdevulana Camagu","Midfielder",IF(A451="Promise Mkhuma","Midfielder",IF(A451="Essien Makwarimba","Midfielder",IF(A451="Ayanda Mvambi","Winger",IF(A451="Delano Abrahams","Winger",IF(A451="Thokozani Sekotlong","Winger",IF(A451="Maselaelo Seanego","Winger",IF(A451="Lesedi Motha","Winger",IF(A451="Malekgene Mampuru","Winger",IF(A451="Matome Rangata","Winger",IF(A451="Thabang Sibanyoni","Striker",IF(A451="Tebogo Makungo","Striker",IF(A451="Neo Dikgale","Striker",IF(A451="Kamohelo Pheeane","Striker",IF(A451="Athenkosi Tonisi","Striker",IF(A451="Jesse Francis","Striker","####")))))))))))))))))))))))))))))))</f>
        <v>Winger</v>
      </c>
      <c r="C451" s="7">
        <v>45314.426435185182</v>
      </c>
      <c r="D451" s="14">
        <v>2423</v>
      </c>
      <c r="E451" s="14">
        <v>0</v>
      </c>
      <c r="F451" s="14">
        <v>0</v>
      </c>
      <c r="G451" s="14">
        <v>0</v>
      </c>
      <c r="H451" s="14">
        <v>24.23</v>
      </c>
      <c r="I451" s="14">
        <f>'PIVOT TABLES'!$B$26</f>
        <v>60.283999999999999</v>
      </c>
      <c r="J451" s="14">
        <f>'PIVOT TABLES'!$B$27-'PIVOT TABLES'!$B$26</f>
        <v>30.142000000000003</v>
      </c>
      <c r="K451" s="14">
        <f>'PIVOT TABLES'!$B$28-'PIVOT TABLES'!$B$27</f>
        <v>30.141999999999996</v>
      </c>
      <c r="L451" s="14">
        <f>200-SUM(Table3[[#This Row],[D - LIGHT]:[D - VIGOROUS]])</f>
        <v>79.432000000000002</v>
      </c>
      <c r="M451" s="14">
        <f>'PIVOT TABLES'!$I$26</f>
        <v>65.603999999999999</v>
      </c>
      <c r="N451" s="14">
        <f>'PIVOT TABLES'!$I$27-'PIVOT TABLES'!$I$26</f>
        <v>32.802000000000007</v>
      </c>
      <c r="O451" s="14">
        <f>'PIVOT TABLES'!$I$28-'PIVOT TABLES'!$I$27</f>
        <v>32.801999999999992</v>
      </c>
      <c r="P451" s="14">
        <f>200-SUM(Table3[[#This Row],[M - LIGHT]:[M - VIGOROUS]])</f>
        <v>68.792000000000002</v>
      </c>
      <c r="Q451" s="14">
        <f>'PIVOT TABLES'!$P$26</f>
        <v>62.64</v>
      </c>
      <c r="R451" s="14">
        <f>'PIVOT TABLES'!$P$27-'PIVOT TABLES'!$P$26</f>
        <v>31.320000000000007</v>
      </c>
      <c r="S451" s="14">
        <f>'PIVOT TABLES'!$P$28-'PIVOT TABLES'!$P$27</f>
        <v>31.319999999999993</v>
      </c>
      <c r="T451" s="14">
        <f>200-SUM(Table3[[#This Row],[W - LIGHT]:[W - VIGOROUS]])</f>
        <v>74.72</v>
      </c>
      <c r="U451" s="14">
        <f>'PIVOT TABLES'!$W$26</f>
        <v>55.895999999999994</v>
      </c>
      <c r="V451" s="14">
        <f>'PIVOT TABLES'!$W$27-'PIVOT TABLES'!$W$26</f>
        <v>27.948</v>
      </c>
      <c r="W451" s="14">
        <f>'PIVOT TABLES'!$W$28-'PIVOT TABLES'!$W$27</f>
        <v>27.947999999999993</v>
      </c>
      <c r="X451" s="14">
        <f>200-SUM(Table3[[#This Row],[S - LIGHT]:[S - VIGOROUS]])</f>
        <v>88.208000000000013</v>
      </c>
    </row>
    <row r="452" spans="1:24" x14ac:dyDescent="0.25">
      <c r="A452" s="17" t="s">
        <v>66</v>
      </c>
      <c r="B452" s="13" t="str">
        <f t="shared" si="7"/>
        <v>Striker</v>
      </c>
      <c r="C452" s="7">
        <v>45314.426435185182</v>
      </c>
      <c r="D452" s="14">
        <v>9946</v>
      </c>
      <c r="E452" s="14">
        <v>143</v>
      </c>
      <c r="F452" s="14">
        <v>46</v>
      </c>
      <c r="G452" s="14">
        <v>31</v>
      </c>
      <c r="H452" s="14">
        <v>106.21</v>
      </c>
      <c r="I452" s="14">
        <f>'PIVOT TABLES'!$B$26</f>
        <v>60.283999999999999</v>
      </c>
      <c r="J452" s="14">
        <f>'PIVOT TABLES'!$B$27-'PIVOT TABLES'!$B$26</f>
        <v>30.142000000000003</v>
      </c>
      <c r="K452" s="14">
        <f>'PIVOT TABLES'!$B$28-'PIVOT TABLES'!$B$27</f>
        <v>30.141999999999996</v>
      </c>
      <c r="L452" s="14">
        <f>200-SUM(Table3[[#This Row],[D - LIGHT]:[D - VIGOROUS]])</f>
        <v>79.432000000000002</v>
      </c>
      <c r="M452" s="14">
        <f>'PIVOT TABLES'!$I$26</f>
        <v>65.603999999999999</v>
      </c>
      <c r="N452" s="14">
        <f>'PIVOT TABLES'!$I$27-'PIVOT TABLES'!$I$26</f>
        <v>32.802000000000007</v>
      </c>
      <c r="O452" s="14">
        <f>'PIVOT TABLES'!$I$28-'PIVOT TABLES'!$I$27</f>
        <v>32.801999999999992</v>
      </c>
      <c r="P452" s="14">
        <f>200-SUM(Table3[[#This Row],[M - LIGHT]:[M - VIGOROUS]])</f>
        <v>68.792000000000002</v>
      </c>
      <c r="Q452" s="14">
        <f>'PIVOT TABLES'!$P$26</f>
        <v>62.64</v>
      </c>
      <c r="R452" s="14">
        <f>'PIVOT TABLES'!$P$27-'PIVOT TABLES'!$P$26</f>
        <v>31.320000000000007</v>
      </c>
      <c r="S452" s="14">
        <f>'PIVOT TABLES'!$P$28-'PIVOT TABLES'!$P$27</f>
        <v>31.319999999999993</v>
      </c>
      <c r="T452" s="14">
        <f>200-SUM(Table3[[#This Row],[W - LIGHT]:[W - VIGOROUS]])</f>
        <v>74.72</v>
      </c>
      <c r="U452" s="14">
        <f>'PIVOT TABLES'!$W$26</f>
        <v>55.895999999999994</v>
      </c>
      <c r="V452" s="14">
        <f>'PIVOT TABLES'!$W$27-'PIVOT TABLES'!$W$26</f>
        <v>27.948</v>
      </c>
      <c r="W452" s="14">
        <f>'PIVOT TABLES'!$W$28-'PIVOT TABLES'!$W$27</f>
        <v>27.947999999999993</v>
      </c>
      <c r="X452" s="14">
        <f>200-SUM(Table3[[#This Row],[S - LIGHT]:[S - VIGOROUS]])</f>
        <v>88.208000000000013</v>
      </c>
    </row>
    <row r="453" spans="1:24" x14ac:dyDescent="0.25">
      <c r="A453" s="17" t="s">
        <v>78</v>
      </c>
      <c r="B453" s="13" t="str">
        <f t="shared" si="7"/>
        <v>Defender</v>
      </c>
      <c r="C453" s="7">
        <v>45314.426435185182</v>
      </c>
      <c r="D453" s="14">
        <v>9308</v>
      </c>
      <c r="E453" s="14">
        <v>94</v>
      </c>
      <c r="F453" s="14">
        <v>24</v>
      </c>
      <c r="G453" s="14">
        <v>18</v>
      </c>
      <c r="H453" s="14">
        <v>97.22</v>
      </c>
      <c r="I453" s="14">
        <f>'PIVOT TABLES'!$B$26</f>
        <v>60.283999999999999</v>
      </c>
      <c r="J453" s="14">
        <f>'PIVOT TABLES'!$B$27-'PIVOT TABLES'!$B$26</f>
        <v>30.142000000000003</v>
      </c>
      <c r="K453" s="14">
        <f>'PIVOT TABLES'!$B$28-'PIVOT TABLES'!$B$27</f>
        <v>30.141999999999996</v>
      </c>
      <c r="L453" s="14">
        <f>200-SUM(Table3[[#This Row],[D - LIGHT]:[D - VIGOROUS]])</f>
        <v>79.432000000000002</v>
      </c>
      <c r="M453" s="14">
        <f>'PIVOT TABLES'!$I$26</f>
        <v>65.603999999999999</v>
      </c>
      <c r="N453" s="14">
        <f>'PIVOT TABLES'!$I$27-'PIVOT TABLES'!$I$26</f>
        <v>32.802000000000007</v>
      </c>
      <c r="O453" s="14">
        <f>'PIVOT TABLES'!$I$28-'PIVOT TABLES'!$I$27</f>
        <v>32.801999999999992</v>
      </c>
      <c r="P453" s="14">
        <f>200-SUM(Table3[[#This Row],[M - LIGHT]:[M - VIGOROUS]])</f>
        <v>68.792000000000002</v>
      </c>
      <c r="Q453" s="14">
        <f>'PIVOT TABLES'!$P$26</f>
        <v>62.64</v>
      </c>
      <c r="R453" s="14">
        <f>'PIVOT TABLES'!$P$27-'PIVOT TABLES'!$P$26</f>
        <v>31.320000000000007</v>
      </c>
      <c r="S453" s="14">
        <f>'PIVOT TABLES'!$P$28-'PIVOT TABLES'!$P$27</f>
        <v>31.319999999999993</v>
      </c>
      <c r="T453" s="14">
        <f>200-SUM(Table3[[#This Row],[W - LIGHT]:[W - VIGOROUS]])</f>
        <v>74.72</v>
      </c>
      <c r="U453" s="14">
        <f>'PIVOT TABLES'!$W$26</f>
        <v>55.895999999999994</v>
      </c>
      <c r="V453" s="14">
        <f>'PIVOT TABLES'!$W$27-'PIVOT TABLES'!$W$26</f>
        <v>27.948</v>
      </c>
      <c r="W453" s="14">
        <f>'PIVOT TABLES'!$W$28-'PIVOT TABLES'!$W$27</f>
        <v>27.947999999999993</v>
      </c>
      <c r="X453" s="14">
        <f>200-SUM(Table3[[#This Row],[S - LIGHT]:[S - VIGOROUS]])</f>
        <v>88.208000000000013</v>
      </c>
    </row>
    <row r="454" spans="1:24" x14ac:dyDescent="0.25">
      <c r="A454" s="17" t="s">
        <v>95</v>
      </c>
      <c r="B454" s="13" t="str">
        <f t="shared" si="7"/>
        <v>Winger</v>
      </c>
      <c r="C454" s="7">
        <v>45314.426435185182</v>
      </c>
      <c r="D454" s="14">
        <v>9648</v>
      </c>
      <c r="E454" s="14">
        <v>71</v>
      </c>
      <c r="F454" s="14">
        <v>23</v>
      </c>
      <c r="G454" s="14">
        <v>18</v>
      </c>
      <c r="H454" s="14">
        <v>99.89</v>
      </c>
      <c r="I454" s="14">
        <f>'PIVOT TABLES'!$B$26</f>
        <v>60.283999999999999</v>
      </c>
      <c r="J454" s="14">
        <f>'PIVOT TABLES'!$B$27-'PIVOT TABLES'!$B$26</f>
        <v>30.142000000000003</v>
      </c>
      <c r="K454" s="14">
        <f>'PIVOT TABLES'!$B$28-'PIVOT TABLES'!$B$27</f>
        <v>30.141999999999996</v>
      </c>
      <c r="L454" s="14">
        <f>200-SUM(Table3[[#This Row],[D - LIGHT]:[D - VIGOROUS]])</f>
        <v>79.432000000000002</v>
      </c>
      <c r="M454" s="14">
        <f>'PIVOT TABLES'!$I$26</f>
        <v>65.603999999999999</v>
      </c>
      <c r="N454" s="14">
        <f>'PIVOT TABLES'!$I$27-'PIVOT TABLES'!$I$26</f>
        <v>32.802000000000007</v>
      </c>
      <c r="O454" s="14">
        <f>'PIVOT TABLES'!$I$28-'PIVOT TABLES'!$I$27</f>
        <v>32.801999999999992</v>
      </c>
      <c r="P454" s="14">
        <f>200-SUM(Table3[[#This Row],[M - LIGHT]:[M - VIGOROUS]])</f>
        <v>68.792000000000002</v>
      </c>
      <c r="Q454" s="14">
        <f>'PIVOT TABLES'!$P$26</f>
        <v>62.64</v>
      </c>
      <c r="R454" s="14">
        <f>'PIVOT TABLES'!$P$27-'PIVOT TABLES'!$P$26</f>
        <v>31.320000000000007</v>
      </c>
      <c r="S454" s="14">
        <f>'PIVOT TABLES'!$P$28-'PIVOT TABLES'!$P$27</f>
        <v>31.319999999999993</v>
      </c>
      <c r="T454" s="14">
        <f>200-SUM(Table3[[#This Row],[W - LIGHT]:[W - VIGOROUS]])</f>
        <v>74.72</v>
      </c>
      <c r="U454" s="14">
        <f>'PIVOT TABLES'!$W$26</f>
        <v>55.895999999999994</v>
      </c>
      <c r="V454" s="14">
        <f>'PIVOT TABLES'!$W$27-'PIVOT TABLES'!$W$26</f>
        <v>27.948</v>
      </c>
      <c r="W454" s="14">
        <f>'PIVOT TABLES'!$W$28-'PIVOT TABLES'!$W$27</f>
        <v>27.947999999999993</v>
      </c>
      <c r="X454" s="14">
        <f>200-SUM(Table3[[#This Row],[S - LIGHT]:[S - VIGOROUS]])</f>
        <v>88.208000000000013</v>
      </c>
    </row>
    <row r="455" spans="1:24" x14ac:dyDescent="0.25">
      <c r="A455" s="17" t="s">
        <v>96</v>
      </c>
      <c r="B455" s="13" t="str">
        <f t="shared" si="7"/>
        <v>Winger</v>
      </c>
      <c r="C455" s="7">
        <v>45314.426435185182</v>
      </c>
      <c r="D455" s="14">
        <v>10016</v>
      </c>
      <c r="E455" s="14">
        <v>124</v>
      </c>
      <c r="F455" s="14">
        <v>31</v>
      </c>
      <c r="G455" s="14">
        <v>25</v>
      </c>
      <c r="H455" s="14">
        <v>105.62</v>
      </c>
      <c r="I455" s="14">
        <f>'PIVOT TABLES'!$B$26</f>
        <v>60.283999999999999</v>
      </c>
      <c r="J455" s="14">
        <f>'PIVOT TABLES'!$B$27-'PIVOT TABLES'!$B$26</f>
        <v>30.142000000000003</v>
      </c>
      <c r="K455" s="14">
        <f>'PIVOT TABLES'!$B$28-'PIVOT TABLES'!$B$27</f>
        <v>30.141999999999996</v>
      </c>
      <c r="L455" s="14">
        <f>200-SUM(Table3[[#This Row],[D - LIGHT]:[D - VIGOROUS]])</f>
        <v>79.432000000000002</v>
      </c>
      <c r="M455" s="14">
        <f>'PIVOT TABLES'!$I$26</f>
        <v>65.603999999999999</v>
      </c>
      <c r="N455" s="14">
        <f>'PIVOT TABLES'!$I$27-'PIVOT TABLES'!$I$26</f>
        <v>32.802000000000007</v>
      </c>
      <c r="O455" s="14">
        <f>'PIVOT TABLES'!$I$28-'PIVOT TABLES'!$I$27</f>
        <v>32.801999999999992</v>
      </c>
      <c r="P455" s="14">
        <f>200-SUM(Table3[[#This Row],[M - LIGHT]:[M - VIGOROUS]])</f>
        <v>68.792000000000002</v>
      </c>
      <c r="Q455" s="14">
        <f>'PIVOT TABLES'!$P$26</f>
        <v>62.64</v>
      </c>
      <c r="R455" s="14">
        <f>'PIVOT TABLES'!$P$27-'PIVOT TABLES'!$P$26</f>
        <v>31.320000000000007</v>
      </c>
      <c r="S455" s="14">
        <f>'PIVOT TABLES'!$P$28-'PIVOT TABLES'!$P$27</f>
        <v>31.319999999999993</v>
      </c>
      <c r="T455" s="14">
        <f>200-SUM(Table3[[#This Row],[W - LIGHT]:[W - VIGOROUS]])</f>
        <v>74.72</v>
      </c>
      <c r="U455" s="14">
        <f>'PIVOT TABLES'!$W$26</f>
        <v>55.895999999999994</v>
      </c>
      <c r="V455" s="14">
        <f>'PIVOT TABLES'!$W$27-'PIVOT TABLES'!$W$26</f>
        <v>27.948</v>
      </c>
      <c r="W455" s="14">
        <f>'PIVOT TABLES'!$W$28-'PIVOT TABLES'!$W$27</f>
        <v>27.947999999999993</v>
      </c>
      <c r="X455" s="14">
        <f>200-SUM(Table3[[#This Row],[S - LIGHT]:[S - VIGOROUS]])</f>
        <v>88.208000000000013</v>
      </c>
    </row>
    <row r="456" spans="1:24" x14ac:dyDescent="0.25">
      <c r="A456" s="17" t="s">
        <v>8</v>
      </c>
      <c r="B456" s="13" t="str">
        <f t="shared" si="7"/>
        <v>Striker</v>
      </c>
      <c r="C456" s="7">
        <v>45314.426435185182</v>
      </c>
      <c r="D456" s="14">
        <v>9173</v>
      </c>
      <c r="E456" s="14">
        <v>262</v>
      </c>
      <c r="F456" s="14">
        <v>39</v>
      </c>
      <c r="G456" s="14">
        <v>47</v>
      </c>
      <c r="H456" s="14">
        <v>102.09</v>
      </c>
      <c r="I456" s="14">
        <f>'PIVOT TABLES'!$B$26</f>
        <v>60.283999999999999</v>
      </c>
      <c r="J456" s="14">
        <f>'PIVOT TABLES'!$B$27-'PIVOT TABLES'!$B$26</f>
        <v>30.142000000000003</v>
      </c>
      <c r="K456" s="14">
        <f>'PIVOT TABLES'!$B$28-'PIVOT TABLES'!$B$27</f>
        <v>30.141999999999996</v>
      </c>
      <c r="L456" s="14">
        <f>200-SUM(Table3[[#This Row],[D - LIGHT]:[D - VIGOROUS]])</f>
        <v>79.432000000000002</v>
      </c>
      <c r="M456" s="14">
        <f>'PIVOT TABLES'!$I$26</f>
        <v>65.603999999999999</v>
      </c>
      <c r="N456" s="14">
        <f>'PIVOT TABLES'!$I$27-'PIVOT TABLES'!$I$26</f>
        <v>32.802000000000007</v>
      </c>
      <c r="O456" s="14">
        <f>'PIVOT TABLES'!$I$28-'PIVOT TABLES'!$I$27</f>
        <v>32.801999999999992</v>
      </c>
      <c r="P456" s="14">
        <f>200-SUM(Table3[[#This Row],[M - LIGHT]:[M - VIGOROUS]])</f>
        <v>68.792000000000002</v>
      </c>
      <c r="Q456" s="14">
        <f>'PIVOT TABLES'!$P$26</f>
        <v>62.64</v>
      </c>
      <c r="R456" s="14">
        <f>'PIVOT TABLES'!$P$27-'PIVOT TABLES'!$P$26</f>
        <v>31.320000000000007</v>
      </c>
      <c r="S456" s="14">
        <f>'PIVOT TABLES'!$P$28-'PIVOT TABLES'!$P$27</f>
        <v>31.319999999999993</v>
      </c>
      <c r="T456" s="14">
        <f>200-SUM(Table3[[#This Row],[W - LIGHT]:[W - VIGOROUS]])</f>
        <v>74.72</v>
      </c>
      <c r="U456" s="14">
        <f>'PIVOT TABLES'!$W$26</f>
        <v>55.895999999999994</v>
      </c>
      <c r="V456" s="14">
        <f>'PIVOT TABLES'!$W$27-'PIVOT TABLES'!$W$26</f>
        <v>27.948</v>
      </c>
      <c r="W456" s="14">
        <f>'PIVOT TABLES'!$W$28-'PIVOT TABLES'!$W$27</f>
        <v>27.947999999999993</v>
      </c>
      <c r="X456" s="14">
        <f>200-SUM(Table3[[#This Row],[S - LIGHT]:[S - VIGOROUS]])</f>
        <v>88.208000000000013</v>
      </c>
    </row>
    <row r="457" spans="1:24" x14ac:dyDescent="0.25">
      <c r="A457" s="17" t="s">
        <v>67</v>
      </c>
      <c r="B457" s="13" t="str">
        <f t="shared" si="7"/>
        <v>Midfielder</v>
      </c>
      <c r="C457" s="7">
        <v>45314.426435185182</v>
      </c>
      <c r="D457" s="14">
        <v>7121</v>
      </c>
      <c r="E457" s="14">
        <v>155</v>
      </c>
      <c r="F457" s="14">
        <v>19</v>
      </c>
      <c r="G457" s="14">
        <v>15</v>
      </c>
      <c r="H457" s="14">
        <v>76.92</v>
      </c>
      <c r="I457" s="14">
        <f>'PIVOT TABLES'!$B$26</f>
        <v>60.283999999999999</v>
      </c>
      <c r="J457" s="14">
        <f>'PIVOT TABLES'!$B$27-'PIVOT TABLES'!$B$26</f>
        <v>30.142000000000003</v>
      </c>
      <c r="K457" s="14">
        <f>'PIVOT TABLES'!$B$28-'PIVOT TABLES'!$B$27</f>
        <v>30.141999999999996</v>
      </c>
      <c r="L457" s="14">
        <f>200-SUM(Table3[[#This Row],[D - LIGHT]:[D - VIGOROUS]])</f>
        <v>79.432000000000002</v>
      </c>
      <c r="M457" s="14">
        <f>'PIVOT TABLES'!$I$26</f>
        <v>65.603999999999999</v>
      </c>
      <c r="N457" s="14">
        <f>'PIVOT TABLES'!$I$27-'PIVOT TABLES'!$I$26</f>
        <v>32.802000000000007</v>
      </c>
      <c r="O457" s="14">
        <f>'PIVOT TABLES'!$I$28-'PIVOT TABLES'!$I$27</f>
        <v>32.801999999999992</v>
      </c>
      <c r="P457" s="14">
        <f>200-SUM(Table3[[#This Row],[M - LIGHT]:[M - VIGOROUS]])</f>
        <v>68.792000000000002</v>
      </c>
      <c r="Q457" s="14">
        <f>'PIVOT TABLES'!$P$26</f>
        <v>62.64</v>
      </c>
      <c r="R457" s="14">
        <f>'PIVOT TABLES'!$P$27-'PIVOT TABLES'!$P$26</f>
        <v>31.320000000000007</v>
      </c>
      <c r="S457" s="14">
        <f>'PIVOT TABLES'!$P$28-'PIVOT TABLES'!$P$27</f>
        <v>31.319999999999993</v>
      </c>
      <c r="T457" s="14">
        <f>200-SUM(Table3[[#This Row],[W - LIGHT]:[W - VIGOROUS]])</f>
        <v>74.72</v>
      </c>
      <c r="U457" s="14">
        <f>'PIVOT TABLES'!$W$26</f>
        <v>55.895999999999994</v>
      </c>
      <c r="V457" s="14">
        <f>'PIVOT TABLES'!$W$27-'PIVOT TABLES'!$W$26</f>
        <v>27.948</v>
      </c>
      <c r="W457" s="14">
        <f>'PIVOT TABLES'!$W$28-'PIVOT TABLES'!$W$27</f>
        <v>27.947999999999993</v>
      </c>
      <c r="X457" s="14">
        <f>200-SUM(Table3[[#This Row],[S - LIGHT]:[S - VIGOROUS]])</f>
        <v>88.208000000000013</v>
      </c>
    </row>
    <row r="458" spans="1:24" x14ac:dyDescent="0.25">
      <c r="A458" s="17" t="s">
        <v>69</v>
      </c>
      <c r="B458" s="13" t="str">
        <f t="shared" si="7"/>
        <v>Midfielder</v>
      </c>
      <c r="C458" s="7">
        <v>45314.426435185182</v>
      </c>
      <c r="D458" s="14">
        <v>6540</v>
      </c>
      <c r="E458" s="14">
        <v>205</v>
      </c>
      <c r="F458" s="14">
        <v>17</v>
      </c>
      <c r="G458" s="14">
        <v>16</v>
      </c>
      <c r="H458" s="14">
        <v>72.55</v>
      </c>
      <c r="I458" s="14">
        <f>'PIVOT TABLES'!$B$26</f>
        <v>60.283999999999999</v>
      </c>
      <c r="J458" s="14">
        <f>'PIVOT TABLES'!$B$27-'PIVOT TABLES'!$B$26</f>
        <v>30.142000000000003</v>
      </c>
      <c r="K458" s="14">
        <f>'PIVOT TABLES'!$B$28-'PIVOT TABLES'!$B$27</f>
        <v>30.141999999999996</v>
      </c>
      <c r="L458" s="14">
        <f>200-SUM(Table3[[#This Row],[D - LIGHT]:[D - VIGOROUS]])</f>
        <v>79.432000000000002</v>
      </c>
      <c r="M458" s="14">
        <f>'PIVOT TABLES'!$I$26</f>
        <v>65.603999999999999</v>
      </c>
      <c r="N458" s="14">
        <f>'PIVOT TABLES'!$I$27-'PIVOT TABLES'!$I$26</f>
        <v>32.802000000000007</v>
      </c>
      <c r="O458" s="14">
        <f>'PIVOT TABLES'!$I$28-'PIVOT TABLES'!$I$27</f>
        <v>32.801999999999992</v>
      </c>
      <c r="P458" s="14">
        <f>200-SUM(Table3[[#This Row],[M - LIGHT]:[M - VIGOROUS]])</f>
        <v>68.792000000000002</v>
      </c>
      <c r="Q458" s="14">
        <f>'PIVOT TABLES'!$P$26</f>
        <v>62.64</v>
      </c>
      <c r="R458" s="14">
        <f>'PIVOT TABLES'!$P$27-'PIVOT TABLES'!$P$26</f>
        <v>31.320000000000007</v>
      </c>
      <c r="S458" s="14">
        <f>'PIVOT TABLES'!$P$28-'PIVOT TABLES'!$P$27</f>
        <v>31.319999999999993</v>
      </c>
      <c r="T458" s="14">
        <f>200-SUM(Table3[[#This Row],[W - LIGHT]:[W - VIGOROUS]])</f>
        <v>74.72</v>
      </c>
      <c r="U458" s="14">
        <f>'PIVOT TABLES'!$W$26</f>
        <v>55.895999999999994</v>
      </c>
      <c r="V458" s="14">
        <f>'PIVOT TABLES'!$W$27-'PIVOT TABLES'!$W$26</f>
        <v>27.948</v>
      </c>
      <c r="W458" s="14">
        <f>'PIVOT TABLES'!$W$28-'PIVOT TABLES'!$W$27</f>
        <v>27.947999999999993</v>
      </c>
      <c r="X458" s="14">
        <f>200-SUM(Table3[[#This Row],[S - LIGHT]:[S - VIGOROUS]])</f>
        <v>88.208000000000013</v>
      </c>
    </row>
    <row r="459" spans="1:24" x14ac:dyDescent="0.25">
      <c r="A459" s="17" t="s">
        <v>70</v>
      </c>
      <c r="B459" s="13" t="str">
        <f t="shared" si="7"/>
        <v>Winger</v>
      </c>
      <c r="C459" s="7">
        <v>45316.442106481481</v>
      </c>
      <c r="D459" s="14">
        <v>498</v>
      </c>
      <c r="E459" s="14">
        <v>0</v>
      </c>
      <c r="F459" s="14">
        <v>0</v>
      </c>
      <c r="G459" s="14">
        <v>0</v>
      </c>
      <c r="H459" s="14">
        <v>4.9800000000000004</v>
      </c>
      <c r="I459" s="14">
        <f>'PIVOT TABLES'!$B$26</f>
        <v>60.283999999999999</v>
      </c>
      <c r="J459" s="14">
        <f>'PIVOT TABLES'!$B$27-'PIVOT TABLES'!$B$26</f>
        <v>30.142000000000003</v>
      </c>
      <c r="K459" s="14">
        <f>'PIVOT TABLES'!$B$28-'PIVOT TABLES'!$B$27</f>
        <v>30.141999999999996</v>
      </c>
      <c r="L459" s="14">
        <f>200-SUM(Table3[[#This Row],[D - LIGHT]:[D - VIGOROUS]])</f>
        <v>79.432000000000002</v>
      </c>
      <c r="M459" s="14">
        <f>'PIVOT TABLES'!$I$26</f>
        <v>65.603999999999999</v>
      </c>
      <c r="N459" s="14">
        <f>'PIVOT TABLES'!$I$27-'PIVOT TABLES'!$I$26</f>
        <v>32.802000000000007</v>
      </c>
      <c r="O459" s="14">
        <f>'PIVOT TABLES'!$I$28-'PIVOT TABLES'!$I$27</f>
        <v>32.801999999999992</v>
      </c>
      <c r="P459" s="14">
        <f>200-SUM(Table3[[#This Row],[M - LIGHT]:[M - VIGOROUS]])</f>
        <v>68.792000000000002</v>
      </c>
      <c r="Q459" s="14">
        <f>'PIVOT TABLES'!$P$26</f>
        <v>62.64</v>
      </c>
      <c r="R459" s="14">
        <f>'PIVOT TABLES'!$P$27-'PIVOT TABLES'!$P$26</f>
        <v>31.320000000000007</v>
      </c>
      <c r="S459" s="14">
        <f>'PIVOT TABLES'!$P$28-'PIVOT TABLES'!$P$27</f>
        <v>31.319999999999993</v>
      </c>
      <c r="T459" s="14">
        <f>200-SUM(Table3[[#This Row],[W - LIGHT]:[W - VIGOROUS]])</f>
        <v>74.72</v>
      </c>
      <c r="U459" s="14">
        <f>'PIVOT TABLES'!$W$26</f>
        <v>55.895999999999994</v>
      </c>
      <c r="V459" s="14">
        <f>'PIVOT TABLES'!$W$27-'PIVOT TABLES'!$W$26</f>
        <v>27.948</v>
      </c>
      <c r="W459" s="14">
        <f>'PIVOT TABLES'!$W$28-'PIVOT TABLES'!$W$27</f>
        <v>27.947999999999993</v>
      </c>
      <c r="X459" s="14">
        <f>200-SUM(Table3[[#This Row],[S - LIGHT]:[S - VIGOROUS]])</f>
        <v>88.208000000000013</v>
      </c>
    </row>
    <row r="460" spans="1:24" x14ac:dyDescent="0.25">
      <c r="A460" s="17" t="s">
        <v>53</v>
      </c>
      <c r="B460" s="13" t="str">
        <f t="shared" si="7"/>
        <v>Midfielder</v>
      </c>
      <c r="C460" s="7">
        <v>45316.442106481481</v>
      </c>
      <c r="D460" s="14">
        <v>6927</v>
      </c>
      <c r="E460" s="14">
        <v>80</v>
      </c>
      <c r="F460" s="14">
        <v>28</v>
      </c>
      <c r="G460" s="14">
        <v>44</v>
      </c>
      <c r="H460" s="14">
        <v>73.67</v>
      </c>
      <c r="I460" s="14">
        <f>'PIVOT TABLES'!$B$26</f>
        <v>60.283999999999999</v>
      </c>
      <c r="J460" s="14">
        <f>'PIVOT TABLES'!$B$27-'PIVOT TABLES'!$B$26</f>
        <v>30.142000000000003</v>
      </c>
      <c r="K460" s="14">
        <f>'PIVOT TABLES'!$B$28-'PIVOT TABLES'!$B$27</f>
        <v>30.141999999999996</v>
      </c>
      <c r="L460" s="14">
        <f>200-SUM(Table3[[#This Row],[D - LIGHT]:[D - VIGOROUS]])</f>
        <v>79.432000000000002</v>
      </c>
      <c r="M460" s="14">
        <f>'PIVOT TABLES'!$I$26</f>
        <v>65.603999999999999</v>
      </c>
      <c r="N460" s="14">
        <f>'PIVOT TABLES'!$I$27-'PIVOT TABLES'!$I$26</f>
        <v>32.802000000000007</v>
      </c>
      <c r="O460" s="14">
        <f>'PIVOT TABLES'!$I$28-'PIVOT TABLES'!$I$27</f>
        <v>32.801999999999992</v>
      </c>
      <c r="P460" s="14">
        <f>200-SUM(Table3[[#This Row],[M - LIGHT]:[M - VIGOROUS]])</f>
        <v>68.792000000000002</v>
      </c>
      <c r="Q460" s="14">
        <f>'PIVOT TABLES'!$P$26</f>
        <v>62.64</v>
      </c>
      <c r="R460" s="14">
        <f>'PIVOT TABLES'!$P$27-'PIVOT TABLES'!$P$26</f>
        <v>31.320000000000007</v>
      </c>
      <c r="S460" s="14">
        <f>'PIVOT TABLES'!$P$28-'PIVOT TABLES'!$P$27</f>
        <v>31.319999999999993</v>
      </c>
      <c r="T460" s="14">
        <f>200-SUM(Table3[[#This Row],[W - LIGHT]:[W - VIGOROUS]])</f>
        <v>74.72</v>
      </c>
      <c r="U460" s="14">
        <f>'PIVOT TABLES'!$W$26</f>
        <v>55.895999999999994</v>
      </c>
      <c r="V460" s="14">
        <f>'PIVOT TABLES'!$W$27-'PIVOT TABLES'!$W$26</f>
        <v>27.948</v>
      </c>
      <c r="W460" s="14">
        <f>'PIVOT TABLES'!$W$28-'PIVOT TABLES'!$W$27</f>
        <v>27.947999999999993</v>
      </c>
      <c r="X460" s="14">
        <f>200-SUM(Table3[[#This Row],[S - LIGHT]:[S - VIGOROUS]])</f>
        <v>88.208000000000013</v>
      </c>
    </row>
    <row r="461" spans="1:24" x14ac:dyDescent="0.25">
      <c r="A461" s="17" t="s">
        <v>54</v>
      </c>
      <c r="B461" s="13" t="str">
        <f t="shared" si="7"/>
        <v>Striker</v>
      </c>
      <c r="C461" s="7">
        <v>45316.442106481481</v>
      </c>
      <c r="D461" s="14">
        <v>7623</v>
      </c>
      <c r="E461" s="14">
        <v>31</v>
      </c>
      <c r="F461" s="14">
        <v>60</v>
      </c>
      <c r="G461" s="14">
        <v>27</v>
      </c>
      <c r="H461" s="14">
        <v>80.099999999999994</v>
      </c>
      <c r="I461" s="14">
        <f>'PIVOT TABLES'!$B$26</f>
        <v>60.283999999999999</v>
      </c>
      <c r="J461" s="14">
        <f>'PIVOT TABLES'!$B$27-'PIVOT TABLES'!$B$26</f>
        <v>30.142000000000003</v>
      </c>
      <c r="K461" s="14">
        <f>'PIVOT TABLES'!$B$28-'PIVOT TABLES'!$B$27</f>
        <v>30.141999999999996</v>
      </c>
      <c r="L461" s="14">
        <f>200-SUM(Table3[[#This Row],[D - LIGHT]:[D - VIGOROUS]])</f>
        <v>79.432000000000002</v>
      </c>
      <c r="M461" s="14">
        <f>'PIVOT TABLES'!$I$26</f>
        <v>65.603999999999999</v>
      </c>
      <c r="N461" s="14">
        <f>'PIVOT TABLES'!$I$27-'PIVOT TABLES'!$I$26</f>
        <v>32.802000000000007</v>
      </c>
      <c r="O461" s="14">
        <f>'PIVOT TABLES'!$I$28-'PIVOT TABLES'!$I$27</f>
        <v>32.801999999999992</v>
      </c>
      <c r="P461" s="14">
        <f>200-SUM(Table3[[#This Row],[M - LIGHT]:[M - VIGOROUS]])</f>
        <v>68.792000000000002</v>
      </c>
      <c r="Q461" s="14">
        <f>'PIVOT TABLES'!$P$26</f>
        <v>62.64</v>
      </c>
      <c r="R461" s="14">
        <f>'PIVOT TABLES'!$P$27-'PIVOT TABLES'!$P$26</f>
        <v>31.320000000000007</v>
      </c>
      <c r="S461" s="14">
        <f>'PIVOT TABLES'!$P$28-'PIVOT TABLES'!$P$27</f>
        <v>31.319999999999993</v>
      </c>
      <c r="T461" s="14">
        <f>200-SUM(Table3[[#This Row],[W - LIGHT]:[W - VIGOROUS]])</f>
        <v>74.72</v>
      </c>
      <c r="U461" s="14">
        <f>'PIVOT TABLES'!$W$26</f>
        <v>55.895999999999994</v>
      </c>
      <c r="V461" s="14">
        <f>'PIVOT TABLES'!$W$27-'PIVOT TABLES'!$W$26</f>
        <v>27.948</v>
      </c>
      <c r="W461" s="14">
        <f>'PIVOT TABLES'!$W$28-'PIVOT TABLES'!$W$27</f>
        <v>27.947999999999993</v>
      </c>
      <c r="X461" s="14">
        <f>200-SUM(Table3[[#This Row],[S - LIGHT]:[S - VIGOROUS]])</f>
        <v>88.208000000000013</v>
      </c>
    </row>
    <row r="462" spans="1:24" x14ac:dyDescent="0.25">
      <c r="A462" s="17" t="s">
        <v>55</v>
      </c>
      <c r="B462" s="13" t="str">
        <f t="shared" si="7"/>
        <v>Striker</v>
      </c>
      <c r="C462" s="7">
        <v>45316.442106481481</v>
      </c>
      <c r="D462" s="14">
        <v>7165</v>
      </c>
      <c r="E462" s="14">
        <v>1</v>
      </c>
      <c r="F462" s="14">
        <v>43</v>
      </c>
      <c r="G462" s="14">
        <v>25</v>
      </c>
      <c r="H462" s="14">
        <v>73.900000000000006</v>
      </c>
      <c r="I462" s="14">
        <f>'PIVOT TABLES'!$B$26</f>
        <v>60.283999999999999</v>
      </c>
      <c r="J462" s="14">
        <f>'PIVOT TABLES'!$B$27-'PIVOT TABLES'!$B$26</f>
        <v>30.142000000000003</v>
      </c>
      <c r="K462" s="14">
        <f>'PIVOT TABLES'!$B$28-'PIVOT TABLES'!$B$27</f>
        <v>30.141999999999996</v>
      </c>
      <c r="L462" s="14">
        <f>200-SUM(Table3[[#This Row],[D - LIGHT]:[D - VIGOROUS]])</f>
        <v>79.432000000000002</v>
      </c>
      <c r="M462" s="14">
        <f>'PIVOT TABLES'!$I$26</f>
        <v>65.603999999999999</v>
      </c>
      <c r="N462" s="14">
        <f>'PIVOT TABLES'!$I$27-'PIVOT TABLES'!$I$26</f>
        <v>32.802000000000007</v>
      </c>
      <c r="O462" s="14">
        <f>'PIVOT TABLES'!$I$28-'PIVOT TABLES'!$I$27</f>
        <v>32.801999999999992</v>
      </c>
      <c r="P462" s="14">
        <f>200-SUM(Table3[[#This Row],[M - LIGHT]:[M - VIGOROUS]])</f>
        <v>68.792000000000002</v>
      </c>
      <c r="Q462" s="14">
        <f>'PIVOT TABLES'!$P$26</f>
        <v>62.64</v>
      </c>
      <c r="R462" s="14">
        <f>'PIVOT TABLES'!$P$27-'PIVOT TABLES'!$P$26</f>
        <v>31.320000000000007</v>
      </c>
      <c r="S462" s="14">
        <f>'PIVOT TABLES'!$P$28-'PIVOT TABLES'!$P$27</f>
        <v>31.319999999999993</v>
      </c>
      <c r="T462" s="14">
        <f>200-SUM(Table3[[#This Row],[W - LIGHT]:[W - VIGOROUS]])</f>
        <v>74.72</v>
      </c>
      <c r="U462" s="14">
        <f>'PIVOT TABLES'!$W$26</f>
        <v>55.895999999999994</v>
      </c>
      <c r="V462" s="14">
        <f>'PIVOT TABLES'!$W$27-'PIVOT TABLES'!$W$26</f>
        <v>27.948</v>
      </c>
      <c r="W462" s="14">
        <f>'PIVOT TABLES'!$W$28-'PIVOT TABLES'!$W$27</f>
        <v>27.947999999999993</v>
      </c>
      <c r="X462" s="14">
        <f>200-SUM(Table3[[#This Row],[S - LIGHT]:[S - VIGOROUS]])</f>
        <v>88.208000000000013</v>
      </c>
    </row>
    <row r="463" spans="1:24" x14ac:dyDescent="0.25">
      <c r="A463" s="17" t="s">
        <v>1</v>
      </c>
      <c r="B463" s="13" t="str">
        <f t="shared" si="7"/>
        <v>Defender</v>
      </c>
      <c r="C463" s="7">
        <v>45316.442106481481</v>
      </c>
      <c r="D463" s="14">
        <v>5878</v>
      </c>
      <c r="E463" s="14">
        <v>47</v>
      </c>
      <c r="F463" s="14">
        <v>31</v>
      </c>
      <c r="G463" s="14">
        <v>17</v>
      </c>
      <c r="H463" s="14">
        <v>61.77</v>
      </c>
      <c r="I463" s="14">
        <f>'PIVOT TABLES'!$B$26</f>
        <v>60.283999999999999</v>
      </c>
      <c r="J463" s="14">
        <f>'PIVOT TABLES'!$B$27-'PIVOT TABLES'!$B$26</f>
        <v>30.142000000000003</v>
      </c>
      <c r="K463" s="14">
        <f>'PIVOT TABLES'!$B$28-'PIVOT TABLES'!$B$27</f>
        <v>30.141999999999996</v>
      </c>
      <c r="L463" s="14">
        <f>200-SUM(Table3[[#This Row],[D - LIGHT]:[D - VIGOROUS]])</f>
        <v>79.432000000000002</v>
      </c>
      <c r="M463" s="14">
        <f>'PIVOT TABLES'!$I$26</f>
        <v>65.603999999999999</v>
      </c>
      <c r="N463" s="14">
        <f>'PIVOT TABLES'!$I$27-'PIVOT TABLES'!$I$26</f>
        <v>32.802000000000007</v>
      </c>
      <c r="O463" s="14">
        <f>'PIVOT TABLES'!$I$28-'PIVOT TABLES'!$I$27</f>
        <v>32.801999999999992</v>
      </c>
      <c r="P463" s="14">
        <f>200-SUM(Table3[[#This Row],[M - LIGHT]:[M - VIGOROUS]])</f>
        <v>68.792000000000002</v>
      </c>
      <c r="Q463" s="14">
        <f>'PIVOT TABLES'!$P$26</f>
        <v>62.64</v>
      </c>
      <c r="R463" s="14">
        <f>'PIVOT TABLES'!$P$27-'PIVOT TABLES'!$P$26</f>
        <v>31.320000000000007</v>
      </c>
      <c r="S463" s="14">
        <f>'PIVOT TABLES'!$P$28-'PIVOT TABLES'!$P$27</f>
        <v>31.319999999999993</v>
      </c>
      <c r="T463" s="14">
        <f>200-SUM(Table3[[#This Row],[W - LIGHT]:[W - VIGOROUS]])</f>
        <v>74.72</v>
      </c>
      <c r="U463" s="14">
        <f>'PIVOT TABLES'!$W$26</f>
        <v>55.895999999999994</v>
      </c>
      <c r="V463" s="14">
        <f>'PIVOT TABLES'!$W$27-'PIVOT TABLES'!$W$26</f>
        <v>27.948</v>
      </c>
      <c r="W463" s="14">
        <f>'PIVOT TABLES'!$W$28-'PIVOT TABLES'!$W$27</f>
        <v>27.947999999999993</v>
      </c>
      <c r="X463" s="14">
        <f>200-SUM(Table3[[#This Row],[S - LIGHT]:[S - VIGOROUS]])</f>
        <v>88.208000000000013</v>
      </c>
    </row>
    <row r="464" spans="1:24" x14ac:dyDescent="0.25">
      <c r="A464" s="17" t="s">
        <v>56</v>
      </c>
      <c r="B464" s="13" t="str">
        <f t="shared" si="7"/>
        <v>Midfielder</v>
      </c>
      <c r="C464" s="7">
        <v>45316.442106481481</v>
      </c>
      <c r="D464" s="14">
        <v>5795</v>
      </c>
      <c r="E464" s="14">
        <v>0</v>
      </c>
      <c r="F464" s="14">
        <v>29</v>
      </c>
      <c r="G464" s="14">
        <v>30</v>
      </c>
      <c r="H464" s="14">
        <v>59.71</v>
      </c>
      <c r="I464" s="14">
        <f>'PIVOT TABLES'!$B$26</f>
        <v>60.283999999999999</v>
      </c>
      <c r="J464" s="14">
        <f>'PIVOT TABLES'!$B$27-'PIVOT TABLES'!$B$26</f>
        <v>30.142000000000003</v>
      </c>
      <c r="K464" s="14">
        <f>'PIVOT TABLES'!$B$28-'PIVOT TABLES'!$B$27</f>
        <v>30.141999999999996</v>
      </c>
      <c r="L464" s="14">
        <f>200-SUM(Table3[[#This Row],[D - LIGHT]:[D - VIGOROUS]])</f>
        <v>79.432000000000002</v>
      </c>
      <c r="M464" s="14">
        <f>'PIVOT TABLES'!$I$26</f>
        <v>65.603999999999999</v>
      </c>
      <c r="N464" s="14">
        <f>'PIVOT TABLES'!$I$27-'PIVOT TABLES'!$I$26</f>
        <v>32.802000000000007</v>
      </c>
      <c r="O464" s="14">
        <f>'PIVOT TABLES'!$I$28-'PIVOT TABLES'!$I$27</f>
        <v>32.801999999999992</v>
      </c>
      <c r="P464" s="14">
        <f>200-SUM(Table3[[#This Row],[M - LIGHT]:[M - VIGOROUS]])</f>
        <v>68.792000000000002</v>
      </c>
      <c r="Q464" s="14">
        <f>'PIVOT TABLES'!$P$26</f>
        <v>62.64</v>
      </c>
      <c r="R464" s="14">
        <f>'PIVOT TABLES'!$P$27-'PIVOT TABLES'!$P$26</f>
        <v>31.320000000000007</v>
      </c>
      <c r="S464" s="14">
        <f>'PIVOT TABLES'!$P$28-'PIVOT TABLES'!$P$27</f>
        <v>31.319999999999993</v>
      </c>
      <c r="T464" s="14">
        <f>200-SUM(Table3[[#This Row],[W - LIGHT]:[W - VIGOROUS]])</f>
        <v>74.72</v>
      </c>
      <c r="U464" s="14">
        <f>'PIVOT TABLES'!$W$26</f>
        <v>55.895999999999994</v>
      </c>
      <c r="V464" s="14">
        <f>'PIVOT TABLES'!$W$27-'PIVOT TABLES'!$W$26</f>
        <v>27.948</v>
      </c>
      <c r="W464" s="14">
        <f>'PIVOT TABLES'!$W$28-'PIVOT TABLES'!$W$27</f>
        <v>27.947999999999993</v>
      </c>
      <c r="X464" s="14">
        <f>200-SUM(Table3[[#This Row],[S - LIGHT]:[S - VIGOROUS]])</f>
        <v>88.208000000000013</v>
      </c>
    </row>
    <row r="465" spans="1:24" x14ac:dyDescent="0.25">
      <c r="A465" s="17" t="s">
        <v>2</v>
      </c>
      <c r="B465" s="13" t="str">
        <f t="shared" si="7"/>
        <v>Defender</v>
      </c>
      <c r="C465" s="7">
        <v>45316.442106481481</v>
      </c>
      <c r="D465" s="14">
        <v>6532</v>
      </c>
      <c r="E465" s="14">
        <v>237</v>
      </c>
      <c r="F465" s="14">
        <v>70</v>
      </c>
      <c r="G465" s="14">
        <v>54</v>
      </c>
      <c r="H465" s="14">
        <v>76.31</v>
      </c>
      <c r="I465" s="14">
        <f>'PIVOT TABLES'!$B$26</f>
        <v>60.283999999999999</v>
      </c>
      <c r="J465" s="14">
        <f>'PIVOT TABLES'!$B$27-'PIVOT TABLES'!$B$26</f>
        <v>30.142000000000003</v>
      </c>
      <c r="K465" s="14">
        <f>'PIVOT TABLES'!$B$28-'PIVOT TABLES'!$B$27</f>
        <v>30.141999999999996</v>
      </c>
      <c r="L465" s="14">
        <f>200-SUM(Table3[[#This Row],[D - LIGHT]:[D - VIGOROUS]])</f>
        <v>79.432000000000002</v>
      </c>
      <c r="M465" s="14">
        <f>'PIVOT TABLES'!$I$26</f>
        <v>65.603999999999999</v>
      </c>
      <c r="N465" s="14">
        <f>'PIVOT TABLES'!$I$27-'PIVOT TABLES'!$I$26</f>
        <v>32.802000000000007</v>
      </c>
      <c r="O465" s="14">
        <f>'PIVOT TABLES'!$I$28-'PIVOT TABLES'!$I$27</f>
        <v>32.801999999999992</v>
      </c>
      <c r="P465" s="14">
        <f>200-SUM(Table3[[#This Row],[M - LIGHT]:[M - VIGOROUS]])</f>
        <v>68.792000000000002</v>
      </c>
      <c r="Q465" s="14">
        <f>'PIVOT TABLES'!$P$26</f>
        <v>62.64</v>
      </c>
      <c r="R465" s="14">
        <f>'PIVOT TABLES'!$P$27-'PIVOT TABLES'!$P$26</f>
        <v>31.320000000000007</v>
      </c>
      <c r="S465" s="14">
        <f>'PIVOT TABLES'!$P$28-'PIVOT TABLES'!$P$27</f>
        <v>31.319999999999993</v>
      </c>
      <c r="T465" s="14">
        <f>200-SUM(Table3[[#This Row],[W - LIGHT]:[W - VIGOROUS]])</f>
        <v>74.72</v>
      </c>
      <c r="U465" s="14">
        <f>'PIVOT TABLES'!$W$26</f>
        <v>55.895999999999994</v>
      </c>
      <c r="V465" s="14">
        <f>'PIVOT TABLES'!$W$27-'PIVOT TABLES'!$W$26</f>
        <v>27.948</v>
      </c>
      <c r="W465" s="14">
        <f>'PIVOT TABLES'!$W$28-'PIVOT TABLES'!$W$27</f>
        <v>27.947999999999993</v>
      </c>
      <c r="X465" s="14">
        <f>200-SUM(Table3[[#This Row],[S - LIGHT]:[S - VIGOROUS]])</f>
        <v>88.208000000000013</v>
      </c>
    </row>
    <row r="466" spans="1:24" x14ac:dyDescent="0.25">
      <c r="A466" s="17" t="s">
        <v>58</v>
      </c>
      <c r="B466" s="13" t="str">
        <f t="shared" si="7"/>
        <v>Defender</v>
      </c>
      <c r="C466" s="7">
        <v>45316.442106481481</v>
      </c>
      <c r="D466" s="14">
        <v>6300</v>
      </c>
      <c r="E466" s="14">
        <v>60</v>
      </c>
      <c r="F466" s="14">
        <v>40</v>
      </c>
      <c r="G466" s="14">
        <v>30</v>
      </c>
      <c r="H466" s="14">
        <v>67</v>
      </c>
      <c r="I466" s="14">
        <f>'PIVOT TABLES'!$B$26</f>
        <v>60.283999999999999</v>
      </c>
      <c r="J466" s="14">
        <f>'PIVOT TABLES'!$B$27-'PIVOT TABLES'!$B$26</f>
        <v>30.142000000000003</v>
      </c>
      <c r="K466" s="14">
        <f>'PIVOT TABLES'!$B$28-'PIVOT TABLES'!$B$27</f>
        <v>30.141999999999996</v>
      </c>
      <c r="L466" s="14">
        <f>200-SUM(Table3[[#This Row],[D - LIGHT]:[D - VIGOROUS]])</f>
        <v>79.432000000000002</v>
      </c>
      <c r="M466" s="14">
        <f>'PIVOT TABLES'!$I$26</f>
        <v>65.603999999999999</v>
      </c>
      <c r="N466" s="14">
        <f>'PIVOT TABLES'!$I$27-'PIVOT TABLES'!$I$26</f>
        <v>32.802000000000007</v>
      </c>
      <c r="O466" s="14">
        <f>'PIVOT TABLES'!$I$28-'PIVOT TABLES'!$I$27</f>
        <v>32.801999999999992</v>
      </c>
      <c r="P466" s="14">
        <f>200-SUM(Table3[[#This Row],[M - LIGHT]:[M - VIGOROUS]])</f>
        <v>68.792000000000002</v>
      </c>
      <c r="Q466" s="14">
        <f>'PIVOT TABLES'!$P$26</f>
        <v>62.64</v>
      </c>
      <c r="R466" s="14">
        <f>'PIVOT TABLES'!$P$27-'PIVOT TABLES'!$P$26</f>
        <v>31.320000000000007</v>
      </c>
      <c r="S466" s="14">
        <f>'PIVOT TABLES'!$P$28-'PIVOT TABLES'!$P$27</f>
        <v>31.319999999999993</v>
      </c>
      <c r="T466" s="14">
        <f>200-SUM(Table3[[#This Row],[W - LIGHT]:[W - VIGOROUS]])</f>
        <v>74.72</v>
      </c>
      <c r="U466" s="14">
        <f>'PIVOT TABLES'!$W$26</f>
        <v>55.895999999999994</v>
      </c>
      <c r="V466" s="14">
        <f>'PIVOT TABLES'!$W$27-'PIVOT TABLES'!$W$26</f>
        <v>27.948</v>
      </c>
      <c r="W466" s="14">
        <f>'PIVOT TABLES'!$W$28-'PIVOT TABLES'!$W$27</f>
        <v>27.947999999999993</v>
      </c>
      <c r="X466" s="14">
        <f>200-SUM(Table3[[#This Row],[S - LIGHT]:[S - VIGOROUS]])</f>
        <v>88.208000000000013</v>
      </c>
    </row>
    <row r="467" spans="1:24" x14ac:dyDescent="0.25">
      <c r="A467" s="17" t="s">
        <v>59</v>
      </c>
      <c r="B467" s="13" t="str">
        <f t="shared" si="7"/>
        <v>Striker</v>
      </c>
      <c r="C467" s="7">
        <v>45316.442106481481</v>
      </c>
      <c r="D467" s="14">
        <v>6746</v>
      </c>
      <c r="E467" s="14">
        <v>18</v>
      </c>
      <c r="F467" s="14">
        <v>40</v>
      </c>
      <c r="G467" s="14">
        <v>21</v>
      </c>
      <c r="H467" s="14">
        <v>70.02</v>
      </c>
      <c r="I467" s="14">
        <f>'PIVOT TABLES'!$B$26</f>
        <v>60.283999999999999</v>
      </c>
      <c r="J467" s="14">
        <f>'PIVOT TABLES'!$B$27-'PIVOT TABLES'!$B$26</f>
        <v>30.142000000000003</v>
      </c>
      <c r="K467" s="14">
        <f>'PIVOT TABLES'!$B$28-'PIVOT TABLES'!$B$27</f>
        <v>30.141999999999996</v>
      </c>
      <c r="L467" s="14">
        <f>200-SUM(Table3[[#This Row],[D - LIGHT]:[D - VIGOROUS]])</f>
        <v>79.432000000000002</v>
      </c>
      <c r="M467" s="14">
        <f>'PIVOT TABLES'!$I$26</f>
        <v>65.603999999999999</v>
      </c>
      <c r="N467" s="14">
        <f>'PIVOT TABLES'!$I$27-'PIVOT TABLES'!$I$26</f>
        <v>32.802000000000007</v>
      </c>
      <c r="O467" s="14">
        <f>'PIVOT TABLES'!$I$28-'PIVOT TABLES'!$I$27</f>
        <v>32.801999999999992</v>
      </c>
      <c r="P467" s="14">
        <f>200-SUM(Table3[[#This Row],[M - LIGHT]:[M - VIGOROUS]])</f>
        <v>68.792000000000002</v>
      </c>
      <c r="Q467" s="14">
        <f>'PIVOT TABLES'!$P$26</f>
        <v>62.64</v>
      </c>
      <c r="R467" s="14">
        <f>'PIVOT TABLES'!$P$27-'PIVOT TABLES'!$P$26</f>
        <v>31.320000000000007</v>
      </c>
      <c r="S467" s="14">
        <f>'PIVOT TABLES'!$P$28-'PIVOT TABLES'!$P$27</f>
        <v>31.319999999999993</v>
      </c>
      <c r="T467" s="14">
        <f>200-SUM(Table3[[#This Row],[W - LIGHT]:[W - VIGOROUS]])</f>
        <v>74.72</v>
      </c>
      <c r="U467" s="14">
        <f>'PIVOT TABLES'!$W$26</f>
        <v>55.895999999999994</v>
      </c>
      <c r="V467" s="14">
        <f>'PIVOT TABLES'!$W$27-'PIVOT TABLES'!$W$26</f>
        <v>27.948</v>
      </c>
      <c r="W467" s="14">
        <f>'PIVOT TABLES'!$W$28-'PIVOT TABLES'!$W$27</f>
        <v>27.947999999999993</v>
      </c>
      <c r="X467" s="14">
        <f>200-SUM(Table3[[#This Row],[S - LIGHT]:[S - VIGOROUS]])</f>
        <v>88.208000000000013</v>
      </c>
    </row>
    <row r="468" spans="1:24" x14ac:dyDescent="0.25">
      <c r="A468" s="17" t="s">
        <v>4</v>
      </c>
      <c r="B468" s="13" t="str">
        <f t="shared" si="7"/>
        <v>Midfielder</v>
      </c>
      <c r="C468" s="7">
        <v>45316.442106481481</v>
      </c>
      <c r="D468" s="14">
        <v>6756</v>
      </c>
      <c r="E468" s="14">
        <v>65</v>
      </c>
      <c r="F468" s="14">
        <v>26</v>
      </c>
      <c r="G468" s="14">
        <v>29</v>
      </c>
      <c r="H468" s="14">
        <v>71.13</v>
      </c>
      <c r="I468" s="14">
        <f>'PIVOT TABLES'!$B$26</f>
        <v>60.283999999999999</v>
      </c>
      <c r="J468" s="14">
        <f>'PIVOT TABLES'!$B$27-'PIVOT TABLES'!$B$26</f>
        <v>30.142000000000003</v>
      </c>
      <c r="K468" s="14">
        <f>'PIVOT TABLES'!$B$28-'PIVOT TABLES'!$B$27</f>
        <v>30.141999999999996</v>
      </c>
      <c r="L468" s="14">
        <f>200-SUM(Table3[[#This Row],[D - LIGHT]:[D - VIGOROUS]])</f>
        <v>79.432000000000002</v>
      </c>
      <c r="M468" s="14">
        <f>'PIVOT TABLES'!$I$26</f>
        <v>65.603999999999999</v>
      </c>
      <c r="N468" s="14">
        <f>'PIVOT TABLES'!$I$27-'PIVOT TABLES'!$I$26</f>
        <v>32.802000000000007</v>
      </c>
      <c r="O468" s="14">
        <f>'PIVOT TABLES'!$I$28-'PIVOT TABLES'!$I$27</f>
        <v>32.801999999999992</v>
      </c>
      <c r="P468" s="14">
        <f>200-SUM(Table3[[#This Row],[M - LIGHT]:[M - VIGOROUS]])</f>
        <v>68.792000000000002</v>
      </c>
      <c r="Q468" s="14">
        <f>'PIVOT TABLES'!$P$26</f>
        <v>62.64</v>
      </c>
      <c r="R468" s="14">
        <f>'PIVOT TABLES'!$P$27-'PIVOT TABLES'!$P$26</f>
        <v>31.320000000000007</v>
      </c>
      <c r="S468" s="14">
        <f>'PIVOT TABLES'!$P$28-'PIVOT TABLES'!$P$27</f>
        <v>31.319999999999993</v>
      </c>
      <c r="T468" s="14">
        <f>200-SUM(Table3[[#This Row],[W - LIGHT]:[W - VIGOROUS]])</f>
        <v>74.72</v>
      </c>
      <c r="U468" s="14">
        <f>'PIVOT TABLES'!$W$26</f>
        <v>55.895999999999994</v>
      </c>
      <c r="V468" s="14">
        <f>'PIVOT TABLES'!$W$27-'PIVOT TABLES'!$W$26</f>
        <v>27.948</v>
      </c>
      <c r="W468" s="14">
        <f>'PIVOT TABLES'!$W$28-'PIVOT TABLES'!$W$27</f>
        <v>27.947999999999993</v>
      </c>
      <c r="X468" s="14">
        <f>200-SUM(Table3[[#This Row],[S - LIGHT]:[S - VIGOROUS]])</f>
        <v>88.208000000000013</v>
      </c>
    </row>
    <row r="469" spans="1:24" x14ac:dyDescent="0.25">
      <c r="A469" s="17" t="s">
        <v>60</v>
      </c>
      <c r="B469" s="13" t="str">
        <f t="shared" si="7"/>
        <v>Winger</v>
      </c>
      <c r="C469" s="7">
        <v>45316.442106481481</v>
      </c>
      <c r="D469" s="14">
        <v>1988</v>
      </c>
      <c r="E469" s="14">
        <v>7</v>
      </c>
      <c r="F469" s="14">
        <v>11</v>
      </c>
      <c r="G469" s="14">
        <v>9</v>
      </c>
      <c r="H469" s="14">
        <v>20.71</v>
      </c>
      <c r="I469" s="14">
        <f>'PIVOT TABLES'!$B$26</f>
        <v>60.283999999999999</v>
      </c>
      <c r="J469" s="14">
        <f>'PIVOT TABLES'!$B$27-'PIVOT TABLES'!$B$26</f>
        <v>30.142000000000003</v>
      </c>
      <c r="K469" s="14">
        <f>'PIVOT TABLES'!$B$28-'PIVOT TABLES'!$B$27</f>
        <v>30.141999999999996</v>
      </c>
      <c r="L469" s="14">
        <f>200-SUM(Table3[[#This Row],[D - LIGHT]:[D - VIGOROUS]])</f>
        <v>79.432000000000002</v>
      </c>
      <c r="M469" s="14">
        <f>'PIVOT TABLES'!$I$26</f>
        <v>65.603999999999999</v>
      </c>
      <c r="N469" s="14">
        <f>'PIVOT TABLES'!$I$27-'PIVOT TABLES'!$I$26</f>
        <v>32.802000000000007</v>
      </c>
      <c r="O469" s="14">
        <f>'PIVOT TABLES'!$I$28-'PIVOT TABLES'!$I$27</f>
        <v>32.801999999999992</v>
      </c>
      <c r="P469" s="14">
        <f>200-SUM(Table3[[#This Row],[M - LIGHT]:[M - VIGOROUS]])</f>
        <v>68.792000000000002</v>
      </c>
      <c r="Q469" s="14">
        <f>'PIVOT TABLES'!$P$26</f>
        <v>62.64</v>
      </c>
      <c r="R469" s="14">
        <f>'PIVOT TABLES'!$P$27-'PIVOT TABLES'!$P$26</f>
        <v>31.320000000000007</v>
      </c>
      <c r="S469" s="14">
        <f>'PIVOT TABLES'!$P$28-'PIVOT TABLES'!$P$27</f>
        <v>31.319999999999993</v>
      </c>
      <c r="T469" s="14">
        <f>200-SUM(Table3[[#This Row],[W - LIGHT]:[W - VIGOROUS]])</f>
        <v>74.72</v>
      </c>
      <c r="U469" s="14">
        <f>'PIVOT TABLES'!$W$26</f>
        <v>55.895999999999994</v>
      </c>
      <c r="V469" s="14">
        <f>'PIVOT TABLES'!$W$27-'PIVOT TABLES'!$W$26</f>
        <v>27.948</v>
      </c>
      <c r="W469" s="14">
        <f>'PIVOT TABLES'!$W$28-'PIVOT TABLES'!$W$27</f>
        <v>27.947999999999993</v>
      </c>
      <c r="X469" s="14">
        <f>200-SUM(Table3[[#This Row],[S - LIGHT]:[S - VIGOROUS]])</f>
        <v>88.208000000000013</v>
      </c>
    </row>
    <row r="470" spans="1:24" x14ac:dyDescent="0.25">
      <c r="A470" s="17" t="s">
        <v>5</v>
      </c>
      <c r="B470" s="13" t="str">
        <f t="shared" si="7"/>
        <v>Midfielder</v>
      </c>
      <c r="C470" s="7">
        <v>45316.442106481481</v>
      </c>
      <c r="D470" s="14">
        <v>6243</v>
      </c>
      <c r="E470" s="14">
        <v>9</v>
      </c>
      <c r="F470" s="14">
        <v>27</v>
      </c>
      <c r="G470" s="14">
        <v>41</v>
      </c>
      <c r="H470" s="14">
        <v>64.599999999999994</v>
      </c>
      <c r="I470" s="14">
        <f>'PIVOT TABLES'!$B$26</f>
        <v>60.283999999999999</v>
      </c>
      <c r="J470" s="14">
        <f>'PIVOT TABLES'!$B$27-'PIVOT TABLES'!$B$26</f>
        <v>30.142000000000003</v>
      </c>
      <c r="K470" s="14">
        <f>'PIVOT TABLES'!$B$28-'PIVOT TABLES'!$B$27</f>
        <v>30.141999999999996</v>
      </c>
      <c r="L470" s="14">
        <f>200-SUM(Table3[[#This Row],[D - LIGHT]:[D - VIGOROUS]])</f>
        <v>79.432000000000002</v>
      </c>
      <c r="M470" s="14">
        <f>'PIVOT TABLES'!$I$26</f>
        <v>65.603999999999999</v>
      </c>
      <c r="N470" s="14">
        <f>'PIVOT TABLES'!$I$27-'PIVOT TABLES'!$I$26</f>
        <v>32.802000000000007</v>
      </c>
      <c r="O470" s="14">
        <f>'PIVOT TABLES'!$I$28-'PIVOT TABLES'!$I$27</f>
        <v>32.801999999999992</v>
      </c>
      <c r="P470" s="14">
        <f>200-SUM(Table3[[#This Row],[M - LIGHT]:[M - VIGOROUS]])</f>
        <v>68.792000000000002</v>
      </c>
      <c r="Q470" s="14">
        <f>'PIVOT TABLES'!$P$26</f>
        <v>62.64</v>
      </c>
      <c r="R470" s="14">
        <f>'PIVOT TABLES'!$P$27-'PIVOT TABLES'!$P$26</f>
        <v>31.320000000000007</v>
      </c>
      <c r="S470" s="14">
        <f>'PIVOT TABLES'!$P$28-'PIVOT TABLES'!$P$27</f>
        <v>31.319999999999993</v>
      </c>
      <c r="T470" s="14">
        <f>200-SUM(Table3[[#This Row],[W - LIGHT]:[W - VIGOROUS]])</f>
        <v>74.72</v>
      </c>
      <c r="U470" s="14">
        <f>'PIVOT TABLES'!$W$26</f>
        <v>55.895999999999994</v>
      </c>
      <c r="V470" s="14">
        <f>'PIVOT TABLES'!$W$27-'PIVOT TABLES'!$W$26</f>
        <v>27.948</v>
      </c>
      <c r="W470" s="14">
        <f>'PIVOT TABLES'!$W$28-'PIVOT TABLES'!$W$27</f>
        <v>27.947999999999993</v>
      </c>
      <c r="X470" s="14">
        <f>200-SUM(Table3[[#This Row],[S - LIGHT]:[S - VIGOROUS]])</f>
        <v>88.208000000000013</v>
      </c>
    </row>
    <row r="471" spans="1:24" x14ac:dyDescent="0.25">
      <c r="A471" s="17" t="s">
        <v>6</v>
      </c>
      <c r="B471" s="13" t="str">
        <f t="shared" si="7"/>
        <v>Midfielder</v>
      </c>
      <c r="C471" s="7">
        <v>45316.442106481481</v>
      </c>
      <c r="D471" s="14">
        <v>7292</v>
      </c>
      <c r="E471" s="14">
        <v>14</v>
      </c>
      <c r="F471" s="14">
        <v>52</v>
      </c>
      <c r="G471" s="14">
        <v>41</v>
      </c>
      <c r="H471" s="14">
        <v>76.239999999999995</v>
      </c>
      <c r="I471" s="14">
        <f>'PIVOT TABLES'!$B$26</f>
        <v>60.283999999999999</v>
      </c>
      <c r="J471" s="14">
        <f>'PIVOT TABLES'!$B$27-'PIVOT TABLES'!$B$26</f>
        <v>30.142000000000003</v>
      </c>
      <c r="K471" s="14">
        <f>'PIVOT TABLES'!$B$28-'PIVOT TABLES'!$B$27</f>
        <v>30.141999999999996</v>
      </c>
      <c r="L471" s="14">
        <f>200-SUM(Table3[[#This Row],[D - LIGHT]:[D - VIGOROUS]])</f>
        <v>79.432000000000002</v>
      </c>
      <c r="M471" s="14">
        <f>'PIVOT TABLES'!$I$26</f>
        <v>65.603999999999999</v>
      </c>
      <c r="N471" s="14">
        <f>'PIVOT TABLES'!$I$27-'PIVOT TABLES'!$I$26</f>
        <v>32.802000000000007</v>
      </c>
      <c r="O471" s="14">
        <f>'PIVOT TABLES'!$I$28-'PIVOT TABLES'!$I$27</f>
        <v>32.801999999999992</v>
      </c>
      <c r="P471" s="14">
        <f>200-SUM(Table3[[#This Row],[M - LIGHT]:[M - VIGOROUS]])</f>
        <v>68.792000000000002</v>
      </c>
      <c r="Q471" s="14">
        <f>'PIVOT TABLES'!$P$26</f>
        <v>62.64</v>
      </c>
      <c r="R471" s="14">
        <f>'PIVOT TABLES'!$P$27-'PIVOT TABLES'!$P$26</f>
        <v>31.320000000000007</v>
      </c>
      <c r="S471" s="14">
        <f>'PIVOT TABLES'!$P$28-'PIVOT TABLES'!$P$27</f>
        <v>31.319999999999993</v>
      </c>
      <c r="T471" s="14">
        <f>200-SUM(Table3[[#This Row],[W - LIGHT]:[W - VIGOROUS]])</f>
        <v>74.72</v>
      </c>
      <c r="U471" s="14">
        <f>'PIVOT TABLES'!$W$26</f>
        <v>55.895999999999994</v>
      </c>
      <c r="V471" s="14">
        <f>'PIVOT TABLES'!$W$27-'PIVOT TABLES'!$W$26</f>
        <v>27.948</v>
      </c>
      <c r="W471" s="14">
        <f>'PIVOT TABLES'!$W$28-'PIVOT TABLES'!$W$27</f>
        <v>27.947999999999993</v>
      </c>
      <c r="X471" s="14">
        <f>200-SUM(Table3[[#This Row],[S - LIGHT]:[S - VIGOROUS]])</f>
        <v>88.208000000000013</v>
      </c>
    </row>
    <row r="472" spans="1:24" x14ac:dyDescent="0.25">
      <c r="A472" s="17" t="s">
        <v>62</v>
      </c>
      <c r="B472" s="13" t="str">
        <f t="shared" si="7"/>
        <v>Midfielder</v>
      </c>
      <c r="C472" s="7">
        <v>45316.442106481481</v>
      </c>
      <c r="D472" s="14">
        <v>4795</v>
      </c>
      <c r="E472" s="14">
        <v>2</v>
      </c>
      <c r="F472" s="14">
        <v>23</v>
      </c>
      <c r="G472" s="14">
        <v>13</v>
      </c>
      <c r="H472" s="14">
        <v>49.19</v>
      </c>
      <c r="I472" s="14">
        <f>'PIVOT TABLES'!$B$26</f>
        <v>60.283999999999999</v>
      </c>
      <c r="J472" s="14">
        <f>'PIVOT TABLES'!$B$27-'PIVOT TABLES'!$B$26</f>
        <v>30.142000000000003</v>
      </c>
      <c r="K472" s="14">
        <f>'PIVOT TABLES'!$B$28-'PIVOT TABLES'!$B$27</f>
        <v>30.141999999999996</v>
      </c>
      <c r="L472" s="14">
        <f>200-SUM(Table3[[#This Row],[D - LIGHT]:[D - VIGOROUS]])</f>
        <v>79.432000000000002</v>
      </c>
      <c r="M472" s="14">
        <f>'PIVOT TABLES'!$I$26</f>
        <v>65.603999999999999</v>
      </c>
      <c r="N472" s="14">
        <f>'PIVOT TABLES'!$I$27-'PIVOT TABLES'!$I$26</f>
        <v>32.802000000000007</v>
      </c>
      <c r="O472" s="14">
        <f>'PIVOT TABLES'!$I$28-'PIVOT TABLES'!$I$27</f>
        <v>32.801999999999992</v>
      </c>
      <c r="P472" s="14">
        <f>200-SUM(Table3[[#This Row],[M - LIGHT]:[M - VIGOROUS]])</f>
        <v>68.792000000000002</v>
      </c>
      <c r="Q472" s="14">
        <f>'PIVOT TABLES'!$P$26</f>
        <v>62.64</v>
      </c>
      <c r="R472" s="14">
        <f>'PIVOT TABLES'!$P$27-'PIVOT TABLES'!$P$26</f>
        <v>31.320000000000007</v>
      </c>
      <c r="S472" s="14">
        <f>'PIVOT TABLES'!$P$28-'PIVOT TABLES'!$P$27</f>
        <v>31.319999999999993</v>
      </c>
      <c r="T472" s="14">
        <f>200-SUM(Table3[[#This Row],[W - LIGHT]:[W - VIGOROUS]])</f>
        <v>74.72</v>
      </c>
      <c r="U472" s="14">
        <f>'PIVOT TABLES'!$W$26</f>
        <v>55.895999999999994</v>
      </c>
      <c r="V472" s="14">
        <f>'PIVOT TABLES'!$W$27-'PIVOT TABLES'!$W$26</f>
        <v>27.948</v>
      </c>
      <c r="W472" s="14">
        <f>'PIVOT TABLES'!$W$28-'PIVOT TABLES'!$W$27</f>
        <v>27.947999999999993</v>
      </c>
      <c r="X472" s="14">
        <f>200-SUM(Table3[[#This Row],[S - LIGHT]:[S - VIGOROUS]])</f>
        <v>88.208000000000013</v>
      </c>
    </row>
    <row r="473" spans="1:24" x14ac:dyDescent="0.25">
      <c r="A473" s="17" t="s">
        <v>64</v>
      </c>
      <c r="B473" s="13" t="str">
        <f t="shared" si="7"/>
        <v>Midfielder</v>
      </c>
      <c r="C473" s="7">
        <v>45316.442106481481</v>
      </c>
      <c r="D473" s="14">
        <v>6109</v>
      </c>
      <c r="E473" s="14">
        <v>1</v>
      </c>
      <c r="F473" s="14">
        <v>33</v>
      </c>
      <c r="G473" s="14">
        <v>32</v>
      </c>
      <c r="H473" s="14">
        <v>63.08</v>
      </c>
      <c r="I473" s="14">
        <f>'PIVOT TABLES'!$B$26</f>
        <v>60.283999999999999</v>
      </c>
      <c r="J473" s="14">
        <f>'PIVOT TABLES'!$B$27-'PIVOT TABLES'!$B$26</f>
        <v>30.142000000000003</v>
      </c>
      <c r="K473" s="14">
        <f>'PIVOT TABLES'!$B$28-'PIVOT TABLES'!$B$27</f>
        <v>30.141999999999996</v>
      </c>
      <c r="L473" s="14">
        <f>200-SUM(Table3[[#This Row],[D - LIGHT]:[D - VIGOROUS]])</f>
        <v>79.432000000000002</v>
      </c>
      <c r="M473" s="14">
        <f>'PIVOT TABLES'!$I$26</f>
        <v>65.603999999999999</v>
      </c>
      <c r="N473" s="14">
        <f>'PIVOT TABLES'!$I$27-'PIVOT TABLES'!$I$26</f>
        <v>32.802000000000007</v>
      </c>
      <c r="O473" s="14">
        <f>'PIVOT TABLES'!$I$28-'PIVOT TABLES'!$I$27</f>
        <v>32.801999999999992</v>
      </c>
      <c r="P473" s="14">
        <f>200-SUM(Table3[[#This Row],[M - LIGHT]:[M - VIGOROUS]])</f>
        <v>68.792000000000002</v>
      </c>
      <c r="Q473" s="14">
        <f>'PIVOT TABLES'!$P$26</f>
        <v>62.64</v>
      </c>
      <c r="R473" s="14">
        <f>'PIVOT TABLES'!$P$27-'PIVOT TABLES'!$P$26</f>
        <v>31.320000000000007</v>
      </c>
      <c r="S473" s="14">
        <f>'PIVOT TABLES'!$P$28-'PIVOT TABLES'!$P$27</f>
        <v>31.319999999999993</v>
      </c>
      <c r="T473" s="14">
        <f>200-SUM(Table3[[#This Row],[W - LIGHT]:[W - VIGOROUS]])</f>
        <v>74.72</v>
      </c>
      <c r="U473" s="14">
        <f>'PIVOT TABLES'!$W$26</f>
        <v>55.895999999999994</v>
      </c>
      <c r="V473" s="14">
        <f>'PIVOT TABLES'!$W$27-'PIVOT TABLES'!$W$26</f>
        <v>27.948</v>
      </c>
      <c r="W473" s="14">
        <f>'PIVOT TABLES'!$W$28-'PIVOT TABLES'!$W$27</f>
        <v>27.947999999999993</v>
      </c>
      <c r="X473" s="14">
        <f>200-SUM(Table3[[#This Row],[S - LIGHT]:[S - VIGOROUS]])</f>
        <v>88.208000000000013</v>
      </c>
    </row>
    <row r="474" spans="1:24" x14ac:dyDescent="0.25">
      <c r="A474" s="17" t="s">
        <v>66</v>
      </c>
      <c r="B474" s="13" t="str">
        <f t="shared" si="7"/>
        <v>Striker</v>
      </c>
      <c r="C474" s="7">
        <v>45316.442106481481</v>
      </c>
      <c r="D474" s="14">
        <v>6951</v>
      </c>
      <c r="E474" s="14">
        <v>14</v>
      </c>
      <c r="F474" s="14">
        <v>49</v>
      </c>
      <c r="G474" s="14">
        <v>42</v>
      </c>
      <c r="H474" s="14">
        <v>72.73</v>
      </c>
      <c r="I474" s="14">
        <f>'PIVOT TABLES'!$B$26</f>
        <v>60.283999999999999</v>
      </c>
      <c r="J474" s="14">
        <f>'PIVOT TABLES'!$B$27-'PIVOT TABLES'!$B$26</f>
        <v>30.142000000000003</v>
      </c>
      <c r="K474" s="14">
        <f>'PIVOT TABLES'!$B$28-'PIVOT TABLES'!$B$27</f>
        <v>30.141999999999996</v>
      </c>
      <c r="L474" s="14">
        <f>200-SUM(Table3[[#This Row],[D - LIGHT]:[D - VIGOROUS]])</f>
        <v>79.432000000000002</v>
      </c>
      <c r="M474" s="14">
        <f>'PIVOT TABLES'!$I$26</f>
        <v>65.603999999999999</v>
      </c>
      <c r="N474" s="14">
        <f>'PIVOT TABLES'!$I$27-'PIVOT TABLES'!$I$26</f>
        <v>32.802000000000007</v>
      </c>
      <c r="O474" s="14">
        <f>'PIVOT TABLES'!$I$28-'PIVOT TABLES'!$I$27</f>
        <v>32.801999999999992</v>
      </c>
      <c r="P474" s="14">
        <f>200-SUM(Table3[[#This Row],[M - LIGHT]:[M - VIGOROUS]])</f>
        <v>68.792000000000002</v>
      </c>
      <c r="Q474" s="14">
        <f>'PIVOT TABLES'!$P$26</f>
        <v>62.64</v>
      </c>
      <c r="R474" s="14">
        <f>'PIVOT TABLES'!$P$27-'PIVOT TABLES'!$P$26</f>
        <v>31.320000000000007</v>
      </c>
      <c r="S474" s="14">
        <f>'PIVOT TABLES'!$P$28-'PIVOT TABLES'!$P$27</f>
        <v>31.319999999999993</v>
      </c>
      <c r="T474" s="14">
        <f>200-SUM(Table3[[#This Row],[W - LIGHT]:[W - VIGOROUS]])</f>
        <v>74.72</v>
      </c>
      <c r="U474" s="14">
        <f>'PIVOT TABLES'!$W$26</f>
        <v>55.895999999999994</v>
      </c>
      <c r="V474" s="14">
        <f>'PIVOT TABLES'!$W$27-'PIVOT TABLES'!$W$26</f>
        <v>27.948</v>
      </c>
      <c r="W474" s="14">
        <f>'PIVOT TABLES'!$W$28-'PIVOT TABLES'!$W$27</f>
        <v>27.947999999999993</v>
      </c>
      <c r="X474" s="14">
        <f>200-SUM(Table3[[#This Row],[S - LIGHT]:[S - VIGOROUS]])</f>
        <v>88.208000000000013</v>
      </c>
    </row>
    <row r="475" spans="1:24" x14ac:dyDescent="0.25">
      <c r="A475" s="17" t="s">
        <v>8</v>
      </c>
      <c r="B475" s="13" t="str">
        <f t="shared" si="7"/>
        <v>Striker</v>
      </c>
      <c r="C475" s="7">
        <v>45316.442106481481</v>
      </c>
      <c r="D475" s="14">
        <v>6906</v>
      </c>
      <c r="E475" s="14">
        <v>29</v>
      </c>
      <c r="F475" s="14">
        <v>53</v>
      </c>
      <c r="G475" s="14">
        <v>51</v>
      </c>
      <c r="H475" s="14">
        <v>73.069999999999993</v>
      </c>
      <c r="I475" s="14">
        <f>'PIVOT TABLES'!$B$26</f>
        <v>60.283999999999999</v>
      </c>
      <c r="J475" s="14">
        <f>'PIVOT TABLES'!$B$27-'PIVOT TABLES'!$B$26</f>
        <v>30.142000000000003</v>
      </c>
      <c r="K475" s="14">
        <f>'PIVOT TABLES'!$B$28-'PIVOT TABLES'!$B$27</f>
        <v>30.141999999999996</v>
      </c>
      <c r="L475" s="14">
        <f>200-SUM(Table3[[#This Row],[D - LIGHT]:[D - VIGOROUS]])</f>
        <v>79.432000000000002</v>
      </c>
      <c r="M475" s="14">
        <f>'PIVOT TABLES'!$I$26</f>
        <v>65.603999999999999</v>
      </c>
      <c r="N475" s="14">
        <f>'PIVOT TABLES'!$I$27-'PIVOT TABLES'!$I$26</f>
        <v>32.802000000000007</v>
      </c>
      <c r="O475" s="14">
        <f>'PIVOT TABLES'!$I$28-'PIVOT TABLES'!$I$27</f>
        <v>32.801999999999992</v>
      </c>
      <c r="P475" s="14">
        <f>200-SUM(Table3[[#This Row],[M - LIGHT]:[M - VIGOROUS]])</f>
        <v>68.792000000000002</v>
      </c>
      <c r="Q475" s="14">
        <f>'PIVOT TABLES'!$P$26</f>
        <v>62.64</v>
      </c>
      <c r="R475" s="14">
        <f>'PIVOT TABLES'!$P$27-'PIVOT TABLES'!$P$26</f>
        <v>31.320000000000007</v>
      </c>
      <c r="S475" s="14">
        <f>'PIVOT TABLES'!$P$28-'PIVOT TABLES'!$P$27</f>
        <v>31.319999999999993</v>
      </c>
      <c r="T475" s="14">
        <f>200-SUM(Table3[[#This Row],[W - LIGHT]:[W - VIGOROUS]])</f>
        <v>74.72</v>
      </c>
      <c r="U475" s="14">
        <f>'PIVOT TABLES'!$W$26</f>
        <v>55.895999999999994</v>
      </c>
      <c r="V475" s="14">
        <f>'PIVOT TABLES'!$W$27-'PIVOT TABLES'!$W$26</f>
        <v>27.948</v>
      </c>
      <c r="W475" s="14">
        <f>'PIVOT TABLES'!$W$28-'PIVOT TABLES'!$W$27</f>
        <v>27.947999999999993</v>
      </c>
      <c r="X475" s="14">
        <f>200-SUM(Table3[[#This Row],[S - LIGHT]:[S - VIGOROUS]])</f>
        <v>88.208000000000013</v>
      </c>
    </row>
    <row r="476" spans="1:24" x14ac:dyDescent="0.25">
      <c r="A476" s="17" t="s">
        <v>67</v>
      </c>
      <c r="B476" s="13" t="str">
        <f t="shared" si="7"/>
        <v>Midfielder</v>
      </c>
      <c r="C476" s="7">
        <v>45316.442106481481</v>
      </c>
      <c r="D476" s="14">
        <v>7146</v>
      </c>
      <c r="E476" s="14">
        <v>33</v>
      </c>
      <c r="F476" s="14">
        <v>62</v>
      </c>
      <c r="G476" s="14">
        <v>30</v>
      </c>
      <c r="H476" s="14">
        <v>75.53</v>
      </c>
      <c r="I476" s="14">
        <f>'PIVOT TABLES'!$B$26</f>
        <v>60.283999999999999</v>
      </c>
      <c r="J476" s="14">
        <f>'PIVOT TABLES'!$B$27-'PIVOT TABLES'!$B$26</f>
        <v>30.142000000000003</v>
      </c>
      <c r="K476" s="14">
        <f>'PIVOT TABLES'!$B$28-'PIVOT TABLES'!$B$27</f>
        <v>30.141999999999996</v>
      </c>
      <c r="L476" s="14">
        <f>200-SUM(Table3[[#This Row],[D - LIGHT]:[D - VIGOROUS]])</f>
        <v>79.432000000000002</v>
      </c>
      <c r="M476" s="14">
        <f>'PIVOT TABLES'!$I$26</f>
        <v>65.603999999999999</v>
      </c>
      <c r="N476" s="14">
        <f>'PIVOT TABLES'!$I$27-'PIVOT TABLES'!$I$26</f>
        <v>32.802000000000007</v>
      </c>
      <c r="O476" s="14">
        <f>'PIVOT TABLES'!$I$28-'PIVOT TABLES'!$I$27</f>
        <v>32.801999999999992</v>
      </c>
      <c r="P476" s="14">
        <f>200-SUM(Table3[[#This Row],[M - LIGHT]:[M - VIGOROUS]])</f>
        <v>68.792000000000002</v>
      </c>
      <c r="Q476" s="14">
        <f>'PIVOT TABLES'!$P$26</f>
        <v>62.64</v>
      </c>
      <c r="R476" s="14">
        <f>'PIVOT TABLES'!$P$27-'PIVOT TABLES'!$P$26</f>
        <v>31.320000000000007</v>
      </c>
      <c r="S476" s="14">
        <f>'PIVOT TABLES'!$P$28-'PIVOT TABLES'!$P$27</f>
        <v>31.319999999999993</v>
      </c>
      <c r="T476" s="14">
        <f>200-SUM(Table3[[#This Row],[W - LIGHT]:[W - VIGOROUS]])</f>
        <v>74.72</v>
      </c>
      <c r="U476" s="14">
        <f>'PIVOT TABLES'!$W$26</f>
        <v>55.895999999999994</v>
      </c>
      <c r="V476" s="14">
        <f>'PIVOT TABLES'!$W$27-'PIVOT TABLES'!$W$26</f>
        <v>27.948</v>
      </c>
      <c r="W476" s="14">
        <f>'PIVOT TABLES'!$W$28-'PIVOT TABLES'!$W$27</f>
        <v>27.947999999999993</v>
      </c>
      <c r="X476" s="14">
        <f>200-SUM(Table3[[#This Row],[S - LIGHT]:[S - VIGOROUS]])</f>
        <v>88.208000000000013</v>
      </c>
    </row>
    <row r="477" spans="1:24" x14ac:dyDescent="0.25">
      <c r="A477" s="17" t="s">
        <v>9</v>
      </c>
      <c r="B477" s="13" t="str">
        <f t="shared" si="7"/>
        <v>Striker</v>
      </c>
      <c r="C477" s="7">
        <v>45316.442106481481</v>
      </c>
      <c r="D477" s="14">
        <v>6328</v>
      </c>
      <c r="E477" s="14">
        <v>42</v>
      </c>
      <c r="F477" s="14">
        <v>26</v>
      </c>
      <c r="G477" s="14">
        <v>26</v>
      </c>
      <c r="H477" s="14">
        <v>66.099999999999994</v>
      </c>
      <c r="I477" s="14">
        <f>'PIVOT TABLES'!$B$26</f>
        <v>60.283999999999999</v>
      </c>
      <c r="J477" s="14">
        <f>'PIVOT TABLES'!$B$27-'PIVOT TABLES'!$B$26</f>
        <v>30.142000000000003</v>
      </c>
      <c r="K477" s="14">
        <f>'PIVOT TABLES'!$B$28-'PIVOT TABLES'!$B$27</f>
        <v>30.141999999999996</v>
      </c>
      <c r="L477" s="14">
        <f>200-SUM(Table3[[#This Row],[D - LIGHT]:[D - VIGOROUS]])</f>
        <v>79.432000000000002</v>
      </c>
      <c r="M477" s="14">
        <f>'PIVOT TABLES'!$I$26</f>
        <v>65.603999999999999</v>
      </c>
      <c r="N477" s="14">
        <f>'PIVOT TABLES'!$I$27-'PIVOT TABLES'!$I$26</f>
        <v>32.802000000000007</v>
      </c>
      <c r="O477" s="14">
        <f>'PIVOT TABLES'!$I$28-'PIVOT TABLES'!$I$27</f>
        <v>32.801999999999992</v>
      </c>
      <c r="P477" s="14">
        <f>200-SUM(Table3[[#This Row],[M - LIGHT]:[M - VIGOROUS]])</f>
        <v>68.792000000000002</v>
      </c>
      <c r="Q477" s="14">
        <f>'PIVOT TABLES'!$P$26</f>
        <v>62.64</v>
      </c>
      <c r="R477" s="14">
        <f>'PIVOT TABLES'!$P$27-'PIVOT TABLES'!$P$26</f>
        <v>31.320000000000007</v>
      </c>
      <c r="S477" s="14">
        <f>'PIVOT TABLES'!$P$28-'PIVOT TABLES'!$P$27</f>
        <v>31.319999999999993</v>
      </c>
      <c r="T477" s="14">
        <f>200-SUM(Table3[[#This Row],[W - LIGHT]:[W - VIGOROUS]])</f>
        <v>74.72</v>
      </c>
      <c r="U477" s="14">
        <f>'PIVOT TABLES'!$W$26</f>
        <v>55.895999999999994</v>
      </c>
      <c r="V477" s="14">
        <f>'PIVOT TABLES'!$W$27-'PIVOT TABLES'!$W$26</f>
        <v>27.948</v>
      </c>
      <c r="W477" s="14">
        <f>'PIVOT TABLES'!$W$28-'PIVOT TABLES'!$W$27</f>
        <v>27.947999999999993</v>
      </c>
      <c r="X477" s="14">
        <f>200-SUM(Table3[[#This Row],[S - LIGHT]:[S - VIGOROUS]])</f>
        <v>88.208000000000013</v>
      </c>
    </row>
    <row r="478" spans="1:24" x14ac:dyDescent="0.25">
      <c r="A478" s="17" t="s">
        <v>69</v>
      </c>
      <c r="B478" s="13" t="str">
        <f t="shared" si="7"/>
        <v>Midfielder</v>
      </c>
      <c r="C478" s="7">
        <v>45316.442106481481</v>
      </c>
      <c r="D478" s="14">
        <v>6486</v>
      </c>
      <c r="E478" s="14">
        <v>95</v>
      </c>
      <c r="F478" s="14">
        <v>54</v>
      </c>
      <c r="G478" s="14">
        <v>54</v>
      </c>
      <c r="H478" s="14">
        <v>70.95</v>
      </c>
      <c r="I478" s="14">
        <f>'PIVOT TABLES'!$B$26</f>
        <v>60.283999999999999</v>
      </c>
      <c r="J478" s="14">
        <f>'PIVOT TABLES'!$B$27-'PIVOT TABLES'!$B$26</f>
        <v>30.142000000000003</v>
      </c>
      <c r="K478" s="14">
        <f>'PIVOT TABLES'!$B$28-'PIVOT TABLES'!$B$27</f>
        <v>30.141999999999996</v>
      </c>
      <c r="L478" s="14">
        <f>200-SUM(Table3[[#This Row],[D - LIGHT]:[D - VIGOROUS]])</f>
        <v>79.432000000000002</v>
      </c>
      <c r="M478" s="14">
        <f>'PIVOT TABLES'!$I$26</f>
        <v>65.603999999999999</v>
      </c>
      <c r="N478" s="14">
        <f>'PIVOT TABLES'!$I$27-'PIVOT TABLES'!$I$26</f>
        <v>32.802000000000007</v>
      </c>
      <c r="O478" s="14">
        <f>'PIVOT TABLES'!$I$28-'PIVOT TABLES'!$I$27</f>
        <v>32.801999999999992</v>
      </c>
      <c r="P478" s="14">
        <f>200-SUM(Table3[[#This Row],[M - LIGHT]:[M - VIGOROUS]])</f>
        <v>68.792000000000002</v>
      </c>
      <c r="Q478" s="14">
        <f>'PIVOT TABLES'!$P$26</f>
        <v>62.64</v>
      </c>
      <c r="R478" s="14">
        <f>'PIVOT TABLES'!$P$27-'PIVOT TABLES'!$P$26</f>
        <v>31.320000000000007</v>
      </c>
      <c r="S478" s="14">
        <f>'PIVOT TABLES'!$P$28-'PIVOT TABLES'!$P$27</f>
        <v>31.319999999999993</v>
      </c>
      <c r="T478" s="14">
        <f>200-SUM(Table3[[#This Row],[W - LIGHT]:[W - VIGOROUS]])</f>
        <v>74.72</v>
      </c>
      <c r="U478" s="14">
        <f>'PIVOT TABLES'!$W$26</f>
        <v>55.895999999999994</v>
      </c>
      <c r="V478" s="14">
        <f>'PIVOT TABLES'!$W$27-'PIVOT TABLES'!$W$26</f>
        <v>27.948</v>
      </c>
      <c r="W478" s="14">
        <f>'PIVOT TABLES'!$W$28-'PIVOT TABLES'!$W$27</f>
        <v>27.947999999999993</v>
      </c>
      <c r="X478" s="14">
        <f>200-SUM(Table3[[#This Row],[S - LIGHT]:[S - VIGOROUS]])</f>
        <v>88.208000000000013</v>
      </c>
    </row>
    <row r="479" spans="1:24" x14ac:dyDescent="0.25">
      <c r="A479" s="17" t="s">
        <v>53</v>
      </c>
      <c r="B479" s="13" t="str">
        <f t="shared" si="7"/>
        <v>Midfielder</v>
      </c>
      <c r="C479" s="7">
        <v>45317.425243055557</v>
      </c>
      <c r="D479" s="14">
        <v>3835</v>
      </c>
      <c r="E479" s="14">
        <v>0</v>
      </c>
      <c r="F479" s="14">
        <v>8</v>
      </c>
      <c r="G479" s="14">
        <v>17</v>
      </c>
      <c r="H479" s="14">
        <v>39.01</v>
      </c>
      <c r="I479" s="14">
        <f>'PIVOT TABLES'!$B$26</f>
        <v>60.283999999999999</v>
      </c>
      <c r="J479" s="14">
        <f>'PIVOT TABLES'!$B$27-'PIVOT TABLES'!$B$26</f>
        <v>30.142000000000003</v>
      </c>
      <c r="K479" s="14">
        <f>'PIVOT TABLES'!$B$28-'PIVOT TABLES'!$B$27</f>
        <v>30.141999999999996</v>
      </c>
      <c r="L479" s="14">
        <f>200-SUM(Table3[[#This Row],[D - LIGHT]:[D - VIGOROUS]])</f>
        <v>79.432000000000002</v>
      </c>
      <c r="M479" s="14">
        <f>'PIVOT TABLES'!$I$26</f>
        <v>65.603999999999999</v>
      </c>
      <c r="N479" s="14">
        <f>'PIVOT TABLES'!$I$27-'PIVOT TABLES'!$I$26</f>
        <v>32.802000000000007</v>
      </c>
      <c r="O479" s="14">
        <f>'PIVOT TABLES'!$I$28-'PIVOT TABLES'!$I$27</f>
        <v>32.801999999999992</v>
      </c>
      <c r="P479" s="14">
        <f>200-SUM(Table3[[#This Row],[M - LIGHT]:[M - VIGOROUS]])</f>
        <v>68.792000000000002</v>
      </c>
      <c r="Q479" s="14">
        <f>'PIVOT TABLES'!$P$26</f>
        <v>62.64</v>
      </c>
      <c r="R479" s="14">
        <f>'PIVOT TABLES'!$P$27-'PIVOT TABLES'!$P$26</f>
        <v>31.320000000000007</v>
      </c>
      <c r="S479" s="14">
        <f>'PIVOT TABLES'!$P$28-'PIVOT TABLES'!$P$27</f>
        <v>31.319999999999993</v>
      </c>
      <c r="T479" s="14">
        <f>200-SUM(Table3[[#This Row],[W - LIGHT]:[W - VIGOROUS]])</f>
        <v>74.72</v>
      </c>
      <c r="U479" s="14">
        <f>'PIVOT TABLES'!$W$26</f>
        <v>55.895999999999994</v>
      </c>
      <c r="V479" s="14">
        <f>'PIVOT TABLES'!$W$27-'PIVOT TABLES'!$W$26</f>
        <v>27.948</v>
      </c>
      <c r="W479" s="14">
        <f>'PIVOT TABLES'!$W$28-'PIVOT TABLES'!$W$27</f>
        <v>27.947999999999993</v>
      </c>
      <c r="X479" s="14">
        <f>200-SUM(Table3[[#This Row],[S - LIGHT]:[S - VIGOROUS]])</f>
        <v>88.208000000000013</v>
      </c>
    </row>
    <row r="480" spans="1:24" x14ac:dyDescent="0.25">
      <c r="A480" s="17" t="s">
        <v>54</v>
      </c>
      <c r="B480" s="13" t="str">
        <f t="shared" si="7"/>
        <v>Striker</v>
      </c>
      <c r="C480" s="7">
        <v>45317.425243055557</v>
      </c>
      <c r="D480" s="14">
        <v>4051</v>
      </c>
      <c r="E480" s="14">
        <v>18</v>
      </c>
      <c r="F480" s="14">
        <v>11</v>
      </c>
      <c r="G480" s="14">
        <v>24</v>
      </c>
      <c r="H480" s="14">
        <v>41.97</v>
      </c>
      <c r="I480" s="14">
        <f>'PIVOT TABLES'!$B$26</f>
        <v>60.283999999999999</v>
      </c>
      <c r="J480" s="14">
        <f>'PIVOT TABLES'!$B$27-'PIVOT TABLES'!$B$26</f>
        <v>30.142000000000003</v>
      </c>
      <c r="K480" s="14">
        <f>'PIVOT TABLES'!$B$28-'PIVOT TABLES'!$B$27</f>
        <v>30.141999999999996</v>
      </c>
      <c r="L480" s="14">
        <f>200-SUM(Table3[[#This Row],[D - LIGHT]:[D - VIGOROUS]])</f>
        <v>79.432000000000002</v>
      </c>
      <c r="M480" s="14">
        <f>'PIVOT TABLES'!$I$26</f>
        <v>65.603999999999999</v>
      </c>
      <c r="N480" s="14">
        <f>'PIVOT TABLES'!$I$27-'PIVOT TABLES'!$I$26</f>
        <v>32.802000000000007</v>
      </c>
      <c r="O480" s="14">
        <f>'PIVOT TABLES'!$I$28-'PIVOT TABLES'!$I$27</f>
        <v>32.801999999999992</v>
      </c>
      <c r="P480" s="14">
        <f>200-SUM(Table3[[#This Row],[M - LIGHT]:[M - VIGOROUS]])</f>
        <v>68.792000000000002</v>
      </c>
      <c r="Q480" s="14">
        <f>'PIVOT TABLES'!$P$26</f>
        <v>62.64</v>
      </c>
      <c r="R480" s="14">
        <f>'PIVOT TABLES'!$P$27-'PIVOT TABLES'!$P$26</f>
        <v>31.320000000000007</v>
      </c>
      <c r="S480" s="14">
        <f>'PIVOT TABLES'!$P$28-'PIVOT TABLES'!$P$27</f>
        <v>31.319999999999993</v>
      </c>
      <c r="T480" s="14">
        <f>200-SUM(Table3[[#This Row],[W - LIGHT]:[W - VIGOROUS]])</f>
        <v>74.72</v>
      </c>
      <c r="U480" s="14">
        <f>'PIVOT TABLES'!$W$26</f>
        <v>55.895999999999994</v>
      </c>
      <c r="V480" s="14">
        <f>'PIVOT TABLES'!$W$27-'PIVOT TABLES'!$W$26</f>
        <v>27.948</v>
      </c>
      <c r="W480" s="14">
        <f>'PIVOT TABLES'!$W$28-'PIVOT TABLES'!$W$27</f>
        <v>27.947999999999993</v>
      </c>
      <c r="X480" s="14">
        <f>200-SUM(Table3[[#This Row],[S - LIGHT]:[S - VIGOROUS]])</f>
        <v>88.208000000000013</v>
      </c>
    </row>
    <row r="481" spans="1:24" x14ac:dyDescent="0.25">
      <c r="A481" s="17" t="s">
        <v>55</v>
      </c>
      <c r="B481" s="13" t="str">
        <f t="shared" si="7"/>
        <v>Striker</v>
      </c>
      <c r="C481" s="7">
        <v>45317.425243055557</v>
      </c>
      <c r="D481" s="14">
        <v>3387</v>
      </c>
      <c r="E481" s="14">
        <v>4</v>
      </c>
      <c r="F481" s="14">
        <v>5</v>
      </c>
      <c r="G481" s="14">
        <v>17</v>
      </c>
      <c r="H481" s="14">
        <v>34.53</v>
      </c>
      <c r="I481" s="14">
        <f>'PIVOT TABLES'!$B$26</f>
        <v>60.283999999999999</v>
      </c>
      <c r="J481" s="14">
        <f>'PIVOT TABLES'!$B$27-'PIVOT TABLES'!$B$26</f>
        <v>30.142000000000003</v>
      </c>
      <c r="K481" s="14">
        <f>'PIVOT TABLES'!$B$28-'PIVOT TABLES'!$B$27</f>
        <v>30.141999999999996</v>
      </c>
      <c r="L481" s="14">
        <f>200-SUM(Table3[[#This Row],[D - LIGHT]:[D - VIGOROUS]])</f>
        <v>79.432000000000002</v>
      </c>
      <c r="M481" s="14">
        <f>'PIVOT TABLES'!$I$26</f>
        <v>65.603999999999999</v>
      </c>
      <c r="N481" s="14">
        <f>'PIVOT TABLES'!$I$27-'PIVOT TABLES'!$I$26</f>
        <v>32.802000000000007</v>
      </c>
      <c r="O481" s="14">
        <f>'PIVOT TABLES'!$I$28-'PIVOT TABLES'!$I$27</f>
        <v>32.801999999999992</v>
      </c>
      <c r="P481" s="14">
        <f>200-SUM(Table3[[#This Row],[M - LIGHT]:[M - VIGOROUS]])</f>
        <v>68.792000000000002</v>
      </c>
      <c r="Q481" s="14">
        <f>'PIVOT TABLES'!$P$26</f>
        <v>62.64</v>
      </c>
      <c r="R481" s="14">
        <f>'PIVOT TABLES'!$P$27-'PIVOT TABLES'!$P$26</f>
        <v>31.320000000000007</v>
      </c>
      <c r="S481" s="14">
        <f>'PIVOT TABLES'!$P$28-'PIVOT TABLES'!$P$27</f>
        <v>31.319999999999993</v>
      </c>
      <c r="T481" s="14">
        <f>200-SUM(Table3[[#This Row],[W - LIGHT]:[W - VIGOROUS]])</f>
        <v>74.72</v>
      </c>
      <c r="U481" s="14">
        <f>'PIVOT TABLES'!$W$26</f>
        <v>55.895999999999994</v>
      </c>
      <c r="V481" s="14">
        <f>'PIVOT TABLES'!$W$27-'PIVOT TABLES'!$W$26</f>
        <v>27.948</v>
      </c>
      <c r="W481" s="14">
        <f>'PIVOT TABLES'!$W$28-'PIVOT TABLES'!$W$27</f>
        <v>27.947999999999993</v>
      </c>
      <c r="X481" s="14">
        <f>200-SUM(Table3[[#This Row],[S - LIGHT]:[S - VIGOROUS]])</f>
        <v>88.208000000000013</v>
      </c>
    </row>
    <row r="482" spans="1:24" x14ac:dyDescent="0.25">
      <c r="A482" s="17" t="s">
        <v>1</v>
      </c>
      <c r="B482" s="13" t="str">
        <f t="shared" si="7"/>
        <v>Defender</v>
      </c>
      <c r="C482" s="7">
        <v>45317.425243055557</v>
      </c>
      <c r="D482" s="14">
        <v>3328</v>
      </c>
      <c r="E482" s="14">
        <v>19</v>
      </c>
      <c r="F482" s="14">
        <v>14</v>
      </c>
      <c r="G482" s="14">
        <v>26</v>
      </c>
      <c r="H482" s="14">
        <v>34.93</v>
      </c>
      <c r="I482" s="14">
        <f>'PIVOT TABLES'!$B$26</f>
        <v>60.283999999999999</v>
      </c>
      <c r="J482" s="14">
        <f>'PIVOT TABLES'!$B$27-'PIVOT TABLES'!$B$26</f>
        <v>30.142000000000003</v>
      </c>
      <c r="K482" s="14">
        <f>'PIVOT TABLES'!$B$28-'PIVOT TABLES'!$B$27</f>
        <v>30.141999999999996</v>
      </c>
      <c r="L482" s="14">
        <f>200-SUM(Table3[[#This Row],[D - LIGHT]:[D - VIGOROUS]])</f>
        <v>79.432000000000002</v>
      </c>
      <c r="M482" s="14">
        <f>'PIVOT TABLES'!$I$26</f>
        <v>65.603999999999999</v>
      </c>
      <c r="N482" s="14">
        <f>'PIVOT TABLES'!$I$27-'PIVOT TABLES'!$I$26</f>
        <v>32.802000000000007</v>
      </c>
      <c r="O482" s="14">
        <f>'PIVOT TABLES'!$I$28-'PIVOT TABLES'!$I$27</f>
        <v>32.801999999999992</v>
      </c>
      <c r="P482" s="14">
        <f>200-SUM(Table3[[#This Row],[M - LIGHT]:[M - VIGOROUS]])</f>
        <v>68.792000000000002</v>
      </c>
      <c r="Q482" s="14">
        <f>'PIVOT TABLES'!$P$26</f>
        <v>62.64</v>
      </c>
      <c r="R482" s="14">
        <f>'PIVOT TABLES'!$P$27-'PIVOT TABLES'!$P$26</f>
        <v>31.320000000000007</v>
      </c>
      <c r="S482" s="14">
        <f>'PIVOT TABLES'!$P$28-'PIVOT TABLES'!$P$27</f>
        <v>31.319999999999993</v>
      </c>
      <c r="T482" s="14">
        <f>200-SUM(Table3[[#This Row],[W - LIGHT]:[W - VIGOROUS]])</f>
        <v>74.72</v>
      </c>
      <c r="U482" s="14">
        <f>'PIVOT TABLES'!$W$26</f>
        <v>55.895999999999994</v>
      </c>
      <c r="V482" s="14">
        <f>'PIVOT TABLES'!$W$27-'PIVOT TABLES'!$W$26</f>
        <v>27.948</v>
      </c>
      <c r="W482" s="14">
        <f>'PIVOT TABLES'!$W$28-'PIVOT TABLES'!$W$27</f>
        <v>27.947999999999993</v>
      </c>
      <c r="X482" s="14">
        <f>200-SUM(Table3[[#This Row],[S - LIGHT]:[S - VIGOROUS]])</f>
        <v>88.208000000000013</v>
      </c>
    </row>
    <row r="483" spans="1:24" x14ac:dyDescent="0.25">
      <c r="A483" s="17" t="s">
        <v>56</v>
      </c>
      <c r="B483" s="13" t="str">
        <f t="shared" si="7"/>
        <v>Midfielder</v>
      </c>
      <c r="C483" s="7">
        <v>45317.425243055557</v>
      </c>
      <c r="D483" s="14">
        <v>3693</v>
      </c>
      <c r="E483" s="14">
        <v>4</v>
      </c>
      <c r="F483" s="14">
        <v>7</v>
      </c>
      <c r="G483" s="14">
        <v>11</v>
      </c>
      <c r="H483" s="14">
        <v>37.549999999999997</v>
      </c>
      <c r="I483" s="14">
        <f>'PIVOT TABLES'!$B$26</f>
        <v>60.283999999999999</v>
      </c>
      <c r="J483" s="14">
        <f>'PIVOT TABLES'!$B$27-'PIVOT TABLES'!$B$26</f>
        <v>30.142000000000003</v>
      </c>
      <c r="K483" s="14">
        <f>'PIVOT TABLES'!$B$28-'PIVOT TABLES'!$B$27</f>
        <v>30.141999999999996</v>
      </c>
      <c r="L483" s="14">
        <f>200-SUM(Table3[[#This Row],[D - LIGHT]:[D - VIGOROUS]])</f>
        <v>79.432000000000002</v>
      </c>
      <c r="M483" s="14">
        <f>'PIVOT TABLES'!$I$26</f>
        <v>65.603999999999999</v>
      </c>
      <c r="N483" s="14">
        <f>'PIVOT TABLES'!$I$27-'PIVOT TABLES'!$I$26</f>
        <v>32.802000000000007</v>
      </c>
      <c r="O483" s="14">
        <f>'PIVOT TABLES'!$I$28-'PIVOT TABLES'!$I$27</f>
        <v>32.801999999999992</v>
      </c>
      <c r="P483" s="14">
        <f>200-SUM(Table3[[#This Row],[M - LIGHT]:[M - VIGOROUS]])</f>
        <v>68.792000000000002</v>
      </c>
      <c r="Q483" s="14">
        <f>'PIVOT TABLES'!$P$26</f>
        <v>62.64</v>
      </c>
      <c r="R483" s="14">
        <f>'PIVOT TABLES'!$P$27-'PIVOT TABLES'!$P$26</f>
        <v>31.320000000000007</v>
      </c>
      <c r="S483" s="14">
        <f>'PIVOT TABLES'!$P$28-'PIVOT TABLES'!$P$27</f>
        <v>31.319999999999993</v>
      </c>
      <c r="T483" s="14">
        <f>200-SUM(Table3[[#This Row],[W - LIGHT]:[W - VIGOROUS]])</f>
        <v>74.72</v>
      </c>
      <c r="U483" s="14">
        <f>'PIVOT TABLES'!$W$26</f>
        <v>55.895999999999994</v>
      </c>
      <c r="V483" s="14">
        <f>'PIVOT TABLES'!$W$27-'PIVOT TABLES'!$W$26</f>
        <v>27.948</v>
      </c>
      <c r="W483" s="14">
        <f>'PIVOT TABLES'!$W$28-'PIVOT TABLES'!$W$27</f>
        <v>27.947999999999993</v>
      </c>
      <c r="X483" s="14">
        <f>200-SUM(Table3[[#This Row],[S - LIGHT]:[S - VIGOROUS]])</f>
        <v>88.208000000000013</v>
      </c>
    </row>
    <row r="484" spans="1:24" x14ac:dyDescent="0.25">
      <c r="A484" s="17" t="s">
        <v>2</v>
      </c>
      <c r="B484" s="13" t="str">
        <f t="shared" si="7"/>
        <v>Defender</v>
      </c>
      <c r="C484" s="7">
        <v>45317.425243055557</v>
      </c>
      <c r="D484" s="14">
        <v>4313</v>
      </c>
      <c r="E484" s="14">
        <v>3</v>
      </c>
      <c r="F484" s="14">
        <v>13</v>
      </c>
      <c r="G484" s="14">
        <v>36</v>
      </c>
      <c r="H484" s="14">
        <v>44.46</v>
      </c>
      <c r="I484" s="14">
        <f>'PIVOT TABLES'!$B$26</f>
        <v>60.283999999999999</v>
      </c>
      <c r="J484" s="14">
        <f>'PIVOT TABLES'!$B$27-'PIVOT TABLES'!$B$26</f>
        <v>30.142000000000003</v>
      </c>
      <c r="K484" s="14">
        <f>'PIVOT TABLES'!$B$28-'PIVOT TABLES'!$B$27</f>
        <v>30.141999999999996</v>
      </c>
      <c r="L484" s="14">
        <f>200-SUM(Table3[[#This Row],[D - LIGHT]:[D - VIGOROUS]])</f>
        <v>79.432000000000002</v>
      </c>
      <c r="M484" s="14">
        <f>'PIVOT TABLES'!$I$26</f>
        <v>65.603999999999999</v>
      </c>
      <c r="N484" s="14">
        <f>'PIVOT TABLES'!$I$27-'PIVOT TABLES'!$I$26</f>
        <v>32.802000000000007</v>
      </c>
      <c r="O484" s="14">
        <f>'PIVOT TABLES'!$I$28-'PIVOT TABLES'!$I$27</f>
        <v>32.801999999999992</v>
      </c>
      <c r="P484" s="14">
        <f>200-SUM(Table3[[#This Row],[M - LIGHT]:[M - VIGOROUS]])</f>
        <v>68.792000000000002</v>
      </c>
      <c r="Q484" s="14">
        <f>'PIVOT TABLES'!$P$26</f>
        <v>62.64</v>
      </c>
      <c r="R484" s="14">
        <f>'PIVOT TABLES'!$P$27-'PIVOT TABLES'!$P$26</f>
        <v>31.320000000000007</v>
      </c>
      <c r="S484" s="14">
        <f>'PIVOT TABLES'!$P$28-'PIVOT TABLES'!$P$27</f>
        <v>31.319999999999993</v>
      </c>
      <c r="T484" s="14">
        <f>200-SUM(Table3[[#This Row],[W - LIGHT]:[W - VIGOROUS]])</f>
        <v>74.72</v>
      </c>
      <c r="U484" s="14">
        <f>'PIVOT TABLES'!$W$26</f>
        <v>55.895999999999994</v>
      </c>
      <c r="V484" s="14">
        <f>'PIVOT TABLES'!$W$27-'PIVOT TABLES'!$W$26</f>
        <v>27.948</v>
      </c>
      <c r="W484" s="14">
        <f>'PIVOT TABLES'!$W$28-'PIVOT TABLES'!$W$27</f>
        <v>27.947999999999993</v>
      </c>
      <c r="X484" s="14">
        <f>200-SUM(Table3[[#This Row],[S - LIGHT]:[S - VIGOROUS]])</f>
        <v>88.208000000000013</v>
      </c>
    </row>
    <row r="485" spans="1:24" x14ac:dyDescent="0.25">
      <c r="A485" s="17" t="s">
        <v>58</v>
      </c>
      <c r="B485" s="13" t="str">
        <f t="shared" si="7"/>
        <v>Defender</v>
      </c>
      <c r="C485" s="7">
        <v>45317.425243055557</v>
      </c>
      <c r="D485" s="14">
        <v>4135</v>
      </c>
      <c r="E485" s="14">
        <v>0</v>
      </c>
      <c r="F485" s="14">
        <v>13</v>
      </c>
      <c r="G485" s="14">
        <v>19</v>
      </c>
      <c r="H485" s="14">
        <v>42.25</v>
      </c>
      <c r="I485" s="14">
        <f>'PIVOT TABLES'!$B$26</f>
        <v>60.283999999999999</v>
      </c>
      <c r="J485" s="14">
        <f>'PIVOT TABLES'!$B$27-'PIVOT TABLES'!$B$26</f>
        <v>30.142000000000003</v>
      </c>
      <c r="K485" s="14">
        <f>'PIVOT TABLES'!$B$28-'PIVOT TABLES'!$B$27</f>
        <v>30.141999999999996</v>
      </c>
      <c r="L485" s="14">
        <f>200-SUM(Table3[[#This Row],[D - LIGHT]:[D - VIGOROUS]])</f>
        <v>79.432000000000002</v>
      </c>
      <c r="M485" s="14">
        <f>'PIVOT TABLES'!$I$26</f>
        <v>65.603999999999999</v>
      </c>
      <c r="N485" s="14">
        <f>'PIVOT TABLES'!$I$27-'PIVOT TABLES'!$I$26</f>
        <v>32.802000000000007</v>
      </c>
      <c r="O485" s="14">
        <f>'PIVOT TABLES'!$I$28-'PIVOT TABLES'!$I$27</f>
        <v>32.801999999999992</v>
      </c>
      <c r="P485" s="14">
        <f>200-SUM(Table3[[#This Row],[M - LIGHT]:[M - VIGOROUS]])</f>
        <v>68.792000000000002</v>
      </c>
      <c r="Q485" s="14">
        <f>'PIVOT TABLES'!$P$26</f>
        <v>62.64</v>
      </c>
      <c r="R485" s="14">
        <f>'PIVOT TABLES'!$P$27-'PIVOT TABLES'!$P$26</f>
        <v>31.320000000000007</v>
      </c>
      <c r="S485" s="14">
        <f>'PIVOT TABLES'!$P$28-'PIVOT TABLES'!$P$27</f>
        <v>31.319999999999993</v>
      </c>
      <c r="T485" s="14">
        <f>200-SUM(Table3[[#This Row],[W - LIGHT]:[W - VIGOROUS]])</f>
        <v>74.72</v>
      </c>
      <c r="U485" s="14">
        <f>'PIVOT TABLES'!$W$26</f>
        <v>55.895999999999994</v>
      </c>
      <c r="V485" s="14">
        <f>'PIVOT TABLES'!$W$27-'PIVOT TABLES'!$W$26</f>
        <v>27.948</v>
      </c>
      <c r="W485" s="14">
        <f>'PIVOT TABLES'!$W$28-'PIVOT TABLES'!$W$27</f>
        <v>27.947999999999993</v>
      </c>
      <c r="X485" s="14">
        <f>200-SUM(Table3[[#This Row],[S - LIGHT]:[S - VIGOROUS]])</f>
        <v>88.208000000000013</v>
      </c>
    </row>
    <row r="486" spans="1:24" x14ac:dyDescent="0.25">
      <c r="A486" s="17" t="s">
        <v>94</v>
      </c>
      <c r="B486" s="13" t="str">
        <f t="shared" si="7"/>
        <v>Defender</v>
      </c>
      <c r="C486" s="7">
        <v>45317.425243055557</v>
      </c>
      <c r="D486" s="14">
        <v>4268</v>
      </c>
      <c r="E486" s="14">
        <v>0</v>
      </c>
      <c r="F486" s="14">
        <v>4</v>
      </c>
      <c r="G486" s="14">
        <v>28</v>
      </c>
      <c r="H486" s="14">
        <v>43.4</v>
      </c>
      <c r="I486" s="14">
        <f>'PIVOT TABLES'!$B$26</f>
        <v>60.283999999999999</v>
      </c>
      <c r="J486" s="14">
        <f>'PIVOT TABLES'!$B$27-'PIVOT TABLES'!$B$26</f>
        <v>30.142000000000003</v>
      </c>
      <c r="K486" s="14">
        <f>'PIVOT TABLES'!$B$28-'PIVOT TABLES'!$B$27</f>
        <v>30.141999999999996</v>
      </c>
      <c r="L486" s="14">
        <f>200-SUM(Table3[[#This Row],[D - LIGHT]:[D - VIGOROUS]])</f>
        <v>79.432000000000002</v>
      </c>
      <c r="M486" s="14">
        <f>'PIVOT TABLES'!$I$26</f>
        <v>65.603999999999999</v>
      </c>
      <c r="N486" s="14">
        <f>'PIVOT TABLES'!$I$27-'PIVOT TABLES'!$I$26</f>
        <v>32.802000000000007</v>
      </c>
      <c r="O486" s="14">
        <f>'PIVOT TABLES'!$I$28-'PIVOT TABLES'!$I$27</f>
        <v>32.801999999999992</v>
      </c>
      <c r="P486" s="14">
        <f>200-SUM(Table3[[#This Row],[M - LIGHT]:[M - VIGOROUS]])</f>
        <v>68.792000000000002</v>
      </c>
      <c r="Q486" s="14">
        <f>'PIVOT TABLES'!$P$26</f>
        <v>62.64</v>
      </c>
      <c r="R486" s="14">
        <f>'PIVOT TABLES'!$P$27-'PIVOT TABLES'!$P$26</f>
        <v>31.320000000000007</v>
      </c>
      <c r="S486" s="14">
        <f>'PIVOT TABLES'!$P$28-'PIVOT TABLES'!$P$27</f>
        <v>31.319999999999993</v>
      </c>
      <c r="T486" s="14">
        <f>200-SUM(Table3[[#This Row],[W - LIGHT]:[W - VIGOROUS]])</f>
        <v>74.72</v>
      </c>
      <c r="U486" s="14">
        <f>'PIVOT TABLES'!$W$26</f>
        <v>55.895999999999994</v>
      </c>
      <c r="V486" s="14">
        <f>'PIVOT TABLES'!$W$27-'PIVOT TABLES'!$W$26</f>
        <v>27.948</v>
      </c>
      <c r="W486" s="14">
        <f>'PIVOT TABLES'!$W$28-'PIVOT TABLES'!$W$27</f>
        <v>27.947999999999993</v>
      </c>
      <c r="X486" s="14">
        <f>200-SUM(Table3[[#This Row],[S - LIGHT]:[S - VIGOROUS]])</f>
        <v>88.208000000000013</v>
      </c>
    </row>
    <row r="487" spans="1:24" x14ac:dyDescent="0.25">
      <c r="A487" s="17" t="s">
        <v>59</v>
      </c>
      <c r="B487" s="13" t="str">
        <f t="shared" si="7"/>
        <v>Striker</v>
      </c>
      <c r="C487" s="7">
        <v>45317.425243055557</v>
      </c>
      <c r="D487" s="14">
        <v>3816</v>
      </c>
      <c r="E487" s="14">
        <v>3</v>
      </c>
      <c r="F487" s="14">
        <v>9</v>
      </c>
      <c r="G487" s="14">
        <v>23</v>
      </c>
      <c r="H487" s="14">
        <v>39.07</v>
      </c>
      <c r="I487" s="14">
        <f>'PIVOT TABLES'!$B$26</f>
        <v>60.283999999999999</v>
      </c>
      <c r="J487" s="14">
        <f>'PIVOT TABLES'!$B$27-'PIVOT TABLES'!$B$26</f>
        <v>30.142000000000003</v>
      </c>
      <c r="K487" s="14">
        <f>'PIVOT TABLES'!$B$28-'PIVOT TABLES'!$B$27</f>
        <v>30.141999999999996</v>
      </c>
      <c r="L487" s="14">
        <f>200-SUM(Table3[[#This Row],[D - LIGHT]:[D - VIGOROUS]])</f>
        <v>79.432000000000002</v>
      </c>
      <c r="M487" s="14">
        <f>'PIVOT TABLES'!$I$26</f>
        <v>65.603999999999999</v>
      </c>
      <c r="N487" s="14">
        <f>'PIVOT TABLES'!$I$27-'PIVOT TABLES'!$I$26</f>
        <v>32.802000000000007</v>
      </c>
      <c r="O487" s="14">
        <f>'PIVOT TABLES'!$I$28-'PIVOT TABLES'!$I$27</f>
        <v>32.801999999999992</v>
      </c>
      <c r="P487" s="14">
        <f>200-SUM(Table3[[#This Row],[M - LIGHT]:[M - VIGOROUS]])</f>
        <v>68.792000000000002</v>
      </c>
      <c r="Q487" s="14">
        <f>'PIVOT TABLES'!$P$26</f>
        <v>62.64</v>
      </c>
      <c r="R487" s="14">
        <f>'PIVOT TABLES'!$P$27-'PIVOT TABLES'!$P$26</f>
        <v>31.320000000000007</v>
      </c>
      <c r="S487" s="14">
        <f>'PIVOT TABLES'!$P$28-'PIVOT TABLES'!$P$27</f>
        <v>31.319999999999993</v>
      </c>
      <c r="T487" s="14">
        <f>200-SUM(Table3[[#This Row],[W - LIGHT]:[W - VIGOROUS]])</f>
        <v>74.72</v>
      </c>
      <c r="U487" s="14">
        <f>'PIVOT TABLES'!$W$26</f>
        <v>55.895999999999994</v>
      </c>
      <c r="V487" s="14">
        <f>'PIVOT TABLES'!$W$27-'PIVOT TABLES'!$W$26</f>
        <v>27.948</v>
      </c>
      <c r="W487" s="14">
        <f>'PIVOT TABLES'!$W$28-'PIVOT TABLES'!$W$27</f>
        <v>27.947999999999993</v>
      </c>
      <c r="X487" s="14">
        <f>200-SUM(Table3[[#This Row],[S - LIGHT]:[S - VIGOROUS]])</f>
        <v>88.208000000000013</v>
      </c>
    </row>
    <row r="488" spans="1:24" x14ac:dyDescent="0.25">
      <c r="A488" s="17" t="s">
        <v>4</v>
      </c>
      <c r="B488" s="13" t="str">
        <f t="shared" si="7"/>
        <v>Midfielder</v>
      </c>
      <c r="C488" s="7">
        <v>45317.425243055557</v>
      </c>
      <c r="D488" s="14">
        <v>3359</v>
      </c>
      <c r="E488" s="14">
        <v>9</v>
      </c>
      <c r="F488" s="14">
        <v>3</v>
      </c>
      <c r="G488" s="14">
        <v>7</v>
      </c>
      <c r="H488" s="14">
        <v>34.119999999999997</v>
      </c>
      <c r="I488" s="14">
        <f>'PIVOT TABLES'!$B$26</f>
        <v>60.283999999999999</v>
      </c>
      <c r="J488" s="14">
        <f>'PIVOT TABLES'!$B$27-'PIVOT TABLES'!$B$26</f>
        <v>30.142000000000003</v>
      </c>
      <c r="K488" s="14">
        <f>'PIVOT TABLES'!$B$28-'PIVOT TABLES'!$B$27</f>
        <v>30.141999999999996</v>
      </c>
      <c r="L488" s="14">
        <f>200-SUM(Table3[[#This Row],[D - LIGHT]:[D - VIGOROUS]])</f>
        <v>79.432000000000002</v>
      </c>
      <c r="M488" s="14">
        <f>'PIVOT TABLES'!$I$26</f>
        <v>65.603999999999999</v>
      </c>
      <c r="N488" s="14">
        <f>'PIVOT TABLES'!$I$27-'PIVOT TABLES'!$I$26</f>
        <v>32.802000000000007</v>
      </c>
      <c r="O488" s="14">
        <f>'PIVOT TABLES'!$I$28-'PIVOT TABLES'!$I$27</f>
        <v>32.801999999999992</v>
      </c>
      <c r="P488" s="14">
        <f>200-SUM(Table3[[#This Row],[M - LIGHT]:[M - VIGOROUS]])</f>
        <v>68.792000000000002</v>
      </c>
      <c r="Q488" s="14">
        <f>'PIVOT TABLES'!$P$26</f>
        <v>62.64</v>
      </c>
      <c r="R488" s="14">
        <f>'PIVOT TABLES'!$P$27-'PIVOT TABLES'!$P$26</f>
        <v>31.320000000000007</v>
      </c>
      <c r="S488" s="14">
        <f>'PIVOT TABLES'!$P$28-'PIVOT TABLES'!$P$27</f>
        <v>31.319999999999993</v>
      </c>
      <c r="T488" s="14">
        <f>200-SUM(Table3[[#This Row],[W - LIGHT]:[W - VIGOROUS]])</f>
        <v>74.72</v>
      </c>
      <c r="U488" s="14">
        <f>'PIVOT TABLES'!$W$26</f>
        <v>55.895999999999994</v>
      </c>
      <c r="V488" s="14">
        <f>'PIVOT TABLES'!$W$27-'PIVOT TABLES'!$W$26</f>
        <v>27.948</v>
      </c>
      <c r="W488" s="14">
        <f>'PIVOT TABLES'!$W$28-'PIVOT TABLES'!$W$27</f>
        <v>27.947999999999993</v>
      </c>
      <c r="X488" s="14">
        <f>200-SUM(Table3[[#This Row],[S - LIGHT]:[S - VIGOROUS]])</f>
        <v>88.208000000000013</v>
      </c>
    </row>
    <row r="489" spans="1:24" x14ac:dyDescent="0.25">
      <c r="A489" s="17" t="s">
        <v>71</v>
      </c>
      <c r="B489" s="13" t="str">
        <f t="shared" si="7"/>
        <v>Midfielder</v>
      </c>
      <c r="C489" s="7">
        <v>45317.425243055557</v>
      </c>
      <c r="D489" s="14">
        <v>3471</v>
      </c>
      <c r="E489" s="14">
        <v>5</v>
      </c>
      <c r="F489" s="14">
        <v>7</v>
      </c>
      <c r="G489" s="14">
        <v>26</v>
      </c>
      <c r="H489" s="14">
        <v>35.659999999999997</v>
      </c>
      <c r="I489" s="14">
        <f>'PIVOT TABLES'!$B$26</f>
        <v>60.283999999999999</v>
      </c>
      <c r="J489" s="14">
        <f>'PIVOT TABLES'!$B$27-'PIVOT TABLES'!$B$26</f>
        <v>30.142000000000003</v>
      </c>
      <c r="K489" s="14">
        <f>'PIVOT TABLES'!$B$28-'PIVOT TABLES'!$B$27</f>
        <v>30.141999999999996</v>
      </c>
      <c r="L489" s="14">
        <f>200-SUM(Table3[[#This Row],[D - LIGHT]:[D - VIGOROUS]])</f>
        <v>79.432000000000002</v>
      </c>
      <c r="M489" s="14">
        <f>'PIVOT TABLES'!$I$26</f>
        <v>65.603999999999999</v>
      </c>
      <c r="N489" s="14">
        <f>'PIVOT TABLES'!$I$27-'PIVOT TABLES'!$I$26</f>
        <v>32.802000000000007</v>
      </c>
      <c r="O489" s="14">
        <f>'PIVOT TABLES'!$I$28-'PIVOT TABLES'!$I$27</f>
        <v>32.801999999999992</v>
      </c>
      <c r="P489" s="14">
        <f>200-SUM(Table3[[#This Row],[M - LIGHT]:[M - VIGOROUS]])</f>
        <v>68.792000000000002</v>
      </c>
      <c r="Q489" s="14">
        <f>'PIVOT TABLES'!$P$26</f>
        <v>62.64</v>
      </c>
      <c r="R489" s="14">
        <f>'PIVOT TABLES'!$P$27-'PIVOT TABLES'!$P$26</f>
        <v>31.320000000000007</v>
      </c>
      <c r="S489" s="14">
        <f>'PIVOT TABLES'!$P$28-'PIVOT TABLES'!$P$27</f>
        <v>31.319999999999993</v>
      </c>
      <c r="T489" s="14">
        <f>200-SUM(Table3[[#This Row],[W - LIGHT]:[W - VIGOROUS]])</f>
        <v>74.72</v>
      </c>
      <c r="U489" s="14">
        <f>'PIVOT TABLES'!$W$26</f>
        <v>55.895999999999994</v>
      </c>
      <c r="V489" s="14">
        <f>'PIVOT TABLES'!$W$27-'PIVOT TABLES'!$W$26</f>
        <v>27.948</v>
      </c>
      <c r="W489" s="14">
        <f>'PIVOT TABLES'!$W$28-'PIVOT TABLES'!$W$27</f>
        <v>27.947999999999993</v>
      </c>
      <c r="X489" s="14">
        <f>200-SUM(Table3[[#This Row],[S - LIGHT]:[S - VIGOROUS]])</f>
        <v>88.208000000000013</v>
      </c>
    </row>
    <row r="490" spans="1:24" x14ac:dyDescent="0.25">
      <c r="A490" s="17" t="s">
        <v>5</v>
      </c>
      <c r="B490" s="13" t="str">
        <f t="shared" si="7"/>
        <v>Midfielder</v>
      </c>
      <c r="C490" s="7">
        <v>45317.425243055557</v>
      </c>
      <c r="D490" s="14">
        <v>3423</v>
      </c>
      <c r="E490" s="14">
        <v>20</v>
      </c>
      <c r="F490" s="14">
        <v>6</v>
      </c>
      <c r="G490" s="14">
        <v>24</v>
      </c>
      <c r="H490" s="14">
        <v>35.549999999999997</v>
      </c>
      <c r="I490" s="14">
        <f>'PIVOT TABLES'!$B$26</f>
        <v>60.283999999999999</v>
      </c>
      <c r="J490" s="14">
        <f>'PIVOT TABLES'!$B$27-'PIVOT TABLES'!$B$26</f>
        <v>30.142000000000003</v>
      </c>
      <c r="K490" s="14">
        <f>'PIVOT TABLES'!$B$28-'PIVOT TABLES'!$B$27</f>
        <v>30.141999999999996</v>
      </c>
      <c r="L490" s="14">
        <f>200-SUM(Table3[[#This Row],[D - LIGHT]:[D - VIGOROUS]])</f>
        <v>79.432000000000002</v>
      </c>
      <c r="M490" s="14">
        <f>'PIVOT TABLES'!$I$26</f>
        <v>65.603999999999999</v>
      </c>
      <c r="N490" s="14">
        <f>'PIVOT TABLES'!$I$27-'PIVOT TABLES'!$I$26</f>
        <v>32.802000000000007</v>
      </c>
      <c r="O490" s="14">
        <f>'PIVOT TABLES'!$I$28-'PIVOT TABLES'!$I$27</f>
        <v>32.801999999999992</v>
      </c>
      <c r="P490" s="14">
        <f>200-SUM(Table3[[#This Row],[M - LIGHT]:[M - VIGOROUS]])</f>
        <v>68.792000000000002</v>
      </c>
      <c r="Q490" s="14">
        <f>'PIVOT TABLES'!$P$26</f>
        <v>62.64</v>
      </c>
      <c r="R490" s="14">
        <f>'PIVOT TABLES'!$P$27-'PIVOT TABLES'!$P$26</f>
        <v>31.320000000000007</v>
      </c>
      <c r="S490" s="14">
        <f>'PIVOT TABLES'!$P$28-'PIVOT TABLES'!$P$27</f>
        <v>31.319999999999993</v>
      </c>
      <c r="T490" s="14">
        <f>200-SUM(Table3[[#This Row],[W - LIGHT]:[W - VIGOROUS]])</f>
        <v>74.72</v>
      </c>
      <c r="U490" s="14">
        <f>'PIVOT TABLES'!$W$26</f>
        <v>55.895999999999994</v>
      </c>
      <c r="V490" s="14">
        <f>'PIVOT TABLES'!$W$27-'PIVOT TABLES'!$W$26</f>
        <v>27.948</v>
      </c>
      <c r="W490" s="14">
        <f>'PIVOT TABLES'!$W$28-'PIVOT TABLES'!$W$27</f>
        <v>27.947999999999993</v>
      </c>
      <c r="X490" s="14">
        <f>200-SUM(Table3[[#This Row],[S - LIGHT]:[S - VIGOROUS]])</f>
        <v>88.208000000000013</v>
      </c>
    </row>
    <row r="491" spans="1:24" x14ac:dyDescent="0.25">
      <c r="A491" s="17" t="s">
        <v>6</v>
      </c>
      <c r="B491" s="13" t="str">
        <f t="shared" si="7"/>
        <v>Midfielder</v>
      </c>
      <c r="C491" s="7">
        <v>45317.425243055557</v>
      </c>
      <c r="D491" s="14">
        <v>4176</v>
      </c>
      <c r="E491" s="14">
        <v>0</v>
      </c>
      <c r="F491" s="14">
        <v>10</v>
      </c>
      <c r="G491" s="14">
        <v>15</v>
      </c>
      <c r="H491" s="14">
        <v>42.46</v>
      </c>
      <c r="I491" s="14">
        <f>'PIVOT TABLES'!$B$26</f>
        <v>60.283999999999999</v>
      </c>
      <c r="J491" s="14">
        <f>'PIVOT TABLES'!$B$27-'PIVOT TABLES'!$B$26</f>
        <v>30.142000000000003</v>
      </c>
      <c r="K491" s="14">
        <f>'PIVOT TABLES'!$B$28-'PIVOT TABLES'!$B$27</f>
        <v>30.141999999999996</v>
      </c>
      <c r="L491" s="14">
        <f>200-SUM(Table3[[#This Row],[D - LIGHT]:[D - VIGOROUS]])</f>
        <v>79.432000000000002</v>
      </c>
      <c r="M491" s="14">
        <f>'PIVOT TABLES'!$I$26</f>
        <v>65.603999999999999</v>
      </c>
      <c r="N491" s="14">
        <f>'PIVOT TABLES'!$I$27-'PIVOT TABLES'!$I$26</f>
        <v>32.802000000000007</v>
      </c>
      <c r="O491" s="14">
        <f>'PIVOT TABLES'!$I$28-'PIVOT TABLES'!$I$27</f>
        <v>32.801999999999992</v>
      </c>
      <c r="P491" s="14">
        <f>200-SUM(Table3[[#This Row],[M - LIGHT]:[M - VIGOROUS]])</f>
        <v>68.792000000000002</v>
      </c>
      <c r="Q491" s="14">
        <f>'PIVOT TABLES'!$P$26</f>
        <v>62.64</v>
      </c>
      <c r="R491" s="14">
        <f>'PIVOT TABLES'!$P$27-'PIVOT TABLES'!$P$26</f>
        <v>31.320000000000007</v>
      </c>
      <c r="S491" s="14">
        <f>'PIVOT TABLES'!$P$28-'PIVOT TABLES'!$P$27</f>
        <v>31.319999999999993</v>
      </c>
      <c r="T491" s="14">
        <f>200-SUM(Table3[[#This Row],[W - LIGHT]:[W - VIGOROUS]])</f>
        <v>74.72</v>
      </c>
      <c r="U491" s="14">
        <f>'PIVOT TABLES'!$W$26</f>
        <v>55.895999999999994</v>
      </c>
      <c r="V491" s="14">
        <f>'PIVOT TABLES'!$W$27-'PIVOT TABLES'!$W$26</f>
        <v>27.948</v>
      </c>
      <c r="W491" s="14">
        <f>'PIVOT TABLES'!$W$28-'PIVOT TABLES'!$W$27</f>
        <v>27.947999999999993</v>
      </c>
      <c r="X491" s="14">
        <f>200-SUM(Table3[[#This Row],[S - LIGHT]:[S - VIGOROUS]])</f>
        <v>88.208000000000013</v>
      </c>
    </row>
    <row r="492" spans="1:24" x14ac:dyDescent="0.25">
      <c r="A492" s="17" t="s">
        <v>62</v>
      </c>
      <c r="B492" s="13" t="str">
        <f t="shared" si="7"/>
        <v>Midfielder</v>
      </c>
      <c r="C492" s="7">
        <v>45317.425243055557</v>
      </c>
      <c r="D492" s="14">
        <v>3330</v>
      </c>
      <c r="E492" s="14">
        <v>0</v>
      </c>
      <c r="F492" s="14">
        <v>5</v>
      </c>
      <c r="G492" s="14">
        <v>13</v>
      </c>
      <c r="H492" s="14">
        <v>33.76</v>
      </c>
      <c r="I492" s="14">
        <f>'PIVOT TABLES'!$B$26</f>
        <v>60.283999999999999</v>
      </c>
      <c r="J492" s="14">
        <f>'PIVOT TABLES'!$B$27-'PIVOT TABLES'!$B$26</f>
        <v>30.142000000000003</v>
      </c>
      <c r="K492" s="14">
        <f>'PIVOT TABLES'!$B$28-'PIVOT TABLES'!$B$27</f>
        <v>30.141999999999996</v>
      </c>
      <c r="L492" s="14">
        <f>200-SUM(Table3[[#This Row],[D - LIGHT]:[D - VIGOROUS]])</f>
        <v>79.432000000000002</v>
      </c>
      <c r="M492" s="14">
        <f>'PIVOT TABLES'!$I$26</f>
        <v>65.603999999999999</v>
      </c>
      <c r="N492" s="14">
        <f>'PIVOT TABLES'!$I$27-'PIVOT TABLES'!$I$26</f>
        <v>32.802000000000007</v>
      </c>
      <c r="O492" s="14">
        <f>'PIVOT TABLES'!$I$28-'PIVOT TABLES'!$I$27</f>
        <v>32.801999999999992</v>
      </c>
      <c r="P492" s="14">
        <f>200-SUM(Table3[[#This Row],[M - LIGHT]:[M - VIGOROUS]])</f>
        <v>68.792000000000002</v>
      </c>
      <c r="Q492" s="14">
        <f>'PIVOT TABLES'!$P$26</f>
        <v>62.64</v>
      </c>
      <c r="R492" s="14">
        <f>'PIVOT TABLES'!$P$27-'PIVOT TABLES'!$P$26</f>
        <v>31.320000000000007</v>
      </c>
      <c r="S492" s="14">
        <f>'PIVOT TABLES'!$P$28-'PIVOT TABLES'!$P$27</f>
        <v>31.319999999999993</v>
      </c>
      <c r="T492" s="14">
        <f>200-SUM(Table3[[#This Row],[W - LIGHT]:[W - VIGOROUS]])</f>
        <v>74.72</v>
      </c>
      <c r="U492" s="14">
        <f>'PIVOT TABLES'!$W$26</f>
        <v>55.895999999999994</v>
      </c>
      <c r="V492" s="14">
        <f>'PIVOT TABLES'!$W$27-'PIVOT TABLES'!$W$26</f>
        <v>27.948</v>
      </c>
      <c r="W492" s="14">
        <f>'PIVOT TABLES'!$W$28-'PIVOT TABLES'!$W$27</f>
        <v>27.947999999999993</v>
      </c>
      <c r="X492" s="14">
        <f>200-SUM(Table3[[#This Row],[S - LIGHT]:[S - VIGOROUS]])</f>
        <v>88.208000000000013</v>
      </c>
    </row>
    <row r="493" spans="1:24" x14ac:dyDescent="0.25">
      <c r="A493" s="17" t="s">
        <v>66</v>
      </c>
      <c r="B493" s="13" t="str">
        <f t="shared" si="7"/>
        <v>Striker</v>
      </c>
      <c r="C493" s="7">
        <v>45317.425243055557</v>
      </c>
      <c r="D493" s="14">
        <v>3930</v>
      </c>
      <c r="E493" s="14">
        <v>0</v>
      </c>
      <c r="F493" s="14">
        <v>5</v>
      </c>
      <c r="G493" s="14">
        <v>8</v>
      </c>
      <c r="H493" s="14">
        <v>39.659999999999997</v>
      </c>
      <c r="I493" s="14">
        <f>'PIVOT TABLES'!$B$26</f>
        <v>60.283999999999999</v>
      </c>
      <c r="J493" s="14">
        <f>'PIVOT TABLES'!$B$27-'PIVOT TABLES'!$B$26</f>
        <v>30.142000000000003</v>
      </c>
      <c r="K493" s="14">
        <f>'PIVOT TABLES'!$B$28-'PIVOT TABLES'!$B$27</f>
        <v>30.141999999999996</v>
      </c>
      <c r="L493" s="14">
        <f>200-SUM(Table3[[#This Row],[D - LIGHT]:[D - VIGOROUS]])</f>
        <v>79.432000000000002</v>
      </c>
      <c r="M493" s="14">
        <f>'PIVOT TABLES'!$I$26</f>
        <v>65.603999999999999</v>
      </c>
      <c r="N493" s="14">
        <f>'PIVOT TABLES'!$I$27-'PIVOT TABLES'!$I$26</f>
        <v>32.802000000000007</v>
      </c>
      <c r="O493" s="14">
        <f>'PIVOT TABLES'!$I$28-'PIVOT TABLES'!$I$27</f>
        <v>32.801999999999992</v>
      </c>
      <c r="P493" s="14">
        <f>200-SUM(Table3[[#This Row],[M - LIGHT]:[M - VIGOROUS]])</f>
        <v>68.792000000000002</v>
      </c>
      <c r="Q493" s="14">
        <f>'PIVOT TABLES'!$P$26</f>
        <v>62.64</v>
      </c>
      <c r="R493" s="14">
        <f>'PIVOT TABLES'!$P$27-'PIVOT TABLES'!$P$26</f>
        <v>31.320000000000007</v>
      </c>
      <c r="S493" s="14">
        <f>'PIVOT TABLES'!$P$28-'PIVOT TABLES'!$P$27</f>
        <v>31.319999999999993</v>
      </c>
      <c r="T493" s="14">
        <f>200-SUM(Table3[[#This Row],[W - LIGHT]:[W - VIGOROUS]])</f>
        <v>74.72</v>
      </c>
      <c r="U493" s="14">
        <f>'PIVOT TABLES'!$W$26</f>
        <v>55.895999999999994</v>
      </c>
      <c r="V493" s="14">
        <f>'PIVOT TABLES'!$W$27-'PIVOT TABLES'!$W$26</f>
        <v>27.948</v>
      </c>
      <c r="W493" s="14">
        <f>'PIVOT TABLES'!$W$28-'PIVOT TABLES'!$W$27</f>
        <v>27.947999999999993</v>
      </c>
      <c r="X493" s="14">
        <f>200-SUM(Table3[[#This Row],[S - LIGHT]:[S - VIGOROUS]])</f>
        <v>88.208000000000013</v>
      </c>
    </row>
    <row r="494" spans="1:24" x14ac:dyDescent="0.25">
      <c r="A494" s="17" t="s">
        <v>78</v>
      </c>
      <c r="B494" s="13" t="str">
        <f t="shared" si="7"/>
        <v>Defender</v>
      </c>
      <c r="C494" s="7">
        <v>45317.425243055557</v>
      </c>
      <c r="D494" s="14">
        <v>3364</v>
      </c>
      <c r="E494" s="14">
        <v>21</v>
      </c>
      <c r="F494" s="14">
        <v>3</v>
      </c>
      <c r="G494" s="14">
        <v>12</v>
      </c>
      <c r="H494" s="14">
        <v>34.630000000000003</v>
      </c>
      <c r="I494" s="14">
        <f>'PIVOT TABLES'!$B$26</f>
        <v>60.283999999999999</v>
      </c>
      <c r="J494" s="14">
        <f>'PIVOT TABLES'!$B$27-'PIVOT TABLES'!$B$26</f>
        <v>30.142000000000003</v>
      </c>
      <c r="K494" s="14">
        <f>'PIVOT TABLES'!$B$28-'PIVOT TABLES'!$B$27</f>
        <v>30.141999999999996</v>
      </c>
      <c r="L494" s="14">
        <f>200-SUM(Table3[[#This Row],[D - LIGHT]:[D - VIGOROUS]])</f>
        <v>79.432000000000002</v>
      </c>
      <c r="M494" s="14">
        <f>'PIVOT TABLES'!$I$26</f>
        <v>65.603999999999999</v>
      </c>
      <c r="N494" s="14">
        <f>'PIVOT TABLES'!$I$27-'PIVOT TABLES'!$I$26</f>
        <v>32.802000000000007</v>
      </c>
      <c r="O494" s="14">
        <f>'PIVOT TABLES'!$I$28-'PIVOT TABLES'!$I$27</f>
        <v>32.801999999999992</v>
      </c>
      <c r="P494" s="14">
        <f>200-SUM(Table3[[#This Row],[M - LIGHT]:[M - VIGOROUS]])</f>
        <v>68.792000000000002</v>
      </c>
      <c r="Q494" s="14">
        <f>'PIVOT TABLES'!$P$26</f>
        <v>62.64</v>
      </c>
      <c r="R494" s="14">
        <f>'PIVOT TABLES'!$P$27-'PIVOT TABLES'!$P$26</f>
        <v>31.320000000000007</v>
      </c>
      <c r="S494" s="14">
        <f>'PIVOT TABLES'!$P$28-'PIVOT TABLES'!$P$27</f>
        <v>31.319999999999993</v>
      </c>
      <c r="T494" s="14">
        <f>200-SUM(Table3[[#This Row],[W - LIGHT]:[W - VIGOROUS]])</f>
        <v>74.72</v>
      </c>
      <c r="U494" s="14">
        <f>'PIVOT TABLES'!$W$26</f>
        <v>55.895999999999994</v>
      </c>
      <c r="V494" s="14">
        <f>'PIVOT TABLES'!$W$27-'PIVOT TABLES'!$W$26</f>
        <v>27.948</v>
      </c>
      <c r="W494" s="14">
        <f>'PIVOT TABLES'!$W$28-'PIVOT TABLES'!$W$27</f>
        <v>27.947999999999993</v>
      </c>
      <c r="X494" s="14">
        <f>200-SUM(Table3[[#This Row],[S - LIGHT]:[S - VIGOROUS]])</f>
        <v>88.208000000000013</v>
      </c>
    </row>
    <row r="495" spans="1:24" x14ac:dyDescent="0.25">
      <c r="A495" s="17" t="s">
        <v>95</v>
      </c>
      <c r="B495" s="13" t="str">
        <f t="shared" si="7"/>
        <v>Winger</v>
      </c>
      <c r="C495" s="7">
        <v>45317.425243055557</v>
      </c>
      <c r="D495" s="14">
        <v>3028</v>
      </c>
      <c r="E495" s="14">
        <v>0</v>
      </c>
      <c r="F495" s="14">
        <v>3</v>
      </c>
      <c r="G495" s="14">
        <v>9</v>
      </c>
      <c r="H495" s="14">
        <v>30.58</v>
      </c>
      <c r="I495" s="14">
        <f>'PIVOT TABLES'!$B$26</f>
        <v>60.283999999999999</v>
      </c>
      <c r="J495" s="14">
        <f>'PIVOT TABLES'!$B$27-'PIVOT TABLES'!$B$26</f>
        <v>30.142000000000003</v>
      </c>
      <c r="K495" s="14">
        <f>'PIVOT TABLES'!$B$28-'PIVOT TABLES'!$B$27</f>
        <v>30.141999999999996</v>
      </c>
      <c r="L495" s="14">
        <f>200-SUM(Table3[[#This Row],[D - LIGHT]:[D - VIGOROUS]])</f>
        <v>79.432000000000002</v>
      </c>
      <c r="M495" s="14">
        <f>'PIVOT TABLES'!$I$26</f>
        <v>65.603999999999999</v>
      </c>
      <c r="N495" s="14">
        <f>'PIVOT TABLES'!$I$27-'PIVOT TABLES'!$I$26</f>
        <v>32.802000000000007</v>
      </c>
      <c r="O495" s="14">
        <f>'PIVOT TABLES'!$I$28-'PIVOT TABLES'!$I$27</f>
        <v>32.801999999999992</v>
      </c>
      <c r="P495" s="14">
        <f>200-SUM(Table3[[#This Row],[M - LIGHT]:[M - VIGOROUS]])</f>
        <v>68.792000000000002</v>
      </c>
      <c r="Q495" s="14">
        <f>'PIVOT TABLES'!$P$26</f>
        <v>62.64</v>
      </c>
      <c r="R495" s="14">
        <f>'PIVOT TABLES'!$P$27-'PIVOT TABLES'!$P$26</f>
        <v>31.320000000000007</v>
      </c>
      <c r="S495" s="14">
        <f>'PIVOT TABLES'!$P$28-'PIVOT TABLES'!$P$27</f>
        <v>31.319999999999993</v>
      </c>
      <c r="T495" s="14">
        <f>200-SUM(Table3[[#This Row],[W - LIGHT]:[W - VIGOROUS]])</f>
        <v>74.72</v>
      </c>
      <c r="U495" s="14">
        <f>'PIVOT TABLES'!$W$26</f>
        <v>55.895999999999994</v>
      </c>
      <c r="V495" s="14">
        <f>'PIVOT TABLES'!$W$27-'PIVOT TABLES'!$W$26</f>
        <v>27.948</v>
      </c>
      <c r="W495" s="14">
        <f>'PIVOT TABLES'!$W$28-'PIVOT TABLES'!$W$27</f>
        <v>27.947999999999993</v>
      </c>
      <c r="X495" s="14">
        <f>200-SUM(Table3[[#This Row],[S - LIGHT]:[S - VIGOROUS]])</f>
        <v>88.208000000000013</v>
      </c>
    </row>
    <row r="496" spans="1:24" x14ac:dyDescent="0.25">
      <c r="A496" s="17" t="s">
        <v>96</v>
      </c>
      <c r="B496" s="13" t="str">
        <f t="shared" si="7"/>
        <v>Winger</v>
      </c>
      <c r="C496" s="7">
        <v>45317.425243055557</v>
      </c>
      <c r="D496" s="14">
        <v>2706</v>
      </c>
      <c r="E496" s="14">
        <v>0</v>
      </c>
      <c r="F496" s="14">
        <v>2</v>
      </c>
      <c r="G496" s="14">
        <v>12</v>
      </c>
      <c r="H496" s="14">
        <v>27.38</v>
      </c>
      <c r="I496" s="14">
        <f>'PIVOT TABLES'!$B$26</f>
        <v>60.283999999999999</v>
      </c>
      <c r="J496" s="14">
        <f>'PIVOT TABLES'!$B$27-'PIVOT TABLES'!$B$26</f>
        <v>30.142000000000003</v>
      </c>
      <c r="K496" s="14">
        <f>'PIVOT TABLES'!$B$28-'PIVOT TABLES'!$B$27</f>
        <v>30.141999999999996</v>
      </c>
      <c r="L496" s="14">
        <f>200-SUM(Table3[[#This Row],[D - LIGHT]:[D - VIGOROUS]])</f>
        <v>79.432000000000002</v>
      </c>
      <c r="M496" s="14">
        <f>'PIVOT TABLES'!$I$26</f>
        <v>65.603999999999999</v>
      </c>
      <c r="N496" s="14">
        <f>'PIVOT TABLES'!$I$27-'PIVOT TABLES'!$I$26</f>
        <v>32.802000000000007</v>
      </c>
      <c r="O496" s="14">
        <f>'PIVOT TABLES'!$I$28-'PIVOT TABLES'!$I$27</f>
        <v>32.801999999999992</v>
      </c>
      <c r="P496" s="14">
        <f>200-SUM(Table3[[#This Row],[M - LIGHT]:[M - VIGOROUS]])</f>
        <v>68.792000000000002</v>
      </c>
      <c r="Q496" s="14">
        <f>'PIVOT TABLES'!$P$26</f>
        <v>62.64</v>
      </c>
      <c r="R496" s="14">
        <f>'PIVOT TABLES'!$P$27-'PIVOT TABLES'!$P$26</f>
        <v>31.320000000000007</v>
      </c>
      <c r="S496" s="14">
        <f>'PIVOT TABLES'!$P$28-'PIVOT TABLES'!$P$27</f>
        <v>31.319999999999993</v>
      </c>
      <c r="T496" s="14">
        <f>200-SUM(Table3[[#This Row],[W - LIGHT]:[W - VIGOROUS]])</f>
        <v>74.72</v>
      </c>
      <c r="U496" s="14">
        <f>'PIVOT TABLES'!$W$26</f>
        <v>55.895999999999994</v>
      </c>
      <c r="V496" s="14">
        <f>'PIVOT TABLES'!$W$27-'PIVOT TABLES'!$W$26</f>
        <v>27.948</v>
      </c>
      <c r="W496" s="14">
        <f>'PIVOT TABLES'!$W$28-'PIVOT TABLES'!$W$27</f>
        <v>27.947999999999993</v>
      </c>
      <c r="X496" s="14">
        <f>200-SUM(Table3[[#This Row],[S - LIGHT]:[S - VIGOROUS]])</f>
        <v>88.208000000000013</v>
      </c>
    </row>
    <row r="497" spans="1:24" x14ac:dyDescent="0.25">
      <c r="A497" s="17" t="s">
        <v>8</v>
      </c>
      <c r="B497" s="13" t="str">
        <f t="shared" si="7"/>
        <v>Striker</v>
      </c>
      <c r="C497" s="7">
        <v>45317.425243055557</v>
      </c>
      <c r="D497" s="14">
        <v>3921</v>
      </c>
      <c r="E497" s="14">
        <v>0</v>
      </c>
      <c r="F497" s="14">
        <v>13</v>
      </c>
      <c r="G497" s="14">
        <v>34</v>
      </c>
      <c r="H497" s="14">
        <v>40.409999999999997</v>
      </c>
      <c r="I497" s="14">
        <f>'PIVOT TABLES'!$B$26</f>
        <v>60.283999999999999</v>
      </c>
      <c r="J497" s="14">
        <f>'PIVOT TABLES'!$B$27-'PIVOT TABLES'!$B$26</f>
        <v>30.142000000000003</v>
      </c>
      <c r="K497" s="14">
        <f>'PIVOT TABLES'!$B$28-'PIVOT TABLES'!$B$27</f>
        <v>30.141999999999996</v>
      </c>
      <c r="L497" s="14">
        <f>200-SUM(Table3[[#This Row],[D - LIGHT]:[D - VIGOROUS]])</f>
        <v>79.432000000000002</v>
      </c>
      <c r="M497" s="14">
        <f>'PIVOT TABLES'!$I$26</f>
        <v>65.603999999999999</v>
      </c>
      <c r="N497" s="14">
        <f>'PIVOT TABLES'!$I$27-'PIVOT TABLES'!$I$26</f>
        <v>32.802000000000007</v>
      </c>
      <c r="O497" s="14">
        <f>'PIVOT TABLES'!$I$28-'PIVOT TABLES'!$I$27</f>
        <v>32.801999999999992</v>
      </c>
      <c r="P497" s="14">
        <f>200-SUM(Table3[[#This Row],[M - LIGHT]:[M - VIGOROUS]])</f>
        <v>68.792000000000002</v>
      </c>
      <c r="Q497" s="14">
        <f>'PIVOT TABLES'!$P$26</f>
        <v>62.64</v>
      </c>
      <c r="R497" s="14">
        <f>'PIVOT TABLES'!$P$27-'PIVOT TABLES'!$P$26</f>
        <v>31.320000000000007</v>
      </c>
      <c r="S497" s="14">
        <f>'PIVOT TABLES'!$P$28-'PIVOT TABLES'!$P$27</f>
        <v>31.319999999999993</v>
      </c>
      <c r="T497" s="14">
        <f>200-SUM(Table3[[#This Row],[W - LIGHT]:[W - VIGOROUS]])</f>
        <v>74.72</v>
      </c>
      <c r="U497" s="14">
        <f>'PIVOT TABLES'!$W$26</f>
        <v>55.895999999999994</v>
      </c>
      <c r="V497" s="14">
        <f>'PIVOT TABLES'!$W$27-'PIVOT TABLES'!$W$26</f>
        <v>27.948</v>
      </c>
      <c r="W497" s="14">
        <f>'PIVOT TABLES'!$W$28-'PIVOT TABLES'!$W$27</f>
        <v>27.947999999999993</v>
      </c>
      <c r="X497" s="14">
        <f>200-SUM(Table3[[#This Row],[S - LIGHT]:[S - VIGOROUS]])</f>
        <v>88.208000000000013</v>
      </c>
    </row>
    <row r="498" spans="1:24" x14ac:dyDescent="0.25">
      <c r="A498" s="17" t="s">
        <v>67</v>
      </c>
      <c r="B498" s="13" t="str">
        <f t="shared" si="7"/>
        <v>Midfielder</v>
      </c>
      <c r="C498" s="7">
        <v>45317.425243055557</v>
      </c>
      <c r="D498" s="14">
        <v>3534</v>
      </c>
      <c r="E498" s="14">
        <v>0</v>
      </c>
      <c r="F498" s="14">
        <v>16</v>
      </c>
      <c r="G498" s="14">
        <v>21</v>
      </c>
      <c r="H498" s="14">
        <v>36.4</v>
      </c>
      <c r="I498" s="14">
        <f>'PIVOT TABLES'!$B$26</f>
        <v>60.283999999999999</v>
      </c>
      <c r="J498" s="14">
        <f>'PIVOT TABLES'!$B$27-'PIVOT TABLES'!$B$26</f>
        <v>30.142000000000003</v>
      </c>
      <c r="K498" s="14">
        <f>'PIVOT TABLES'!$B$28-'PIVOT TABLES'!$B$27</f>
        <v>30.141999999999996</v>
      </c>
      <c r="L498" s="14">
        <f>200-SUM(Table3[[#This Row],[D - LIGHT]:[D - VIGOROUS]])</f>
        <v>79.432000000000002</v>
      </c>
      <c r="M498" s="14">
        <f>'PIVOT TABLES'!$I$26</f>
        <v>65.603999999999999</v>
      </c>
      <c r="N498" s="14">
        <f>'PIVOT TABLES'!$I$27-'PIVOT TABLES'!$I$26</f>
        <v>32.802000000000007</v>
      </c>
      <c r="O498" s="14">
        <f>'PIVOT TABLES'!$I$28-'PIVOT TABLES'!$I$27</f>
        <v>32.801999999999992</v>
      </c>
      <c r="P498" s="14">
        <f>200-SUM(Table3[[#This Row],[M - LIGHT]:[M - VIGOROUS]])</f>
        <v>68.792000000000002</v>
      </c>
      <c r="Q498" s="14">
        <f>'PIVOT TABLES'!$P$26</f>
        <v>62.64</v>
      </c>
      <c r="R498" s="14">
        <f>'PIVOT TABLES'!$P$27-'PIVOT TABLES'!$P$26</f>
        <v>31.320000000000007</v>
      </c>
      <c r="S498" s="14">
        <f>'PIVOT TABLES'!$P$28-'PIVOT TABLES'!$P$27</f>
        <v>31.319999999999993</v>
      </c>
      <c r="T498" s="14">
        <f>200-SUM(Table3[[#This Row],[W - LIGHT]:[W - VIGOROUS]])</f>
        <v>74.72</v>
      </c>
      <c r="U498" s="14">
        <f>'PIVOT TABLES'!$W$26</f>
        <v>55.895999999999994</v>
      </c>
      <c r="V498" s="14">
        <f>'PIVOT TABLES'!$W$27-'PIVOT TABLES'!$W$26</f>
        <v>27.948</v>
      </c>
      <c r="W498" s="14">
        <f>'PIVOT TABLES'!$W$28-'PIVOT TABLES'!$W$27</f>
        <v>27.947999999999993</v>
      </c>
      <c r="X498" s="14">
        <f>200-SUM(Table3[[#This Row],[S - LIGHT]:[S - VIGOROUS]])</f>
        <v>88.208000000000013</v>
      </c>
    </row>
    <row r="499" spans="1:24" x14ac:dyDescent="0.25">
      <c r="A499" s="17" t="s">
        <v>69</v>
      </c>
      <c r="B499" s="13" t="str">
        <f t="shared" si="7"/>
        <v>Midfielder</v>
      </c>
      <c r="C499" s="7">
        <v>45317.425243055557</v>
      </c>
      <c r="D499" s="14">
        <v>3484</v>
      </c>
      <c r="E499" s="14">
        <v>0</v>
      </c>
      <c r="F499" s="14">
        <v>2</v>
      </c>
      <c r="G499" s="14">
        <v>12</v>
      </c>
      <c r="H499" s="14">
        <v>35.159999999999997</v>
      </c>
      <c r="I499" s="14">
        <f>'PIVOT TABLES'!$B$26</f>
        <v>60.283999999999999</v>
      </c>
      <c r="J499" s="14">
        <f>'PIVOT TABLES'!$B$27-'PIVOT TABLES'!$B$26</f>
        <v>30.142000000000003</v>
      </c>
      <c r="K499" s="14">
        <f>'PIVOT TABLES'!$B$28-'PIVOT TABLES'!$B$27</f>
        <v>30.141999999999996</v>
      </c>
      <c r="L499" s="14">
        <f>200-SUM(Table3[[#This Row],[D - LIGHT]:[D - VIGOROUS]])</f>
        <v>79.432000000000002</v>
      </c>
      <c r="M499" s="14">
        <f>'PIVOT TABLES'!$I$26</f>
        <v>65.603999999999999</v>
      </c>
      <c r="N499" s="14">
        <f>'PIVOT TABLES'!$I$27-'PIVOT TABLES'!$I$26</f>
        <v>32.802000000000007</v>
      </c>
      <c r="O499" s="14">
        <f>'PIVOT TABLES'!$I$28-'PIVOT TABLES'!$I$27</f>
        <v>32.801999999999992</v>
      </c>
      <c r="P499" s="14">
        <f>200-SUM(Table3[[#This Row],[M - LIGHT]:[M - VIGOROUS]])</f>
        <v>68.792000000000002</v>
      </c>
      <c r="Q499" s="14">
        <f>'PIVOT TABLES'!$P$26</f>
        <v>62.64</v>
      </c>
      <c r="R499" s="14">
        <f>'PIVOT TABLES'!$P$27-'PIVOT TABLES'!$P$26</f>
        <v>31.320000000000007</v>
      </c>
      <c r="S499" s="14">
        <f>'PIVOT TABLES'!$P$28-'PIVOT TABLES'!$P$27</f>
        <v>31.319999999999993</v>
      </c>
      <c r="T499" s="14">
        <f>200-SUM(Table3[[#This Row],[W - LIGHT]:[W - VIGOROUS]])</f>
        <v>74.72</v>
      </c>
      <c r="U499" s="14">
        <f>'PIVOT TABLES'!$W$26</f>
        <v>55.895999999999994</v>
      </c>
      <c r="V499" s="14">
        <f>'PIVOT TABLES'!$W$27-'PIVOT TABLES'!$W$26</f>
        <v>27.948</v>
      </c>
      <c r="W499" s="14">
        <f>'PIVOT TABLES'!$W$28-'PIVOT TABLES'!$W$27</f>
        <v>27.947999999999993</v>
      </c>
      <c r="X499" s="14">
        <f>200-SUM(Table3[[#This Row],[S - LIGHT]:[S - VIGOROUS]])</f>
        <v>88.208000000000013</v>
      </c>
    </row>
    <row r="500" spans="1:24" x14ac:dyDescent="0.25">
      <c r="A500" s="17" t="s">
        <v>54</v>
      </c>
      <c r="B500" s="13" t="str">
        <f t="shared" si="7"/>
        <v>Striker</v>
      </c>
      <c r="C500" s="7">
        <v>45318</v>
      </c>
      <c r="D500" s="14">
        <v>8472</v>
      </c>
      <c r="E500" s="14">
        <v>236</v>
      </c>
      <c r="F500" s="14">
        <v>28</v>
      </c>
      <c r="G500" s="14">
        <v>24</v>
      </c>
      <c r="H500" s="34">
        <v>93.4</v>
      </c>
      <c r="I500" s="14">
        <f>'PIVOT TABLES'!$B$26</f>
        <v>60.283999999999999</v>
      </c>
      <c r="J500" s="14">
        <f>'PIVOT TABLES'!$B$27-'PIVOT TABLES'!$B$26</f>
        <v>30.142000000000003</v>
      </c>
      <c r="K500" s="14">
        <f>'PIVOT TABLES'!$B$28-'PIVOT TABLES'!$B$27</f>
        <v>30.141999999999996</v>
      </c>
      <c r="L500" s="14">
        <f>200-SUM(Table3[[#This Row],[D - LIGHT]:[D - VIGOROUS]])</f>
        <v>79.432000000000002</v>
      </c>
      <c r="M500" s="14">
        <f>'PIVOT TABLES'!$I$26</f>
        <v>65.603999999999999</v>
      </c>
      <c r="N500" s="14">
        <f>'PIVOT TABLES'!$I$27-'PIVOT TABLES'!$I$26</f>
        <v>32.802000000000007</v>
      </c>
      <c r="O500" s="14">
        <f>'PIVOT TABLES'!$I$28-'PIVOT TABLES'!$I$27</f>
        <v>32.801999999999992</v>
      </c>
      <c r="P500" s="14">
        <f>200-SUM(Table3[[#This Row],[M - LIGHT]:[M - VIGOROUS]])</f>
        <v>68.792000000000002</v>
      </c>
      <c r="Q500" s="14">
        <f>'PIVOT TABLES'!$P$26</f>
        <v>62.64</v>
      </c>
      <c r="R500" s="14">
        <f>'PIVOT TABLES'!$P$27-'PIVOT TABLES'!$P$26</f>
        <v>31.320000000000007</v>
      </c>
      <c r="S500" s="14">
        <f>'PIVOT TABLES'!$P$28-'PIVOT TABLES'!$P$27</f>
        <v>31.319999999999993</v>
      </c>
      <c r="T500" s="14">
        <f>200-SUM(Table3[[#This Row],[W - LIGHT]:[W - VIGOROUS]])</f>
        <v>74.72</v>
      </c>
      <c r="U500" s="14">
        <f>'PIVOT TABLES'!$W$26</f>
        <v>55.895999999999994</v>
      </c>
      <c r="V500" s="14">
        <f>'PIVOT TABLES'!$W$27-'PIVOT TABLES'!$W$26</f>
        <v>27.948</v>
      </c>
      <c r="W500" s="14">
        <f>'PIVOT TABLES'!$W$28-'PIVOT TABLES'!$W$27</f>
        <v>27.947999999999993</v>
      </c>
      <c r="X500" s="14">
        <f>200-SUM(Table3[[#This Row],[S - LIGHT]:[S - VIGOROUS]])</f>
        <v>88.208000000000013</v>
      </c>
    </row>
    <row r="501" spans="1:24" x14ac:dyDescent="0.25">
      <c r="A501" s="17" t="s">
        <v>55</v>
      </c>
      <c r="B501" s="13" t="str">
        <f t="shared" si="7"/>
        <v>Striker</v>
      </c>
      <c r="C501" s="7">
        <v>45318</v>
      </c>
      <c r="D501" s="14">
        <v>7055</v>
      </c>
      <c r="E501" s="14">
        <v>51</v>
      </c>
      <c r="F501" s="14">
        <v>25</v>
      </c>
      <c r="G501" s="14">
        <v>21</v>
      </c>
      <c r="H501" s="34">
        <v>73.5</v>
      </c>
      <c r="I501" s="14">
        <f>'PIVOT TABLES'!$B$26</f>
        <v>60.283999999999999</v>
      </c>
      <c r="J501" s="14">
        <f>'PIVOT TABLES'!$B$27-'PIVOT TABLES'!$B$26</f>
        <v>30.142000000000003</v>
      </c>
      <c r="K501" s="14">
        <f>'PIVOT TABLES'!$B$28-'PIVOT TABLES'!$B$27</f>
        <v>30.141999999999996</v>
      </c>
      <c r="L501" s="14">
        <f>200-SUM(Table3[[#This Row],[D - LIGHT]:[D - VIGOROUS]])</f>
        <v>79.432000000000002</v>
      </c>
      <c r="M501" s="14">
        <f>'PIVOT TABLES'!$I$26</f>
        <v>65.603999999999999</v>
      </c>
      <c r="N501" s="14">
        <f>'PIVOT TABLES'!$I$27-'PIVOT TABLES'!$I$26</f>
        <v>32.802000000000007</v>
      </c>
      <c r="O501" s="14">
        <f>'PIVOT TABLES'!$I$28-'PIVOT TABLES'!$I$27</f>
        <v>32.801999999999992</v>
      </c>
      <c r="P501" s="14">
        <f>200-SUM(Table3[[#This Row],[M - LIGHT]:[M - VIGOROUS]])</f>
        <v>68.792000000000002</v>
      </c>
      <c r="Q501" s="14">
        <f>'PIVOT TABLES'!$P$26</f>
        <v>62.64</v>
      </c>
      <c r="R501" s="14">
        <f>'PIVOT TABLES'!$P$27-'PIVOT TABLES'!$P$26</f>
        <v>31.320000000000007</v>
      </c>
      <c r="S501" s="14">
        <f>'PIVOT TABLES'!$P$28-'PIVOT TABLES'!$P$27</f>
        <v>31.319999999999993</v>
      </c>
      <c r="T501" s="14">
        <f>200-SUM(Table3[[#This Row],[W - LIGHT]:[W - VIGOROUS]])</f>
        <v>74.72</v>
      </c>
      <c r="U501" s="14">
        <f>'PIVOT TABLES'!$W$26</f>
        <v>55.895999999999994</v>
      </c>
      <c r="V501" s="14">
        <f>'PIVOT TABLES'!$W$27-'PIVOT TABLES'!$W$26</f>
        <v>27.948</v>
      </c>
      <c r="W501" s="14">
        <f>'PIVOT TABLES'!$W$28-'PIVOT TABLES'!$W$27</f>
        <v>27.947999999999993</v>
      </c>
      <c r="X501" s="14">
        <f>200-SUM(Table3[[#This Row],[S - LIGHT]:[S - VIGOROUS]])</f>
        <v>88.208000000000013</v>
      </c>
    </row>
    <row r="502" spans="1:24" x14ac:dyDescent="0.25">
      <c r="A502" s="17" t="s">
        <v>2</v>
      </c>
      <c r="B502" s="13" t="str">
        <f t="shared" si="7"/>
        <v>Defender</v>
      </c>
      <c r="C502" s="7">
        <v>45318</v>
      </c>
      <c r="D502" s="14">
        <v>10672</v>
      </c>
      <c r="E502" s="14">
        <v>389</v>
      </c>
      <c r="F502" s="14">
        <v>41</v>
      </c>
      <c r="G502" s="14">
        <v>36</v>
      </c>
      <c r="H502" s="34">
        <v>120.75</v>
      </c>
      <c r="I502" s="14">
        <f>'PIVOT TABLES'!$B$26</f>
        <v>60.283999999999999</v>
      </c>
      <c r="J502" s="14">
        <f>'PIVOT TABLES'!$B$27-'PIVOT TABLES'!$B$26</f>
        <v>30.142000000000003</v>
      </c>
      <c r="K502" s="14">
        <f>'PIVOT TABLES'!$B$28-'PIVOT TABLES'!$B$27</f>
        <v>30.141999999999996</v>
      </c>
      <c r="L502" s="14">
        <f>200-SUM(Table3[[#This Row],[D - LIGHT]:[D - VIGOROUS]])</f>
        <v>79.432000000000002</v>
      </c>
      <c r="M502" s="14">
        <f>'PIVOT TABLES'!$I$26</f>
        <v>65.603999999999999</v>
      </c>
      <c r="N502" s="14">
        <f>'PIVOT TABLES'!$I$27-'PIVOT TABLES'!$I$26</f>
        <v>32.802000000000007</v>
      </c>
      <c r="O502" s="14">
        <f>'PIVOT TABLES'!$I$28-'PIVOT TABLES'!$I$27</f>
        <v>32.801999999999992</v>
      </c>
      <c r="P502" s="14">
        <f>200-SUM(Table3[[#This Row],[M - LIGHT]:[M - VIGOROUS]])</f>
        <v>68.792000000000002</v>
      </c>
      <c r="Q502" s="14">
        <f>'PIVOT TABLES'!$P$26</f>
        <v>62.64</v>
      </c>
      <c r="R502" s="14">
        <f>'PIVOT TABLES'!$P$27-'PIVOT TABLES'!$P$26</f>
        <v>31.320000000000007</v>
      </c>
      <c r="S502" s="14">
        <f>'PIVOT TABLES'!$P$28-'PIVOT TABLES'!$P$27</f>
        <v>31.319999999999993</v>
      </c>
      <c r="T502" s="14">
        <f>200-SUM(Table3[[#This Row],[W - LIGHT]:[W - VIGOROUS]])</f>
        <v>74.72</v>
      </c>
      <c r="U502" s="14">
        <f>'PIVOT TABLES'!$W$26</f>
        <v>55.895999999999994</v>
      </c>
      <c r="V502" s="14">
        <f>'PIVOT TABLES'!$W$27-'PIVOT TABLES'!$W$26</f>
        <v>27.948</v>
      </c>
      <c r="W502" s="14">
        <f>'PIVOT TABLES'!$W$28-'PIVOT TABLES'!$W$27</f>
        <v>27.947999999999993</v>
      </c>
      <c r="X502" s="14">
        <f>200-SUM(Table3[[#This Row],[S - LIGHT]:[S - VIGOROUS]])</f>
        <v>88.208000000000013</v>
      </c>
    </row>
    <row r="503" spans="1:24" x14ac:dyDescent="0.25">
      <c r="A503" s="17" t="s">
        <v>59</v>
      </c>
      <c r="B503" s="13" t="str">
        <f t="shared" si="7"/>
        <v>Striker</v>
      </c>
      <c r="C503" s="7">
        <v>45318</v>
      </c>
      <c r="D503" s="14">
        <v>11312</v>
      </c>
      <c r="E503" s="14">
        <v>218</v>
      </c>
      <c r="F503" s="14">
        <v>62</v>
      </c>
      <c r="G503" s="14">
        <v>43</v>
      </c>
      <c r="H503" s="34">
        <v>123</v>
      </c>
      <c r="I503" s="14">
        <f>'PIVOT TABLES'!$B$26</f>
        <v>60.283999999999999</v>
      </c>
      <c r="J503" s="14">
        <f>'PIVOT TABLES'!$B$27-'PIVOT TABLES'!$B$26</f>
        <v>30.142000000000003</v>
      </c>
      <c r="K503" s="14">
        <f>'PIVOT TABLES'!$B$28-'PIVOT TABLES'!$B$27</f>
        <v>30.141999999999996</v>
      </c>
      <c r="L503" s="14">
        <f>200-SUM(Table3[[#This Row],[D - LIGHT]:[D - VIGOROUS]])</f>
        <v>79.432000000000002</v>
      </c>
      <c r="M503" s="14">
        <f>'PIVOT TABLES'!$I$26</f>
        <v>65.603999999999999</v>
      </c>
      <c r="N503" s="14">
        <f>'PIVOT TABLES'!$I$27-'PIVOT TABLES'!$I$26</f>
        <v>32.802000000000007</v>
      </c>
      <c r="O503" s="14">
        <f>'PIVOT TABLES'!$I$28-'PIVOT TABLES'!$I$27</f>
        <v>32.801999999999992</v>
      </c>
      <c r="P503" s="14">
        <f>200-SUM(Table3[[#This Row],[M - LIGHT]:[M - VIGOROUS]])</f>
        <v>68.792000000000002</v>
      </c>
      <c r="Q503" s="14">
        <f>'PIVOT TABLES'!$P$26</f>
        <v>62.64</v>
      </c>
      <c r="R503" s="14">
        <f>'PIVOT TABLES'!$P$27-'PIVOT TABLES'!$P$26</f>
        <v>31.320000000000007</v>
      </c>
      <c r="S503" s="14">
        <f>'PIVOT TABLES'!$P$28-'PIVOT TABLES'!$P$27</f>
        <v>31.319999999999993</v>
      </c>
      <c r="T503" s="14">
        <f>200-SUM(Table3[[#This Row],[W - LIGHT]:[W - VIGOROUS]])</f>
        <v>74.72</v>
      </c>
      <c r="U503" s="14">
        <f>'PIVOT TABLES'!$W$26</f>
        <v>55.895999999999994</v>
      </c>
      <c r="V503" s="14">
        <f>'PIVOT TABLES'!$W$27-'PIVOT TABLES'!$W$26</f>
        <v>27.948</v>
      </c>
      <c r="W503" s="14">
        <f>'PIVOT TABLES'!$W$28-'PIVOT TABLES'!$W$27</f>
        <v>27.947999999999993</v>
      </c>
      <c r="X503" s="14">
        <f>200-SUM(Table3[[#This Row],[S - LIGHT]:[S - VIGOROUS]])</f>
        <v>88.208000000000013</v>
      </c>
    </row>
    <row r="504" spans="1:24" x14ac:dyDescent="0.25">
      <c r="A504" s="17" t="s">
        <v>4</v>
      </c>
      <c r="B504" s="13" t="str">
        <f t="shared" si="7"/>
        <v>Midfielder</v>
      </c>
      <c r="C504" s="7">
        <v>45318</v>
      </c>
      <c r="D504" s="14">
        <v>7305</v>
      </c>
      <c r="E504" s="14">
        <v>64</v>
      </c>
      <c r="F504" s="14">
        <v>21</v>
      </c>
      <c r="G504" s="14">
        <v>22</v>
      </c>
      <c r="H504" s="34">
        <v>76.25</v>
      </c>
      <c r="I504" s="14">
        <f>'PIVOT TABLES'!$B$26</f>
        <v>60.283999999999999</v>
      </c>
      <c r="J504" s="14">
        <f>'PIVOT TABLES'!$B$27-'PIVOT TABLES'!$B$26</f>
        <v>30.142000000000003</v>
      </c>
      <c r="K504" s="14">
        <f>'PIVOT TABLES'!$B$28-'PIVOT TABLES'!$B$27</f>
        <v>30.141999999999996</v>
      </c>
      <c r="L504" s="14">
        <f>200-SUM(Table3[[#This Row],[D - LIGHT]:[D - VIGOROUS]])</f>
        <v>79.432000000000002</v>
      </c>
      <c r="M504" s="14">
        <f>'PIVOT TABLES'!$I$26</f>
        <v>65.603999999999999</v>
      </c>
      <c r="N504" s="14">
        <f>'PIVOT TABLES'!$I$27-'PIVOT TABLES'!$I$26</f>
        <v>32.802000000000007</v>
      </c>
      <c r="O504" s="14">
        <f>'PIVOT TABLES'!$I$28-'PIVOT TABLES'!$I$27</f>
        <v>32.801999999999992</v>
      </c>
      <c r="P504" s="14">
        <f>200-SUM(Table3[[#This Row],[M - LIGHT]:[M - VIGOROUS]])</f>
        <v>68.792000000000002</v>
      </c>
      <c r="Q504" s="14">
        <f>'PIVOT TABLES'!$P$26</f>
        <v>62.64</v>
      </c>
      <c r="R504" s="14">
        <f>'PIVOT TABLES'!$P$27-'PIVOT TABLES'!$P$26</f>
        <v>31.320000000000007</v>
      </c>
      <c r="S504" s="14">
        <f>'PIVOT TABLES'!$P$28-'PIVOT TABLES'!$P$27</f>
        <v>31.319999999999993</v>
      </c>
      <c r="T504" s="14">
        <f>200-SUM(Table3[[#This Row],[W - LIGHT]:[W - VIGOROUS]])</f>
        <v>74.72</v>
      </c>
      <c r="U504" s="14">
        <f>'PIVOT TABLES'!$W$26</f>
        <v>55.895999999999994</v>
      </c>
      <c r="V504" s="14">
        <f>'PIVOT TABLES'!$W$27-'PIVOT TABLES'!$W$26</f>
        <v>27.948</v>
      </c>
      <c r="W504" s="14">
        <f>'PIVOT TABLES'!$W$28-'PIVOT TABLES'!$W$27</f>
        <v>27.947999999999993</v>
      </c>
      <c r="X504" s="14">
        <f>200-SUM(Table3[[#This Row],[S - LIGHT]:[S - VIGOROUS]])</f>
        <v>88.208000000000013</v>
      </c>
    </row>
    <row r="505" spans="1:24" x14ac:dyDescent="0.25">
      <c r="A505" s="17" t="s">
        <v>71</v>
      </c>
      <c r="B505" s="13" t="str">
        <f t="shared" si="7"/>
        <v>Midfielder</v>
      </c>
      <c r="C505" s="7">
        <v>45318</v>
      </c>
      <c r="D505" s="14">
        <v>6182</v>
      </c>
      <c r="E505" s="14">
        <v>99</v>
      </c>
      <c r="F505" s="14">
        <v>13</v>
      </c>
      <c r="G505" s="14">
        <v>13</v>
      </c>
      <c r="H505" s="34">
        <v>65.569999999999993</v>
      </c>
      <c r="I505" s="14">
        <f>'PIVOT TABLES'!$B$26</f>
        <v>60.283999999999999</v>
      </c>
      <c r="J505" s="14">
        <f>'PIVOT TABLES'!$B$27-'PIVOT TABLES'!$B$26</f>
        <v>30.142000000000003</v>
      </c>
      <c r="K505" s="14">
        <f>'PIVOT TABLES'!$B$28-'PIVOT TABLES'!$B$27</f>
        <v>30.141999999999996</v>
      </c>
      <c r="L505" s="14">
        <f>200-SUM(Table3[[#This Row],[D - LIGHT]:[D - VIGOROUS]])</f>
        <v>79.432000000000002</v>
      </c>
      <c r="M505" s="14">
        <f>'PIVOT TABLES'!$I$26</f>
        <v>65.603999999999999</v>
      </c>
      <c r="N505" s="14">
        <f>'PIVOT TABLES'!$I$27-'PIVOT TABLES'!$I$26</f>
        <v>32.802000000000007</v>
      </c>
      <c r="O505" s="14">
        <f>'PIVOT TABLES'!$I$28-'PIVOT TABLES'!$I$27</f>
        <v>32.801999999999992</v>
      </c>
      <c r="P505" s="14">
        <f>200-SUM(Table3[[#This Row],[M - LIGHT]:[M - VIGOROUS]])</f>
        <v>68.792000000000002</v>
      </c>
      <c r="Q505" s="14">
        <f>'PIVOT TABLES'!$P$26</f>
        <v>62.64</v>
      </c>
      <c r="R505" s="14">
        <f>'PIVOT TABLES'!$P$27-'PIVOT TABLES'!$P$26</f>
        <v>31.320000000000007</v>
      </c>
      <c r="S505" s="14">
        <f>'PIVOT TABLES'!$P$28-'PIVOT TABLES'!$P$27</f>
        <v>31.319999999999993</v>
      </c>
      <c r="T505" s="14">
        <f>200-SUM(Table3[[#This Row],[W - LIGHT]:[W - VIGOROUS]])</f>
        <v>74.72</v>
      </c>
      <c r="U505" s="14">
        <f>'PIVOT TABLES'!$W$26</f>
        <v>55.895999999999994</v>
      </c>
      <c r="V505" s="14">
        <f>'PIVOT TABLES'!$W$27-'PIVOT TABLES'!$W$26</f>
        <v>27.948</v>
      </c>
      <c r="W505" s="14">
        <f>'PIVOT TABLES'!$W$28-'PIVOT TABLES'!$W$27</f>
        <v>27.947999999999993</v>
      </c>
      <c r="X505" s="14">
        <f>200-SUM(Table3[[#This Row],[S - LIGHT]:[S - VIGOROUS]])</f>
        <v>88.208000000000013</v>
      </c>
    </row>
    <row r="506" spans="1:24" x14ac:dyDescent="0.25">
      <c r="A506" s="17" t="s">
        <v>5</v>
      </c>
      <c r="B506" s="13" t="str">
        <f t="shared" si="7"/>
        <v>Midfielder</v>
      </c>
      <c r="C506" s="7">
        <v>45318</v>
      </c>
      <c r="D506" s="14">
        <v>8725</v>
      </c>
      <c r="E506" s="14">
        <v>202</v>
      </c>
      <c r="F506" s="14">
        <v>25</v>
      </c>
      <c r="G506" s="14">
        <v>23</v>
      </c>
      <c r="H506" s="34">
        <v>94.77</v>
      </c>
      <c r="I506" s="14">
        <f>'PIVOT TABLES'!$B$26</f>
        <v>60.283999999999999</v>
      </c>
      <c r="J506" s="14">
        <f>'PIVOT TABLES'!$B$27-'PIVOT TABLES'!$B$26</f>
        <v>30.142000000000003</v>
      </c>
      <c r="K506" s="14">
        <f>'PIVOT TABLES'!$B$28-'PIVOT TABLES'!$B$27</f>
        <v>30.141999999999996</v>
      </c>
      <c r="L506" s="14">
        <f>200-SUM(Table3[[#This Row],[D - LIGHT]:[D - VIGOROUS]])</f>
        <v>79.432000000000002</v>
      </c>
      <c r="M506" s="14">
        <f>'PIVOT TABLES'!$I$26</f>
        <v>65.603999999999999</v>
      </c>
      <c r="N506" s="14">
        <f>'PIVOT TABLES'!$I$27-'PIVOT TABLES'!$I$26</f>
        <v>32.802000000000007</v>
      </c>
      <c r="O506" s="14">
        <f>'PIVOT TABLES'!$I$28-'PIVOT TABLES'!$I$27</f>
        <v>32.801999999999992</v>
      </c>
      <c r="P506" s="14">
        <f>200-SUM(Table3[[#This Row],[M - LIGHT]:[M - VIGOROUS]])</f>
        <v>68.792000000000002</v>
      </c>
      <c r="Q506" s="14">
        <f>'PIVOT TABLES'!$P$26</f>
        <v>62.64</v>
      </c>
      <c r="R506" s="14">
        <f>'PIVOT TABLES'!$P$27-'PIVOT TABLES'!$P$26</f>
        <v>31.320000000000007</v>
      </c>
      <c r="S506" s="14">
        <f>'PIVOT TABLES'!$P$28-'PIVOT TABLES'!$P$27</f>
        <v>31.319999999999993</v>
      </c>
      <c r="T506" s="14">
        <f>200-SUM(Table3[[#This Row],[W - LIGHT]:[W - VIGOROUS]])</f>
        <v>74.72</v>
      </c>
      <c r="U506" s="14">
        <f>'PIVOT TABLES'!$W$26</f>
        <v>55.895999999999994</v>
      </c>
      <c r="V506" s="14">
        <f>'PIVOT TABLES'!$W$27-'PIVOT TABLES'!$W$26</f>
        <v>27.948</v>
      </c>
      <c r="W506" s="14">
        <f>'PIVOT TABLES'!$W$28-'PIVOT TABLES'!$W$27</f>
        <v>27.947999999999993</v>
      </c>
      <c r="X506" s="14">
        <f>200-SUM(Table3[[#This Row],[S - LIGHT]:[S - VIGOROUS]])</f>
        <v>88.208000000000013</v>
      </c>
    </row>
    <row r="507" spans="1:24" x14ac:dyDescent="0.25">
      <c r="A507" s="17" t="s">
        <v>6</v>
      </c>
      <c r="B507" s="13" t="str">
        <f t="shared" si="7"/>
        <v>Midfielder</v>
      </c>
      <c r="C507" s="7">
        <v>45318</v>
      </c>
      <c r="D507" s="14">
        <v>12587</v>
      </c>
      <c r="E507" s="14">
        <v>594</v>
      </c>
      <c r="F507" s="14">
        <v>61</v>
      </c>
      <c r="G507" s="14">
        <v>42</v>
      </c>
      <c r="H507" s="34">
        <v>146.97</v>
      </c>
      <c r="I507" s="14">
        <f>'PIVOT TABLES'!$B$26</f>
        <v>60.283999999999999</v>
      </c>
      <c r="J507" s="14">
        <f>'PIVOT TABLES'!$B$27-'PIVOT TABLES'!$B$26</f>
        <v>30.142000000000003</v>
      </c>
      <c r="K507" s="14">
        <f>'PIVOT TABLES'!$B$28-'PIVOT TABLES'!$B$27</f>
        <v>30.141999999999996</v>
      </c>
      <c r="L507" s="14">
        <f>200-SUM(Table3[[#This Row],[D - LIGHT]:[D - VIGOROUS]])</f>
        <v>79.432000000000002</v>
      </c>
      <c r="M507" s="14">
        <f>'PIVOT TABLES'!$I$26</f>
        <v>65.603999999999999</v>
      </c>
      <c r="N507" s="14">
        <f>'PIVOT TABLES'!$I$27-'PIVOT TABLES'!$I$26</f>
        <v>32.802000000000007</v>
      </c>
      <c r="O507" s="14">
        <f>'PIVOT TABLES'!$I$28-'PIVOT TABLES'!$I$27</f>
        <v>32.801999999999992</v>
      </c>
      <c r="P507" s="14">
        <f>200-SUM(Table3[[#This Row],[M - LIGHT]:[M - VIGOROUS]])</f>
        <v>68.792000000000002</v>
      </c>
      <c r="Q507" s="14">
        <f>'PIVOT TABLES'!$P$26</f>
        <v>62.64</v>
      </c>
      <c r="R507" s="14">
        <f>'PIVOT TABLES'!$P$27-'PIVOT TABLES'!$P$26</f>
        <v>31.320000000000007</v>
      </c>
      <c r="S507" s="14">
        <f>'PIVOT TABLES'!$P$28-'PIVOT TABLES'!$P$27</f>
        <v>31.319999999999993</v>
      </c>
      <c r="T507" s="14">
        <f>200-SUM(Table3[[#This Row],[W - LIGHT]:[W - VIGOROUS]])</f>
        <v>74.72</v>
      </c>
      <c r="U507" s="14">
        <f>'PIVOT TABLES'!$W$26</f>
        <v>55.895999999999994</v>
      </c>
      <c r="V507" s="14">
        <f>'PIVOT TABLES'!$W$27-'PIVOT TABLES'!$W$26</f>
        <v>27.948</v>
      </c>
      <c r="W507" s="14">
        <f>'PIVOT TABLES'!$W$28-'PIVOT TABLES'!$W$27</f>
        <v>27.947999999999993</v>
      </c>
      <c r="X507" s="14">
        <f>200-SUM(Table3[[#This Row],[S - LIGHT]:[S - VIGOROUS]])</f>
        <v>88.208000000000013</v>
      </c>
    </row>
    <row r="508" spans="1:24" x14ac:dyDescent="0.25">
      <c r="A508" s="17" t="s">
        <v>62</v>
      </c>
      <c r="B508" s="13" t="str">
        <f t="shared" si="7"/>
        <v>Midfielder</v>
      </c>
      <c r="C508" s="7">
        <v>45318</v>
      </c>
      <c r="D508" s="14">
        <v>11022</v>
      </c>
      <c r="E508" s="14">
        <v>124</v>
      </c>
      <c r="F508" s="14">
        <v>34</v>
      </c>
      <c r="G508" s="14">
        <v>21</v>
      </c>
      <c r="H508" s="34">
        <v>115.72</v>
      </c>
      <c r="I508" s="14">
        <f>'PIVOT TABLES'!$B$26</f>
        <v>60.283999999999999</v>
      </c>
      <c r="J508" s="14">
        <f>'PIVOT TABLES'!$B$27-'PIVOT TABLES'!$B$26</f>
        <v>30.142000000000003</v>
      </c>
      <c r="K508" s="14">
        <f>'PIVOT TABLES'!$B$28-'PIVOT TABLES'!$B$27</f>
        <v>30.141999999999996</v>
      </c>
      <c r="L508" s="14">
        <f>200-SUM(Table3[[#This Row],[D - LIGHT]:[D - VIGOROUS]])</f>
        <v>79.432000000000002</v>
      </c>
      <c r="M508" s="14">
        <f>'PIVOT TABLES'!$I$26</f>
        <v>65.603999999999999</v>
      </c>
      <c r="N508" s="14">
        <f>'PIVOT TABLES'!$I$27-'PIVOT TABLES'!$I$26</f>
        <v>32.802000000000007</v>
      </c>
      <c r="O508" s="14">
        <f>'PIVOT TABLES'!$I$28-'PIVOT TABLES'!$I$27</f>
        <v>32.801999999999992</v>
      </c>
      <c r="P508" s="14">
        <f>200-SUM(Table3[[#This Row],[M - LIGHT]:[M - VIGOROUS]])</f>
        <v>68.792000000000002</v>
      </c>
      <c r="Q508" s="14">
        <f>'PIVOT TABLES'!$P$26</f>
        <v>62.64</v>
      </c>
      <c r="R508" s="14">
        <f>'PIVOT TABLES'!$P$27-'PIVOT TABLES'!$P$26</f>
        <v>31.320000000000007</v>
      </c>
      <c r="S508" s="14">
        <f>'PIVOT TABLES'!$P$28-'PIVOT TABLES'!$P$27</f>
        <v>31.319999999999993</v>
      </c>
      <c r="T508" s="14">
        <f>200-SUM(Table3[[#This Row],[W - LIGHT]:[W - VIGOROUS]])</f>
        <v>74.72</v>
      </c>
      <c r="U508" s="14">
        <f>'PIVOT TABLES'!$W$26</f>
        <v>55.895999999999994</v>
      </c>
      <c r="V508" s="14">
        <f>'PIVOT TABLES'!$W$27-'PIVOT TABLES'!$W$26</f>
        <v>27.948</v>
      </c>
      <c r="W508" s="14">
        <f>'PIVOT TABLES'!$W$28-'PIVOT TABLES'!$W$27</f>
        <v>27.947999999999993</v>
      </c>
      <c r="X508" s="14">
        <f>200-SUM(Table3[[#This Row],[S - LIGHT]:[S - VIGOROUS]])</f>
        <v>88.208000000000013</v>
      </c>
    </row>
    <row r="509" spans="1:24" x14ac:dyDescent="0.25">
      <c r="A509" s="17" t="s">
        <v>77</v>
      </c>
      <c r="B509" s="13" t="str">
        <f t="shared" si="7"/>
        <v>Defender</v>
      </c>
      <c r="C509" s="7">
        <v>45318</v>
      </c>
      <c r="D509" s="14">
        <v>10904</v>
      </c>
      <c r="E509" s="14">
        <v>418</v>
      </c>
      <c r="F509" s="14">
        <v>40</v>
      </c>
      <c r="G509" s="14">
        <v>32</v>
      </c>
      <c r="H509" s="34">
        <v>123.82</v>
      </c>
      <c r="I509" s="14">
        <f>'PIVOT TABLES'!$B$26</f>
        <v>60.283999999999999</v>
      </c>
      <c r="J509" s="14">
        <f>'PIVOT TABLES'!$B$27-'PIVOT TABLES'!$B$26</f>
        <v>30.142000000000003</v>
      </c>
      <c r="K509" s="14">
        <f>'PIVOT TABLES'!$B$28-'PIVOT TABLES'!$B$27</f>
        <v>30.141999999999996</v>
      </c>
      <c r="L509" s="14">
        <f>200-SUM(Table3[[#This Row],[D - LIGHT]:[D - VIGOROUS]])</f>
        <v>79.432000000000002</v>
      </c>
      <c r="M509" s="14">
        <f>'PIVOT TABLES'!$I$26</f>
        <v>65.603999999999999</v>
      </c>
      <c r="N509" s="14">
        <f>'PIVOT TABLES'!$I$27-'PIVOT TABLES'!$I$26</f>
        <v>32.802000000000007</v>
      </c>
      <c r="O509" s="14">
        <f>'PIVOT TABLES'!$I$28-'PIVOT TABLES'!$I$27</f>
        <v>32.801999999999992</v>
      </c>
      <c r="P509" s="14">
        <f>200-SUM(Table3[[#This Row],[M - LIGHT]:[M - VIGOROUS]])</f>
        <v>68.792000000000002</v>
      </c>
      <c r="Q509" s="14">
        <f>'PIVOT TABLES'!$P$26</f>
        <v>62.64</v>
      </c>
      <c r="R509" s="14">
        <f>'PIVOT TABLES'!$P$27-'PIVOT TABLES'!$P$26</f>
        <v>31.320000000000007</v>
      </c>
      <c r="S509" s="14">
        <f>'PIVOT TABLES'!$P$28-'PIVOT TABLES'!$P$27</f>
        <v>31.319999999999993</v>
      </c>
      <c r="T509" s="14">
        <f>200-SUM(Table3[[#This Row],[W - LIGHT]:[W - VIGOROUS]])</f>
        <v>74.72</v>
      </c>
      <c r="U509" s="14">
        <f>'PIVOT TABLES'!$W$26</f>
        <v>55.895999999999994</v>
      </c>
      <c r="V509" s="14">
        <f>'PIVOT TABLES'!$W$27-'PIVOT TABLES'!$W$26</f>
        <v>27.948</v>
      </c>
      <c r="W509" s="14">
        <f>'PIVOT TABLES'!$W$28-'PIVOT TABLES'!$W$27</f>
        <v>27.947999999999993</v>
      </c>
      <c r="X509" s="14">
        <f>200-SUM(Table3[[#This Row],[S - LIGHT]:[S - VIGOROUS]])</f>
        <v>88.208000000000013</v>
      </c>
    </row>
    <row r="510" spans="1:24" x14ac:dyDescent="0.25">
      <c r="A510" s="17" t="s">
        <v>78</v>
      </c>
      <c r="B510" s="13" t="str">
        <f t="shared" si="7"/>
        <v>Defender</v>
      </c>
      <c r="C510" s="7">
        <v>45318</v>
      </c>
      <c r="D510" s="14">
        <v>11632</v>
      </c>
      <c r="E510" s="14">
        <v>168</v>
      </c>
      <c r="F510" s="14">
        <v>40</v>
      </c>
      <c r="G510" s="14">
        <v>22</v>
      </c>
      <c r="H510" s="34">
        <v>123.4</v>
      </c>
      <c r="I510" s="14">
        <f>'PIVOT TABLES'!$B$26</f>
        <v>60.283999999999999</v>
      </c>
      <c r="J510" s="14">
        <f>'PIVOT TABLES'!$B$27-'PIVOT TABLES'!$B$26</f>
        <v>30.142000000000003</v>
      </c>
      <c r="K510" s="14">
        <f>'PIVOT TABLES'!$B$28-'PIVOT TABLES'!$B$27</f>
        <v>30.141999999999996</v>
      </c>
      <c r="L510" s="14">
        <f>200-SUM(Table3[[#This Row],[D - LIGHT]:[D - VIGOROUS]])</f>
        <v>79.432000000000002</v>
      </c>
      <c r="M510" s="14">
        <f>'PIVOT TABLES'!$I$26</f>
        <v>65.603999999999999</v>
      </c>
      <c r="N510" s="14">
        <f>'PIVOT TABLES'!$I$27-'PIVOT TABLES'!$I$26</f>
        <v>32.802000000000007</v>
      </c>
      <c r="O510" s="14">
        <f>'PIVOT TABLES'!$I$28-'PIVOT TABLES'!$I$27</f>
        <v>32.801999999999992</v>
      </c>
      <c r="P510" s="14">
        <f>200-SUM(Table3[[#This Row],[M - LIGHT]:[M - VIGOROUS]])</f>
        <v>68.792000000000002</v>
      </c>
      <c r="Q510" s="14">
        <f>'PIVOT TABLES'!$P$26</f>
        <v>62.64</v>
      </c>
      <c r="R510" s="14">
        <f>'PIVOT TABLES'!$P$27-'PIVOT TABLES'!$P$26</f>
        <v>31.320000000000007</v>
      </c>
      <c r="S510" s="14">
        <f>'PIVOT TABLES'!$P$28-'PIVOT TABLES'!$P$27</f>
        <v>31.319999999999993</v>
      </c>
      <c r="T510" s="14">
        <f>200-SUM(Table3[[#This Row],[W - LIGHT]:[W - VIGOROUS]])</f>
        <v>74.72</v>
      </c>
      <c r="U510" s="14">
        <f>'PIVOT TABLES'!$W$26</f>
        <v>55.895999999999994</v>
      </c>
      <c r="V510" s="14">
        <f>'PIVOT TABLES'!$W$27-'PIVOT TABLES'!$W$26</f>
        <v>27.948</v>
      </c>
      <c r="W510" s="14">
        <f>'PIVOT TABLES'!$W$28-'PIVOT TABLES'!$W$27</f>
        <v>27.947999999999993</v>
      </c>
      <c r="X510" s="14">
        <f>200-SUM(Table3[[#This Row],[S - LIGHT]:[S - VIGOROUS]])</f>
        <v>88.208000000000013</v>
      </c>
    </row>
    <row r="511" spans="1:24" x14ac:dyDescent="0.25">
      <c r="A511" s="17" t="s">
        <v>95</v>
      </c>
      <c r="B511" s="13" t="str">
        <f t="shared" si="7"/>
        <v>Winger</v>
      </c>
      <c r="C511" s="7">
        <v>45318</v>
      </c>
      <c r="D511" s="14">
        <v>10752</v>
      </c>
      <c r="E511" s="14">
        <v>293</v>
      </c>
      <c r="F511" s="14">
        <v>37</v>
      </c>
      <c r="G511" s="14">
        <v>30</v>
      </c>
      <c r="H511" s="34">
        <v>118.39</v>
      </c>
      <c r="I511" s="14">
        <f>'PIVOT TABLES'!$B$26</f>
        <v>60.283999999999999</v>
      </c>
      <c r="J511" s="14">
        <f>'PIVOT TABLES'!$B$27-'PIVOT TABLES'!$B$26</f>
        <v>30.142000000000003</v>
      </c>
      <c r="K511" s="14">
        <f>'PIVOT TABLES'!$B$28-'PIVOT TABLES'!$B$27</f>
        <v>30.141999999999996</v>
      </c>
      <c r="L511" s="14">
        <f>200-SUM(Table3[[#This Row],[D - LIGHT]:[D - VIGOROUS]])</f>
        <v>79.432000000000002</v>
      </c>
      <c r="M511" s="14">
        <f>'PIVOT TABLES'!$I$26</f>
        <v>65.603999999999999</v>
      </c>
      <c r="N511" s="14">
        <f>'PIVOT TABLES'!$I$27-'PIVOT TABLES'!$I$26</f>
        <v>32.802000000000007</v>
      </c>
      <c r="O511" s="14">
        <f>'PIVOT TABLES'!$I$28-'PIVOT TABLES'!$I$27</f>
        <v>32.801999999999992</v>
      </c>
      <c r="P511" s="14">
        <f>200-SUM(Table3[[#This Row],[M - LIGHT]:[M - VIGOROUS]])</f>
        <v>68.792000000000002</v>
      </c>
      <c r="Q511" s="14">
        <f>'PIVOT TABLES'!$P$26</f>
        <v>62.64</v>
      </c>
      <c r="R511" s="14">
        <f>'PIVOT TABLES'!$P$27-'PIVOT TABLES'!$P$26</f>
        <v>31.320000000000007</v>
      </c>
      <c r="S511" s="14">
        <f>'PIVOT TABLES'!$P$28-'PIVOT TABLES'!$P$27</f>
        <v>31.319999999999993</v>
      </c>
      <c r="T511" s="14">
        <f>200-SUM(Table3[[#This Row],[W - LIGHT]:[W - VIGOROUS]])</f>
        <v>74.72</v>
      </c>
      <c r="U511" s="14">
        <f>'PIVOT TABLES'!$W$26</f>
        <v>55.895999999999994</v>
      </c>
      <c r="V511" s="14">
        <f>'PIVOT TABLES'!$W$27-'PIVOT TABLES'!$W$26</f>
        <v>27.948</v>
      </c>
      <c r="W511" s="14">
        <f>'PIVOT TABLES'!$W$28-'PIVOT TABLES'!$W$27</f>
        <v>27.947999999999993</v>
      </c>
      <c r="X511" s="14">
        <f>200-SUM(Table3[[#This Row],[S - LIGHT]:[S - VIGOROUS]])</f>
        <v>88.208000000000013</v>
      </c>
    </row>
    <row r="512" spans="1:24" x14ac:dyDescent="0.25">
      <c r="A512" s="17" t="s">
        <v>96</v>
      </c>
      <c r="B512" s="13" t="str">
        <f t="shared" si="7"/>
        <v>Winger</v>
      </c>
      <c r="C512" s="7">
        <v>45318</v>
      </c>
      <c r="D512" s="14">
        <v>6547</v>
      </c>
      <c r="E512" s="14">
        <v>108</v>
      </c>
      <c r="F512" s="14">
        <v>26</v>
      </c>
      <c r="G512" s="14">
        <v>17</v>
      </c>
      <c r="H512" s="34">
        <v>70.09</v>
      </c>
      <c r="I512" s="14">
        <f>'PIVOT TABLES'!$B$26</f>
        <v>60.283999999999999</v>
      </c>
      <c r="J512" s="14">
        <f>'PIVOT TABLES'!$B$27-'PIVOT TABLES'!$B$26</f>
        <v>30.142000000000003</v>
      </c>
      <c r="K512" s="14">
        <f>'PIVOT TABLES'!$B$28-'PIVOT TABLES'!$B$27</f>
        <v>30.141999999999996</v>
      </c>
      <c r="L512" s="14">
        <f>200-SUM(Table3[[#This Row],[D - LIGHT]:[D - VIGOROUS]])</f>
        <v>79.432000000000002</v>
      </c>
      <c r="M512" s="14">
        <f>'PIVOT TABLES'!$I$26</f>
        <v>65.603999999999999</v>
      </c>
      <c r="N512" s="14">
        <f>'PIVOT TABLES'!$I$27-'PIVOT TABLES'!$I$26</f>
        <v>32.802000000000007</v>
      </c>
      <c r="O512" s="14">
        <f>'PIVOT TABLES'!$I$28-'PIVOT TABLES'!$I$27</f>
        <v>32.801999999999992</v>
      </c>
      <c r="P512" s="14">
        <f>200-SUM(Table3[[#This Row],[M - LIGHT]:[M - VIGOROUS]])</f>
        <v>68.792000000000002</v>
      </c>
      <c r="Q512" s="14">
        <f>'PIVOT TABLES'!$P$26</f>
        <v>62.64</v>
      </c>
      <c r="R512" s="14">
        <f>'PIVOT TABLES'!$P$27-'PIVOT TABLES'!$P$26</f>
        <v>31.320000000000007</v>
      </c>
      <c r="S512" s="14">
        <f>'PIVOT TABLES'!$P$28-'PIVOT TABLES'!$P$27</f>
        <v>31.319999999999993</v>
      </c>
      <c r="T512" s="14">
        <f>200-SUM(Table3[[#This Row],[W - LIGHT]:[W - VIGOROUS]])</f>
        <v>74.72</v>
      </c>
      <c r="U512" s="14">
        <f>'PIVOT TABLES'!$W$26</f>
        <v>55.895999999999994</v>
      </c>
      <c r="V512" s="14">
        <f>'PIVOT TABLES'!$W$27-'PIVOT TABLES'!$W$26</f>
        <v>27.948</v>
      </c>
      <c r="W512" s="14">
        <f>'PIVOT TABLES'!$W$28-'PIVOT TABLES'!$W$27</f>
        <v>27.947999999999993</v>
      </c>
      <c r="X512" s="14">
        <f>200-SUM(Table3[[#This Row],[S - LIGHT]:[S - VIGOROUS]])</f>
        <v>88.208000000000013</v>
      </c>
    </row>
    <row r="513" spans="1:24" x14ac:dyDescent="0.25">
      <c r="A513" s="17" t="s">
        <v>53</v>
      </c>
      <c r="B513" s="13" t="str">
        <f t="shared" si="7"/>
        <v>Midfielder</v>
      </c>
      <c r="C513" s="7">
        <v>45318</v>
      </c>
      <c r="D513" s="14">
        <v>8341</v>
      </c>
      <c r="E513" s="14">
        <v>101</v>
      </c>
      <c r="F513" s="14">
        <v>48</v>
      </c>
      <c r="G513" s="14">
        <v>46</v>
      </c>
      <c r="H513" s="34">
        <v>89.28</v>
      </c>
      <c r="I513" s="14">
        <f>'PIVOT TABLES'!$B$26</f>
        <v>60.283999999999999</v>
      </c>
      <c r="J513" s="14">
        <f>'PIVOT TABLES'!$B$27-'PIVOT TABLES'!$B$26</f>
        <v>30.142000000000003</v>
      </c>
      <c r="K513" s="14">
        <f>'PIVOT TABLES'!$B$28-'PIVOT TABLES'!$B$27</f>
        <v>30.141999999999996</v>
      </c>
      <c r="L513" s="14">
        <f>200-SUM(Table3[[#This Row],[D - LIGHT]:[D - VIGOROUS]])</f>
        <v>79.432000000000002</v>
      </c>
      <c r="M513" s="14">
        <f>'PIVOT TABLES'!$I$26</f>
        <v>65.603999999999999</v>
      </c>
      <c r="N513" s="14">
        <f>'PIVOT TABLES'!$I$27-'PIVOT TABLES'!$I$26</f>
        <v>32.802000000000007</v>
      </c>
      <c r="O513" s="14">
        <f>'PIVOT TABLES'!$I$28-'PIVOT TABLES'!$I$27</f>
        <v>32.801999999999992</v>
      </c>
      <c r="P513" s="14">
        <f>200-SUM(Table3[[#This Row],[M - LIGHT]:[M - VIGOROUS]])</f>
        <v>68.792000000000002</v>
      </c>
      <c r="Q513" s="14">
        <f>'PIVOT TABLES'!$P$26</f>
        <v>62.64</v>
      </c>
      <c r="R513" s="14">
        <f>'PIVOT TABLES'!$P$27-'PIVOT TABLES'!$P$26</f>
        <v>31.320000000000007</v>
      </c>
      <c r="S513" s="14">
        <f>'PIVOT TABLES'!$P$28-'PIVOT TABLES'!$P$27</f>
        <v>31.319999999999993</v>
      </c>
      <c r="T513" s="14">
        <f>200-SUM(Table3[[#This Row],[W - LIGHT]:[W - VIGOROUS]])</f>
        <v>74.72</v>
      </c>
      <c r="U513" s="14">
        <f>'PIVOT TABLES'!$W$26</f>
        <v>55.895999999999994</v>
      </c>
      <c r="V513" s="14">
        <f>'PIVOT TABLES'!$W$27-'PIVOT TABLES'!$W$26</f>
        <v>27.948</v>
      </c>
      <c r="W513" s="14">
        <f>'PIVOT TABLES'!$W$28-'PIVOT TABLES'!$W$27</f>
        <v>27.947999999999993</v>
      </c>
      <c r="X513" s="14">
        <f>200-SUM(Table3[[#This Row],[S - LIGHT]:[S - VIGOROUS]])</f>
        <v>88.208000000000013</v>
      </c>
    </row>
    <row r="514" spans="1:24" x14ac:dyDescent="0.25">
      <c r="A514" s="17" t="s">
        <v>54</v>
      </c>
      <c r="B514" s="13" t="str">
        <f t="shared" si="7"/>
        <v>Striker</v>
      </c>
      <c r="C514" s="7">
        <v>45318</v>
      </c>
      <c r="D514" s="14">
        <v>9240</v>
      </c>
      <c r="E514" s="14">
        <v>136</v>
      </c>
      <c r="F514" s="14">
        <v>24</v>
      </c>
      <c r="G514" s="14">
        <v>18</v>
      </c>
      <c r="H514" s="34">
        <v>97.8</v>
      </c>
      <c r="I514" s="14">
        <f>'PIVOT TABLES'!$B$26</f>
        <v>60.283999999999999</v>
      </c>
      <c r="J514" s="14">
        <f>'PIVOT TABLES'!$B$27-'PIVOT TABLES'!$B$26</f>
        <v>30.142000000000003</v>
      </c>
      <c r="K514" s="14">
        <f>'PIVOT TABLES'!$B$28-'PIVOT TABLES'!$B$27</f>
        <v>30.141999999999996</v>
      </c>
      <c r="L514" s="14">
        <f>200-SUM(Table3[[#This Row],[D - LIGHT]:[D - VIGOROUS]])</f>
        <v>79.432000000000002</v>
      </c>
      <c r="M514" s="14">
        <f>'PIVOT TABLES'!$I$26</f>
        <v>65.603999999999999</v>
      </c>
      <c r="N514" s="14">
        <f>'PIVOT TABLES'!$I$27-'PIVOT TABLES'!$I$26</f>
        <v>32.802000000000007</v>
      </c>
      <c r="O514" s="14">
        <f>'PIVOT TABLES'!$I$28-'PIVOT TABLES'!$I$27</f>
        <v>32.801999999999992</v>
      </c>
      <c r="P514" s="14">
        <f>200-SUM(Table3[[#This Row],[M - LIGHT]:[M - VIGOROUS]])</f>
        <v>68.792000000000002</v>
      </c>
      <c r="Q514" s="14">
        <f>'PIVOT TABLES'!$P$26</f>
        <v>62.64</v>
      </c>
      <c r="R514" s="14">
        <f>'PIVOT TABLES'!$P$27-'PIVOT TABLES'!$P$26</f>
        <v>31.320000000000007</v>
      </c>
      <c r="S514" s="14">
        <f>'PIVOT TABLES'!$P$28-'PIVOT TABLES'!$P$27</f>
        <v>31.319999999999993</v>
      </c>
      <c r="T514" s="14">
        <f>200-SUM(Table3[[#This Row],[W - LIGHT]:[W - VIGOROUS]])</f>
        <v>74.72</v>
      </c>
      <c r="U514" s="14">
        <f>'PIVOT TABLES'!$W$26</f>
        <v>55.895999999999994</v>
      </c>
      <c r="V514" s="14">
        <f>'PIVOT TABLES'!$W$27-'PIVOT TABLES'!$W$26</f>
        <v>27.948</v>
      </c>
      <c r="W514" s="14">
        <f>'PIVOT TABLES'!$W$28-'PIVOT TABLES'!$W$27</f>
        <v>27.947999999999993</v>
      </c>
      <c r="X514" s="14">
        <f>200-SUM(Table3[[#This Row],[S - LIGHT]:[S - VIGOROUS]])</f>
        <v>88.208000000000013</v>
      </c>
    </row>
    <row r="515" spans="1:24" x14ac:dyDescent="0.25">
      <c r="A515" s="17" t="s">
        <v>1</v>
      </c>
      <c r="B515" s="13" t="str">
        <f t="shared" ref="B515:B578" si="8">IF(A515="Sihle Gum","Defender",IF(A515="Kenny Langa","Defender",IF(A515="Tshepang Makara","Defender",IF(A515="Tshepiso Mahlangu","Defender",IF(A515="Neo Ramashala","Defender",IF(A515="Keabetswe Nkogatse","Defender",IF(A515="Kaketso Harold Majadibodu","Defender",IF(A515="Samuel Julies","Midfielder",IF(A515="Frank Mpedi","Midfielder",IF(A515="Sapholwethu Kelepu","Midfielder",IF(A515="Manelisi Sithole","Midfielder",IF(A515="Thabiso Mokoena","Midfielder",IF(A515="Khomotso Marebane","Midfielder",IF(A515="Tebogo Mohlamonyane","Midfielder",IF(A515="Thulani Zandamela","Midfielder",IF(A515="Mdevulana Camagu","Midfielder",IF(A515="Promise Mkhuma","Midfielder",IF(A515="Essien Makwarimba","Midfielder",IF(A515="Ayanda Mvambi","Winger",IF(A515="Delano Abrahams","Winger",IF(A515="Thokozani Sekotlong","Winger",IF(A515="Maselaelo Seanego","Winger",IF(A515="Lesedi Motha","Winger",IF(A515="Malekgene Mampuru","Winger",IF(A515="Matome Rangata","Winger",IF(A515="Thabang Sibanyoni","Striker",IF(A515="Tebogo Makungo","Striker",IF(A515="Neo Dikgale","Striker",IF(A515="Kamohelo Pheeane","Striker",IF(A515="Athenkosi Tonisi","Striker",IF(A515="Jesse Francis","Striker","####")))))))))))))))))))))))))))))))</f>
        <v>Defender</v>
      </c>
      <c r="C515" s="7">
        <v>45318</v>
      </c>
      <c r="D515" s="14">
        <v>10186</v>
      </c>
      <c r="E515" s="14">
        <v>66</v>
      </c>
      <c r="F515" s="14">
        <v>32</v>
      </c>
      <c r="G515" s="14">
        <v>26</v>
      </c>
      <c r="H515" s="34">
        <v>105.64</v>
      </c>
      <c r="I515" s="14">
        <f>'PIVOT TABLES'!$B$26</f>
        <v>60.283999999999999</v>
      </c>
      <c r="J515" s="14">
        <f>'PIVOT TABLES'!$B$27-'PIVOT TABLES'!$B$26</f>
        <v>30.142000000000003</v>
      </c>
      <c r="K515" s="14">
        <f>'PIVOT TABLES'!$B$28-'PIVOT TABLES'!$B$27</f>
        <v>30.141999999999996</v>
      </c>
      <c r="L515" s="14">
        <f>200-SUM(Table3[[#This Row],[D - LIGHT]:[D - VIGOROUS]])</f>
        <v>79.432000000000002</v>
      </c>
      <c r="M515" s="14">
        <f>'PIVOT TABLES'!$I$26</f>
        <v>65.603999999999999</v>
      </c>
      <c r="N515" s="14">
        <f>'PIVOT TABLES'!$I$27-'PIVOT TABLES'!$I$26</f>
        <v>32.802000000000007</v>
      </c>
      <c r="O515" s="14">
        <f>'PIVOT TABLES'!$I$28-'PIVOT TABLES'!$I$27</f>
        <v>32.801999999999992</v>
      </c>
      <c r="P515" s="14">
        <f>200-SUM(Table3[[#This Row],[M - LIGHT]:[M - VIGOROUS]])</f>
        <v>68.792000000000002</v>
      </c>
      <c r="Q515" s="14">
        <f>'PIVOT TABLES'!$P$26</f>
        <v>62.64</v>
      </c>
      <c r="R515" s="14">
        <f>'PIVOT TABLES'!$P$27-'PIVOT TABLES'!$P$26</f>
        <v>31.320000000000007</v>
      </c>
      <c r="S515" s="14">
        <f>'PIVOT TABLES'!$P$28-'PIVOT TABLES'!$P$27</f>
        <v>31.319999999999993</v>
      </c>
      <c r="T515" s="14">
        <f>200-SUM(Table3[[#This Row],[W - LIGHT]:[W - VIGOROUS]])</f>
        <v>74.72</v>
      </c>
      <c r="U515" s="14">
        <f>'PIVOT TABLES'!$W$26</f>
        <v>55.895999999999994</v>
      </c>
      <c r="V515" s="14">
        <f>'PIVOT TABLES'!$W$27-'PIVOT TABLES'!$W$26</f>
        <v>27.948</v>
      </c>
      <c r="W515" s="14">
        <f>'PIVOT TABLES'!$W$28-'PIVOT TABLES'!$W$27</f>
        <v>27.947999999999993</v>
      </c>
      <c r="X515" s="14">
        <f>200-SUM(Table3[[#This Row],[S - LIGHT]:[S - VIGOROUS]])</f>
        <v>88.208000000000013</v>
      </c>
    </row>
    <row r="516" spans="1:24" x14ac:dyDescent="0.25">
      <c r="A516" s="17" t="s">
        <v>56</v>
      </c>
      <c r="B516" s="13" t="str">
        <f t="shared" si="8"/>
        <v>Midfielder</v>
      </c>
      <c r="C516" s="7">
        <v>45318</v>
      </c>
      <c r="D516" s="14">
        <v>12759</v>
      </c>
      <c r="E516" s="14">
        <v>55</v>
      </c>
      <c r="F516" s="14">
        <v>42</v>
      </c>
      <c r="G516" s="14">
        <v>34</v>
      </c>
      <c r="H516" s="34">
        <v>131.6</v>
      </c>
      <c r="I516" s="14">
        <f>'PIVOT TABLES'!$B$26</f>
        <v>60.283999999999999</v>
      </c>
      <c r="J516" s="14">
        <f>'PIVOT TABLES'!$B$27-'PIVOT TABLES'!$B$26</f>
        <v>30.142000000000003</v>
      </c>
      <c r="K516" s="14">
        <f>'PIVOT TABLES'!$B$28-'PIVOT TABLES'!$B$27</f>
        <v>30.141999999999996</v>
      </c>
      <c r="L516" s="14">
        <f>200-SUM(Table3[[#This Row],[D - LIGHT]:[D - VIGOROUS]])</f>
        <v>79.432000000000002</v>
      </c>
      <c r="M516" s="14">
        <f>'PIVOT TABLES'!$I$26</f>
        <v>65.603999999999999</v>
      </c>
      <c r="N516" s="14">
        <f>'PIVOT TABLES'!$I$27-'PIVOT TABLES'!$I$26</f>
        <v>32.802000000000007</v>
      </c>
      <c r="O516" s="14">
        <f>'PIVOT TABLES'!$I$28-'PIVOT TABLES'!$I$27</f>
        <v>32.801999999999992</v>
      </c>
      <c r="P516" s="14">
        <f>200-SUM(Table3[[#This Row],[M - LIGHT]:[M - VIGOROUS]])</f>
        <v>68.792000000000002</v>
      </c>
      <c r="Q516" s="14">
        <f>'PIVOT TABLES'!$P$26</f>
        <v>62.64</v>
      </c>
      <c r="R516" s="14">
        <f>'PIVOT TABLES'!$P$27-'PIVOT TABLES'!$P$26</f>
        <v>31.320000000000007</v>
      </c>
      <c r="S516" s="14">
        <f>'PIVOT TABLES'!$P$28-'PIVOT TABLES'!$P$27</f>
        <v>31.319999999999993</v>
      </c>
      <c r="T516" s="14">
        <f>200-SUM(Table3[[#This Row],[W - LIGHT]:[W - VIGOROUS]])</f>
        <v>74.72</v>
      </c>
      <c r="U516" s="14">
        <f>'PIVOT TABLES'!$W$26</f>
        <v>55.895999999999994</v>
      </c>
      <c r="V516" s="14">
        <f>'PIVOT TABLES'!$W$27-'PIVOT TABLES'!$W$26</f>
        <v>27.948</v>
      </c>
      <c r="W516" s="14">
        <f>'PIVOT TABLES'!$W$28-'PIVOT TABLES'!$W$27</f>
        <v>27.947999999999993</v>
      </c>
      <c r="X516" s="14">
        <f>200-SUM(Table3[[#This Row],[S - LIGHT]:[S - VIGOROUS]])</f>
        <v>88.208000000000013</v>
      </c>
    </row>
    <row r="517" spans="1:24" x14ac:dyDescent="0.25">
      <c r="A517" s="17" t="s">
        <v>58</v>
      </c>
      <c r="B517" s="13" t="str">
        <f t="shared" si="8"/>
        <v>Defender</v>
      </c>
      <c r="C517" s="7">
        <v>45318</v>
      </c>
      <c r="D517" s="14">
        <v>11815</v>
      </c>
      <c r="E517" s="14">
        <v>177</v>
      </c>
      <c r="F517" s="14">
        <v>43</v>
      </c>
      <c r="G517" s="14">
        <v>38</v>
      </c>
      <c r="H517" s="34">
        <v>125.94</v>
      </c>
      <c r="I517" s="14">
        <f>'PIVOT TABLES'!$B$26</f>
        <v>60.283999999999999</v>
      </c>
      <c r="J517" s="14">
        <f>'PIVOT TABLES'!$B$27-'PIVOT TABLES'!$B$26</f>
        <v>30.142000000000003</v>
      </c>
      <c r="K517" s="14">
        <f>'PIVOT TABLES'!$B$28-'PIVOT TABLES'!$B$27</f>
        <v>30.141999999999996</v>
      </c>
      <c r="L517" s="14">
        <f>200-SUM(Table3[[#This Row],[D - LIGHT]:[D - VIGOROUS]])</f>
        <v>79.432000000000002</v>
      </c>
      <c r="M517" s="14">
        <f>'PIVOT TABLES'!$I$26</f>
        <v>65.603999999999999</v>
      </c>
      <c r="N517" s="14">
        <f>'PIVOT TABLES'!$I$27-'PIVOT TABLES'!$I$26</f>
        <v>32.802000000000007</v>
      </c>
      <c r="O517" s="14">
        <f>'PIVOT TABLES'!$I$28-'PIVOT TABLES'!$I$27</f>
        <v>32.801999999999992</v>
      </c>
      <c r="P517" s="14">
        <f>200-SUM(Table3[[#This Row],[M - LIGHT]:[M - VIGOROUS]])</f>
        <v>68.792000000000002</v>
      </c>
      <c r="Q517" s="14">
        <f>'PIVOT TABLES'!$P$26</f>
        <v>62.64</v>
      </c>
      <c r="R517" s="14">
        <f>'PIVOT TABLES'!$P$27-'PIVOT TABLES'!$P$26</f>
        <v>31.320000000000007</v>
      </c>
      <c r="S517" s="14">
        <f>'PIVOT TABLES'!$P$28-'PIVOT TABLES'!$P$27</f>
        <v>31.319999999999993</v>
      </c>
      <c r="T517" s="14">
        <f>200-SUM(Table3[[#This Row],[W - LIGHT]:[W - VIGOROUS]])</f>
        <v>74.72</v>
      </c>
      <c r="U517" s="14">
        <f>'PIVOT TABLES'!$W$26</f>
        <v>55.895999999999994</v>
      </c>
      <c r="V517" s="14">
        <f>'PIVOT TABLES'!$W$27-'PIVOT TABLES'!$W$26</f>
        <v>27.948</v>
      </c>
      <c r="W517" s="14">
        <f>'PIVOT TABLES'!$W$28-'PIVOT TABLES'!$W$27</f>
        <v>27.947999999999993</v>
      </c>
      <c r="X517" s="14">
        <f>200-SUM(Table3[[#This Row],[S - LIGHT]:[S - VIGOROUS]])</f>
        <v>88.208000000000013</v>
      </c>
    </row>
    <row r="518" spans="1:24" x14ac:dyDescent="0.25">
      <c r="A518" s="17" t="s">
        <v>94</v>
      </c>
      <c r="B518" s="13" t="str">
        <f t="shared" si="8"/>
        <v>Defender</v>
      </c>
      <c r="C518" s="7">
        <v>45318</v>
      </c>
      <c r="D518" s="14">
        <v>11202</v>
      </c>
      <c r="E518" s="14">
        <v>139</v>
      </c>
      <c r="F518" s="14">
        <v>41</v>
      </c>
      <c r="G518" s="14">
        <v>35</v>
      </c>
      <c r="H518" s="34">
        <v>118.53</v>
      </c>
      <c r="I518" s="14">
        <f>'PIVOT TABLES'!$B$26</f>
        <v>60.283999999999999</v>
      </c>
      <c r="J518" s="14">
        <f>'PIVOT TABLES'!$B$27-'PIVOT TABLES'!$B$26</f>
        <v>30.142000000000003</v>
      </c>
      <c r="K518" s="14">
        <f>'PIVOT TABLES'!$B$28-'PIVOT TABLES'!$B$27</f>
        <v>30.141999999999996</v>
      </c>
      <c r="L518" s="14">
        <f>200-SUM(Table3[[#This Row],[D - LIGHT]:[D - VIGOROUS]])</f>
        <v>79.432000000000002</v>
      </c>
      <c r="M518" s="14">
        <f>'PIVOT TABLES'!$I$26</f>
        <v>65.603999999999999</v>
      </c>
      <c r="N518" s="14">
        <f>'PIVOT TABLES'!$I$27-'PIVOT TABLES'!$I$26</f>
        <v>32.802000000000007</v>
      </c>
      <c r="O518" s="14">
        <f>'PIVOT TABLES'!$I$28-'PIVOT TABLES'!$I$27</f>
        <v>32.801999999999992</v>
      </c>
      <c r="P518" s="14">
        <f>200-SUM(Table3[[#This Row],[M - LIGHT]:[M - VIGOROUS]])</f>
        <v>68.792000000000002</v>
      </c>
      <c r="Q518" s="14">
        <f>'PIVOT TABLES'!$P$26</f>
        <v>62.64</v>
      </c>
      <c r="R518" s="14">
        <f>'PIVOT TABLES'!$P$27-'PIVOT TABLES'!$P$26</f>
        <v>31.320000000000007</v>
      </c>
      <c r="S518" s="14">
        <f>'PIVOT TABLES'!$P$28-'PIVOT TABLES'!$P$27</f>
        <v>31.319999999999993</v>
      </c>
      <c r="T518" s="14">
        <f>200-SUM(Table3[[#This Row],[W - LIGHT]:[W - VIGOROUS]])</f>
        <v>74.72</v>
      </c>
      <c r="U518" s="14">
        <f>'PIVOT TABLES'!$W$26</f>
        <v>55.895999999999994</v>
      </c>
      <c r="V518" s="14">
        <f>'PIVOT TABLES'!$W$27-'PIVOT TABLES'!$W$26</f>
        <v>27.948</v>
      </c>
      <c r="W518" s="14">
        <f>'PIVOT TABLES'!$W$28-'PIVOT TABLES'!$W$27</f>
        <v>27.947999999999993</v>
      </c>
      <c r="X518" s="14">
        <f>200-SUM(Table3[[#This Row],[S - LIGHT]:[S - VIGOROUS]])</f>
        <v>88.208000000000013</v>
      </c>
    </row>
    <row r="519" spans="1:24" x14ac:dyDescent="0.25">
      <c r="A519" s="17" t="s">
        <v>60</v>
      </c>
      <c r="B519" s="13" t="str">
        <f t="shared" si="8"/>
        <v>Winger</v>
      </c>
      <c r="C519" s="7">
        <v>45318</v>
      </c>
      <c r="D519" s="14">
        <v>13378</v>
      </c>
      <c r="E519" s="14">
        <v>304</v>
      </c>
      <c r="F519" s="14">
        <v>55</v>
      </c>
      <c r="G519" s="14">
        <v>41</v>
      </c>
      <c r="H519" s="34">
        <v>145.91999999999999</v>
      </c>
      <c r="I519" s="14">
        <f>'PIVOT TABLES'!$B$26</f>
        <v>60.283999999999999</v>
      </c>
      <c r="J519" s="14">
        <f>'PIVOT TABLES'!$B$27-'PIVOT TABLES'!$B$26</f>
        <v>30.142000000000003</v>
      </c>
      <c r="K519" s="14">
        <f>'PIVOT TABLES'!$B$28-'PIVOT TABLES'!$B$27</f>
        <v>30.141999999999996</v>
      </c>
      <c r="L519" s="14">
        <f>200-SUM(Table3[[#This Row],[D - LIGHT]:[D - VIGOROUS]])</f>
        <v>79.432000000000002</v>
      </c>
      <c r="M519" s="14">
        <f>'PIVOT TABLES'!$I$26</f>
        <v>65.603999999999999</v>
      </c>
      <c r="N519" s="14">
        <f>'PIVOT TABLES'!$I$27-'PIVOT TABLES'!$I$26</f>
        <v>32.802000000000007</v>
      </c>
      <c r="O519" s="14">
        <f>'PIVOT TABLES'!$I$28-'PIVOT TABLES'!$I$27</f>
        <v>32.801999999999992</v>
      </c>
      <c r="P519" s="14">
        <f>200-SUM(Table3[[#This Row],[M - LIGHT]:[M - VIGOROUS]])</f>
        <v>68.792000000000002</v>
      </c>
      <c r="Q519" s="14">
        <f>'PIVOT TABLES'!$P$26</f>
        <v>62.64</v>
      </c>
      <c r="R519" s="14">
        <f>'PIVOT TABLES'!$P$27-'PIVOT TABLES'!$P$26</f>
        <v>31.320000000000007</v>
      </c>
      <c r="S519" s="14">
        <f>'PIVOT TABLES'!$P$28-'PIVOT TABLES'!$P$27</f>
        <v>31.319999999999993</v>
      </c>
      <c r="T519" s="14">
        <f>200-SUM(Table3[[#This Row],[W - LIGHT]:[W - VIGOROUS]])</f>
        <v>74.72</v>
      </c>
      <c r="U519" s="14">
        <f>'PIVOT TABLES'!$W$26</f>
        <v>55.895999999999994</v>
      </c>
      <c r="V519" s="14">
        <f>'PIVOT TABLES'!$W$27-'PIVOT TABLES'!$W$26</f>
        <v>27.948</v>
      </c>
      <c r="W519" s="14">
        <f>'PIVOT TABLES'!$W$28-'PIVOT TABLES'!$W$27</f>
        <v>27.947999999999993</v>
      </c>
      <c r="X519" s="14">
        <f>200-SUM(Table3[[#This Row],[S - LIGHT]:[S - VIGOROUS]])</f>
        <v>88.208000000000013</v>
      </c>
    </row>
    <row r="520" spans="1:24" x14ac:dyDescent="0.25">
      <c r="A520" s="17" t="s">
        <v>71</v>
      </c>
      <c r="B520" s="13" t="str">
        <f t="shared" si="8"/>
        <v>Midfielder</v>
      </c>
      <c r="C520" s="7">
        <v>45318</v>
      </c>
      <c r="D520" s="14">
        <v>4536</v>
      </c>
      <c r="E520" s="14">
        <v>33</v>
      </c>
      <c r="F520" s="14">
        <v>12</v>
      </c>
      <c r="G520" s="14">
        <v>16</v>
      </c>
      <c r="H520" s="34">
        <v>47.15</v>
      </c>
      <c r="I520" s="14">
        <f>'PIVOT TABLES'!$B$26</f>
        <v>60.283999999999999</v>
      </c>
      <c r="J520" s="14">
        <f>'PIVOT TABLES'!$B$27-'PIVOT TABLES'!$B$26</f>
        <v>30.142000000000003</v>
      </c>
      <c r="K520" s="14">
        <f>'PIVOT TABLES'!$B$28-'PIVOT TABLES'!$B$27</f>
        <v>30.141999999999996</v>
      </c>
      <c r="L520" s="14">
        <f>200-SUM(Table3[[#This Row],[D - LIGHT]:[D - VIGOROUS]])</f>
        <v>79.432000000000002</v>
      </c>
      <c r="M520" s="14">
        <f>'PIVOT TABLES'!$I$26</f>
        <v>65.603999999999999</v>
      </c>
      <c r="N520" s="14">
        <f>'PIVOT TABLES'!$I$27-'PIVOT TABLES'!$I$26</f>
        <v>32.802000000000007</v>
      </c>
      <c r="O520" s="14">
        <f>'PIVOT TABLES'!$I$28-'PIVOT TABLES'!$I$27</f>
        <v>32.801999999999992</v>
      </c>
      <c r="P520" s="14">
        <f>200-SUM(Table3[[#This Row],[M - LIGHT]:[M - VIGOROUS]])</f>
        <v>68.792000000000002</v>
      </c>
      <c r="Q520" s="14">
        <f>'PIVOT TABLES'!$P$26</f>
        <v>62.64</v>
      </c>
      <c r="R520" s="14">
        <f>'PIVOT TABLES'!$P$27-'PIVOT TABLES'!$P$26</f>
        <v>31.320000000000007</v>
      </c>
      <c r="S520" s="14">
        <f>'PIVOT TABLES'!$P$28-'PIVOT TABLES'!$P$27</f>
        <v>31.319999999999993</v>
      </c>
      <c r="T520" s="14">
        <f>200-SUM(Table3[[#This Row],[W - LIGHT]:[W - VIGOROUS]])</f>
        <v>74.72</v>
      </c>
      <c r="U520" s="14">
        <f>'PIVOT TABLES'!$W$26</f>
        <v>55.895999999999994</v>
      </c>
      <c r="V520" s="14">
        <f>'PIVOT TABLES'!$W$27-'PIVOT TABLES'!$W$26</f>
        <v>27.948</v>
      </c>
      <c r="W520" s="14">
        <f>'PIVOT TABLES'!$W$28-'PIVOT TABLES'!$W$27</f>
        <v>27.947999999999993</v>
      </c>
      <c r="X520" s="14">
        <f>200-SUM(Table3[[#This Row],[S - LIGHT]:[S - VIGOROUS]])</f>
        <v>88.208000000000013</v>
      </c>
    </row>
    <row r="521" spans="1:24" x14ac:dyDescent="0.25">
      <c r="A521" s="17" t="s">
        <v>64</v>
      </c>
      <c r="B521" s="13" t="str">
        <f t="shared" si="8"/>
        <v>Midfielder</v>
      </c>
      <c r="C521" s="7">
        <v>45318</v>
      </c>
      <c r="D521" s="14">
        <v>12603</v>
      </c>
      <c r="E521" s="14">
        <v>145</v>
      </c>
      <c r="F521" s="14">
        <v>41</v>
      </c>
      <c r="G521" s="14">
        <v>34</v>
      </c>
      <c r="H521" s="34">
        <v>132.69999999999999</v>
      </c>
      <c r="I521" s="14">
        <f>'PIVOT TABLES'!$B$26</f>
        <v>60.283999999999999</v>
      </c>
      <c r="J521" s="14">
        <f>'PIVOT TABLES'!$B$27-'PIVOT TABLES'!$B$26</f>
        <v>30.142000000000003</v>
      </c>
      <c r="K521" s="14">
        <f>'PIVOT TABLES'!$B$28-'PIVOT TABLES'!$B$27</f>
        <v>30.141999999999996</v>
      </c>
      <c r="L521" s="14">
        <f>200-SUM(Table3[[#This Row],[D - LIGHT]:[D - VIGOROUS]])</f>
        <v>79.432000000000002</v>
      </c>
      <c r="M521" s="14">
        <f>'PIVOT TABLES'!$I$26</f>
        <v>65.603999999999999</v>
      </c>
      <c r="N521" s="14">
        <f>'PIVOT TABLES'!$I$27-'PIVOT TABLES'!$I$26</f>
        <v>32.802000000000007</v>
      </c>
      <c r="O521" s="14">
        <f>'PIVOT TABLES'!$I$28-'PIVOT TABLES'!$I$27</f>
        <v>32.801999999999992</v>
      </c>
      <c r="P521" s="14">
        <f>200-SUM(Table3[[#This Row],[M - LIGHT]:[M - VIGOROUS]])</f>
        <v>68.792000000000002</v>
      </c>
      <c r="Q521" s="14">
        <f>'PIVOT TABLES'!$P$26</f>
        <v>62.64</v>
      </c>
      <c r="R521" s="14">
        <f>'PIVOT TABLES'!$P$27-'PIVOT TABLES'!$P$26</f>
        <v>31.320000000000007</v>
      </c>
      <c r="S521" s="14">
        <f>'PIVOT TABLES'!$P$28-'PIVOT TABLES'!$P$27</f>
        <v>31.319999999999993</v>
      </c>
      <c r="T521" s="14">
        <f>200-SUM(Table3[[#This Row],[W - LIGHT]:[W - VIGOROUS]])</f>
        <v>74.72</v>
      </c>
      <c r="U521" s="14">
        <f>'PIVOT TABLES'!$W$26</f>
        <v>55.895999999999994</v>
      </c>
      <c r="V521" s="14">
        <f>'PIVOT TABLES'!$W$27-'PIVOT TABLES'!$W$26</f>
        <v>27.948</v>
      </c>
      <c r="W521" s="14">
        <f>'PIVOT TABLES'!$W$28-'PIVOT TABLES'!$W$27</f>
        <v>27.947999999999993</v>
      </c>
      <c r="X521" s="14">
        <f>200-SUM(Table3[[#This Row],[S - LIGHT]:[S - VIGOROUS]])</f>
        <v>88.208000000000013</v>
      </c>
    </row>
    <row r="522" spans="1:24" x14ac:dyDescent="0.25">
      <c r="A522" s="17" t="s">
        <v>66</v>
      </c>
      <c r="B522" s="13" t="str">
        <f t="shared" si="8"/>
        <v>Striker</v>
      </c>
      <c r="C522" s="7">
        <v>45318</v>
      </c>
      <c r="D522" s="14">
        <v>11392</v>
      </c>
      <c r="E522" s="14">
        <v>291</v>
      </c>
      <c r="F522" s="14">
        <v>64</v>
      </c>
      <c r="G522" s="14">
        <v>42</v>
      </c>
      <c r="H522" s="34">
        <v>126.05</v>
      </c>
      <c r="I522" s="14">
        <f>'PIVOT TABLES'!$B$26</f>
        <v>60.283999999999999</v>
      </c>
      <c r="J522" s="14">
        <f>'PIVOT TABLES'!$B$27-'PIVOT TABLES'!$B$26</f>
        <v>30.142000000000003</v>
      </c>
      <c r="K522" s="14">
        <f>'PIVOT TABLES'!$B$28-'PIVOT TABLES'!$B$27</f>
        <v>30.141999999999996</v>
      </c>
      <c r="L522" s="14">
        <f>200-SUM(Table3[[#This Row],[D - LIGHT]:[D - VIGOROUS]])</f>
        <v>79.432000000000002</v>
      </c>
      <c r="M522" s="14">
        <f>'PIVOT TABLES'!$I$26</f>
        <v>65.603999999999999</v>
      </c>
      <c r="N522" s="14">
        <f>'PIVOT TABLES'!$I$27-'PIVOT TABLES'!$I$26</f>
        <v>32.802000000000007</v>
      </c>
      <c r="O522" s="14">
        <f>'PIVOT TABLES'!$I$28-'PIVOT TABLES'!$I$27</f>
        <v>32.801999999999992</v>
      </c>
      <c r="P522" s="14">
        <f>200-SUM(Table3[[#This Row],[M - LIGHT]:[M - VIGOROUS]])</f>
        <v>68.792000000000002</v>
      </c>
      <c r="Q522" s="14">
        <f>'PIVOT TABLES'!$P$26</f>
        <v>62.64</v>
      </c>
      <c r="R522" s="14">
        <f>'PIVOT TABLES'!$P$27-'PIVOT TABLES'!$P$26</f>
        <v>31.320000000000007</v>
      </c>
      <c r="S522" s="14">
        <f>'PIVOT TABLES'!$P$28-'PIVOT TABLES'!$P$27</f>
        <v>31.319999999999993</v>
      </c>
      <c r="T522" s="14">
        <f>200-SUM(Table3[[#This Row],[W - LIGHT]:[W - VIGOROUS]])</f>
        <v>74.72</v>
      </c>
      <c r="U522" s="14">
        <f>'PIVOT TABLES'!$W$26</f>
        <v>55.895999999999994</v>
      </c>
      <c r="V522" s="14">
        <f>'PIVOT TABLES'!$W$27-'PIVOT TABLES'!$W$26</f>
        <v>27.948</v>
      </c>
      <c r="W522" s="14">
        <f>'PIVOT TABLES'!$W$28-'PIVOT TABLES'!$W$27</f>
        <v>27.947999999999993</v>
      </c>
      <c r="X522" s="14">
        <f>200-SUM(Table3[[#This Row],[S - LIGHT]:[S - VIGOROUS]])</f>
        <v>88.208000000000013</v>
      </c>
    </row>
    <row r="523" spans="1:24" x14ac:dyDescent="0.25">
      <c r="A523" s="17" t="s">
        <v>8</v>
      </c>
      <c r="B523" s="13" t="str">
        <f t="shared" si="8"/>
        <v>Striker</v>
      </c>
      <c r="C523" s="7">
        <v>45318</v>
      </c>
      <c r="D523" s="14">
        <v>10361</v>
      </c>
      <c r="E523" s="14">
        <v>214</v>
      </c>
      <c r="F523" s="14">
        <v>36</v>
      </c>
      <c r="G523" s="14">
        <v>44</v>
      </c>
      <c r="H523" s="34">
        <v>112.35</v>
      </c>
      <c r="I523" s="14">
        <f>'PIVOT TABLES'!$B$26</f>
        <v>60.283999999999999</v>
      </c>
      <c r="J523" s="14">
        <f>'PIVOT TABLES'!$B$27-'PIVOT TABLES'!$B$26</f>
        <v>30.142000000000003</v>
      </c>
      <c r="K523" s="14">
        <f>'PIVOT TABLES'!$B$28-'PIVOT TABLES'!$B$27</f>
        <v>30.141999999999996</v>
      </c>
      <c r="L523" s="14">
        <f>200-SUM(Table3[[#This Row],[D - LIGHT]:[D - VIGOROUS]])</f>
        <v>79.432000000000002</v>
      </c>
      <c r="M523" s="14">
        <f>'PIVOT TABLES'!$I$26</f>
        <v>65.603999999999999</v>
      </c>
      <c r="N523" s="14">
        <f>'PIVOT TABLES'!$I$27-'PIVOT TABLES'!$I$26</f>
        <v>32.802000000000007</v>
      </c>
      <c r="O523" s="14">
        <f>'PIVOT TABLES'!$I$28-'PIVOT TABLES'!$I$27</f>
        <v>32.801999999999992</v>
      </c>
      <c r="P523" s="14">
        <f>200-SUM(Table3[[#This Row],[M - LIGHT]:[M - VIGOROUS]])</f>
        <v>68.792000000000002</v>
      </c>
      <c r="Q523" s="14">
        <f>'PIVOT TABLES'!$P$26</f>
        <v>62.64</v>
      </c>
      <c r="R523" s="14">
        <f>'PIVOT TABLES'!$P$27-'PIVOT TABLES'!$P$26</f>
        <v>31.320000000000007</v>
      </c>
      <c r="S523" s="14">
        <f>'PIVOT TABLES'!$P$28-'PIVOT TABLES'!$P$27</f>
        <v>31.319999999999993</v>
      </c>
      <c r="T523" s="14">
        <f>200-SUM(Table3[[#This Row],[W - LIGHT]:[W - VIGOROUS]])</f>
        <v>74.72</v>
      </c>
      <c r="U523" s="14">
        <f>'PIVOT TABLES'!$W$26</f>
        <v>55.895999999999994</v>
      </c>
      <c r="V523" s="14">
        <f>'PIVOT TABLES'!$W$27-'PIVOT TABLES'!$W$26</f>
        <v>27.948</v>
      </c>
      <c r="W523" s="14">
        <f>'PIVOT TABLES'!$W$28-'PIVOT TABLES'!$W$27</f>
        <v>27.947999999999993</v>
      </c>
      <c r="X523" s="14">
        <f>200-SUM(Table3[[#This Row],[S - LIGHT]:[S - VIGOROUS]])</f>
        <v>88.208000000000013</v>
      </c>
    </row>
    <row r="524" spans="1:24" x14ac:dyDescent="0.25">
      <c r="A524" s="17" t="s">
        <v>53</v>
      </c>
      <c r="B524" s="13" t="str">
        <f t="shared" si="8"/>
        <v>Midfielder</v>
      </c>
      <c r="C524" s="7">
        <v>45321.462442129632</v>
      </c>
      <c r="D524" s="14">
        <v>5171</v>
      </c>
      <c r="E524" s="14">
        <v>9</v>
      </c>
      <c r="F524" s="14">
        <v>20</v>
      </c>
      <c r="G524" s="14">
        <v>23</v>
      </c>
      <c r="H524" s="14">
        <v>53.24</v>
      </c>
      <c r="I524" s="14">
        <f>'PIVOT TABLES'!$B$26</f>
        <v>60.283999999999999</v>
      </c>
      <c r="J524" s="14">
        <f>'PIVOT TABLES'!$B$27-'PIVOT TABLES'!$B$26</f>
        <v>30.142000000000003</v>
      </c>
      <c r="K524" s="14">
        <f>'PIVOT TABLES'!$B$28-'PIVOT TABLES'!$B$27</f>
        <v>30.141999999999996</v>
      </c>
      <c r="L524" s="14">
        <f>200-SUM(Table3[[#This Row],[D - LIGHT]:[D - VIGOROUS]])</f>
        <v>79.432000000000002</v>
      </c>
      <c r="M524" s="14">
        <f>'PIVOT TABLES'!$I$26</f>
        <v>65.603999999999999</v>
      </c>
      <c r="N524" s="14">
        <f>'PIVOT TABLES'!$I$27-'PIVOT TABLES'!$I$26</f>
        <v>32.802000000000007</v>
      </c>
      <c r="O524" s="14">
        <f>'PIVOT TABLES'!$I$28-'PIVOT TABLES'!$I$27</f>
        <v>32.801999999999992</v>
      </c>
      <c r="P524" s="14">
        <f>200-SUM(Table3[[#This Row],[M - LIGHT]:[M - VIGOROUS]])</f>
        <v>68.792000000000002</v>
      </c>
      <c r="Q524" s="14">
        <f>'PIVOT TABLES'!$P$26</f>
        <v>62.64</v>
      </c>
      <c r="R524" s="14">
        <f>'PIVOT TABLES'!$P$27-'PIVOT TABLES'!$P$26</f>
        <v>31.320000000000007</v>
      </c>
      <c r="S524" s="14">
        <f>'PIVOT TABLES'!$P$28-'PIVOT TABLES'!$P$27</f>
        <v>31.319999999999993</v>
      </c>
      <c r="T524" s="14">
        <f>200-SUM(Table3[[#This Row],[W - LIGHT]:[W - VIGOROUS]])</f>
        <v>74.72</v>
      </c>
      <c r="U524" s="14">
        <f>'PIVOT TABLES'!$W$26</f>
        <v>55.895999999999994</v>
      </c>
      <c r="V524" s="14">
        <f>'PIVOT TABLES'!$W$27-'PIVOT TABLES'!$W$26</f>
        <v>27.948</v>
      </c>
      <c r="W524" s="14">
        <f>'PIVOT TABLES'!$W$28-'PIVOT TABLES'!$W$27</f>
        <v>27.947999999999993</v>
      </c>
      <c r="X524" s="14">
        <f>200-SUM(Table3[[#This Row],[S - LIGHT]:[S - VIGOROUS]])</f>
        <v>88.208000000000013</v>
      </c>
    </row>
    <row r="525" spans="1:24" x14ac:dyDescent="0.25">
      <c r="A525" s="17" t="s">
        <v>54</v>
      </c>
      <c r="B525" s="13" t="str">
        <f t="shared" si="8"/>
        <v>Striker</v>
      </c>
      <c r="C525" s="7">
        <v>45321.462442129632</v>
      </c>
      <c r="D525" s="14">
        <v>6657</v>
      </c>
      <c r="E525" s="14">
        <v>108</v>
      </c>
      <c r="F525" s="14">
        <v>25</v>
      </c>
      <c r="G525" s="14">
        <v>20</v>
      </c>
      <c r="H525" s="14">
        <v>71.209999999999994</v>
      </c>
      <c r="I525" s="14">
        <f>'PIVOT TABLES'!$B$26</f>
        <v>60.283999999999999</v>
      </c>
      <c r="J525" s="14">
        <f>'PIVOT TABLES'!$B$27-'PIVOT TABLES'!$B$26</f>
        <v>30.142000000000003</v>
      </c>
      <c r="K525" s="14">
        <f>'PIVOT TABLES'!$B$28-'PIVOT TABLES'!$B$27</f>
        <v>30.141999999999996</v>
      </c>
      <c r="L525" s="14">
        <f>200-SUM(Table3[[#This Row],[D - LIGHT]:[D - VIGOROUS]])</f>
        <v>79.432000000000002</v>
      </c>
      <c r="M525" s="14">
        <f>'PIVOT TABLES'!$I$26</f>
        <v>65.603999999999999</v>
      </c>
      <c r="N525" s="14">
        <f>'PIVOT TABLES'!$I$27-'PIVOT TABLES'!$I$26</f>
        <v>32.802000000000007</v>
      </c>
      <c r="O525" s="14">
        <f>'PIVOT TABLES'!$I$28-'PIVOT TABLES'!$I$27</f>
        <v>32.801999999999992</v>
      </c>
      <c r="P525" s="14">
        <f>200-SUM(Table3[[#This Row],[M - LIGHT]:[M - VIGOROUS]])</f>
        <v>68.792000000000002</v>
      </c>
      <c r="Q525" s="14">
        <f>'PIVOT TABLES'!$P$26</f>
        <v>62.64</v>
      </c>
      <c r="R525" s="14">
        <f>'PIVOT TABLES'!$P$27-'PIVOT TABLES'!$P$26</f>
        <v>31.320000000000007</v>
      </c>
      <c r="S525" s="14">
        <f>'PIVOT TABLES'!$P$28-'PIVOT TABLES'!$P$27</f>
        <v>31.319999999999993</v>
      </c>
      <c r="T525" s="14">
        <f>200-SUM(Table3[[#This Row],[W - LIGHT]:[W - VIGOROUS]])</f>
        <v>74.72</v>
      </c>
      <c r="U525" s="14">
        <f>'PIVOT TABLES'!$W$26</f>
        <v>55.895999999999994</v>
      </c>
      <c r="V525" s="14">
        <f>'PIVOT TABLES'!$W$27-'PIVOT TABLES'!$W$26</f>
        <v>27.948</v>
      </c>
      <c r="W525" s="14">
        <f>'PIVOT TABLES'!$W$28-'PIVOT TABLES'!$W$27</f>
        <v>27.947999999999993</v>
      </c>
      <c r="X525" s="14">
        <f>200-SUM(Table3[[#This Row],[S - LIGHT]:[S - VIGOROUS]])</f>
        <v>88.208000000000013</v>
      </c>
    </row>
    <row r="526" spans="1:24" x14ac:dyDescent="0.25">
      <c r="A526" s="17" t="s">
        <v>55</v>
      </c>
      <c r="B526" s="13" t="str">
        <f t="shared" si="8"/>
        <v>Striker</v>
      </c>
      <c r="C526" s="7">
        <v>45321.462442129632</v>
      </c>
      <c r="D526" s="14">
        <v>4890</v>
      </c>
      <c r="E526" s="14">
        <v>33</v>
      </c>
      <c r="F526" s="14">
        <v>16</v>
      </c>
      <c r="G526" s="14">
        <v>11</v>
      </c>
      <c r="H526" s="14">
        <v>50.75</v>
      </c>
      <c r="I526" s="14">
        <f>'PIVOT TABLES'!$B$26</f>
        <v>60.283999999999999</v>
      </c>
      <c r="J526" s="14">
        <f>'PIVOT TABLES'!$B$27-'PIVOT TABLES'!$B$26</f>
        <v>30.142000000000003</v>
      </c>
      <c r="K526" s="14">
        <f>'PIVOT TABLES'!$B$28-'PIVOT TABLES'!$B$27</f>
        <v>30.141999999999996</v>
      </c>
      <c r="L526" s="14">
        <f>200-SUM(Table3[[#This Row],[D - LIGHT]:[D - VIGOROUS]])</f>
        <v>79.432000000000002</v>
      </c>
      <c r="M526" s="14">
        <f>'PIVOT TABLES'!$I$26</f>
        <v>65.603999999999999</v>
      </c>
      <c r="N526" s="14">
        <f>'PIVOT TABLES'!$I$27-'PIVOT TABLES'!$I$26</f>
        <v>32.802000000000007</v>
      </c>
      <c r="O526" s="14">
        <f>'PIVOT TABLES'!$I$28-'PIVOT TABLES'!$I$27</f>
        <v>32.801999999999992</v>
      </c>
      <c r="P526" s="14">
        <f>200-SUM(Table3[[#This Row],[M - LIGHT]:[M - VIGOROUS]])</f>
        <v>68.792000000000002</v>
      </c>
      <c r="Q526" s="14">
        <f>'PIVOT TABLES'!$P$26</f>
        <v>62.64</v>
      </c>
      <c r="R526" s="14">
        <f>'PIVOT TABLES'!$P$27-'PIVOT TABLES'!$P$26</f>
        <v>31.320000000000007</v>
      </c>
      <c r="S526" s="14">
        <f>'PIVOT TABLES'!$P$28-'PIVOT TABLES'!$P$27</f>
        <v>31.319999999999993</v>
      </c>
      <c r="T526" s="14">
        <f>200-SUM(Table3[[#This Row],[W - LIGHT]:[W - VIGOROUS]])</f>
        <v>74.72</v>
      </c>
      <c r="U526" s="14">
        <f>'PIVOT TABLES'!$W$26</f>
        <v>55.895999999999994</v>
      </c>
      <c r="V526" s="14">
        <f>'PIVOT TABLES'!$W$27-'PIVOT TABLES'!$W$26</f>
        <v>27.948</v>
      </c>
      <c r="W526" s="14">
        <f>'PIVOT TABLES'!$W$28-'PIVOT TABLES'!$W$27</f>
        <v>27.947999999999993</v>
      </c>
      <c r="X526" s="14">
        <f>200-SUM(Table3[[#This Row],[S - LIGHT]:[S - VIGOROUS]])</f>
        <v>88.208000000000013</v>
      </c>
    </row>
    <row r="527" spans="1:24" x14ac:dyDescent="0.25">
      <c r="A527" s="17" t="s">
        <v>1</v>
      </c>
      <c r="B527" s="13" t="str">
        <f t="shared" si="8"/>
        <v>Defender</v>
      </c>
      <c r="C527" s="7">
        <v>45321.462442129632</v>
      </c>
      <c r="D527" s="14">
        <v>3822</v>
      </c>
      <c r="E527" s="14">
        <v>30</v>
      </c>
      <c r="F527" s="14">
        <v>12</v>
      </c>
      <c r="G527" s="14">
        <v>4</v>
      </c>
      <c r="H527" s="14">
        <v>39.68</v>
      </c>
      <c r="I527" s="14">
        <f>'PIVOT TABLES'!$B$26</f>
        <v>60.283999999999999</v>
      </c>
      <c r="J527" s="14">
        <f>'PIVOT TABLES'!$B$27-'PIVOT TABLES'!$B$26</f>
        <v>30.142000000000003</v>
      </c>
      <c r="K527" s="14">
        <f>'PIVOT TABLES'!$B$28-'PIVOT TABLES'!$B$27</f>
        <v>30.141999999999996</v>
      </c>
      <c r="L527" s="14">
        <f>200-SUM(Table3[[#This Row],[D - LIGHT]:[D - VIGOROUS]])</f>
        <v>79.432000000000002</v>
      </c>
      <c r="M527" s="14">
        <f>'PIVOT TABLES'!$I$26</f>
        <v>65.603999999999999</v>
      </c>
      <c r="N527" s="14">
        <f>'PIVOT TABLES'!$I$27-'PIVOT TABLES'!$I$26</f>
        <v>32.802000000000007</v>
      </c>
      <c r="O527" s="14">
        <f>'PIVOT TABLES'!$I$28-'PIVOT TABLES'!$I$27</f>
        <v>32.801999999999992</v>
      </c>
      <c r="P527" s="14">
        <f>200-SUM(Table3[[#This Row],[M - LIGHT]:[M - VIGOROUS]])</f>
        <v>68.792000000000002</v>
      </c>
      <c r="Q527" s="14">
        <f>'PIVOT TABLES'!$P$26</f>
        <v>62.64</v>
      </c>
      <c r="R527" s="14">
        <f>'PIVOT TABLES'!$P$27-'PIVOT TABLES'!$P$26</f>
        <v>31.320000000000007</v>
      </c>
      <c r="S527" s="14">
        <f>'PIVOT TABLES'!$P$28-'PIVOT TABLES'!$P$27</f>
        <v>31.319999999999993</v>
      </c>
      <c r="T527" s="14">
        <f>200-SUM(Table3[[#This Row],[W - LIGHT]:[W - VIGOROUS]])</f>
        <v>74.72</v>
      </c>
      <c r="U527" s="14">
        <f>'PIVOT TABLES'!$W$26</f>
        <v>55.895999999999994</v>
      </c>
      <c r="V527" s="14">
        <f>'PIVOT TABLES'!$W$27-'PIVOT TABLES'!$W$26</f>
        <v>27.948</v>
      </c>
      <c r="W527" s="14">
        <f>'PIVOT TABLES'!$W$28-'PIVOT TABLES'!$W$27</f>
        <v>27.947999999999993</v>
      </c>
      <c r="X527" s="14">
        <f>200-SUM(Table3[[#This Row],[S - LIGHT]:[S - VIGOROUS]])</f>
        <v>88.208000000000013</v>
      </c>
    </row>
    <row r="528" spans="1:24" x14ac:dyDescent="0.25">
      <c r="A528" s="17" t="s">
        <v>56</v>
      </c>
      <c r="B528" s="13" t="str">
        <f t="shared" si="8"/>
        <v>Midfielder</v>
      </c>
      <c r="C528" s="7">
        <v>45321.462442129632</v>
      </c>
      <c r="D528" s="14">
        <v>5970</v>
      </c>
      <c r="E528" s="14">
        <v>34</v>
      </c>
      <c r="F528" s="14">
        <v>15</v>
      </c>
      <c r="G528" s="14">
        <v>8</v>
      </c>
      <c r="H528" s="14">
        <v>61.48</v>
      </c>
      <c r="I528" s="14">
        <f>'PIVOT TABLES'!$B$26</f>
        <v>60.283999999999999</v>
      </c>
      <c r="J528" s="14">
        <f>'PIVOT TABLES'!$B$27-'PIVOT TABLES'!$B$26</f>
        <v>30.142000000000003</v>
      </c>
      <c r="K528" s="14">
        <f>'PIVOT TABLES'!$B$28-'PIVOT TABLES'!$B$27</f>
        <v>30.141999999999996</v>
      </c>
      <c r="L528" s="14">
        <f>200-SUM(Table3[[#This Row],[D - LIGHT]:[D - VIGOROUS]])</f>
        <v>79.432000000000002</v>
      </c>
      <c r="M528" s="14">
        <f>'PIVOT TABLES'!$I$26</f>
        <v>65.603999999999999</v>
      </c>
      <c r="N528" s="14">
        <f>'PIVOT TABLES'!$I$27-'PIVOT TABLES'!$I$26</f>
        <v>32.802000000000007</v>
      </c>
      <c r="O528" s="14">
        <f>'PIVOT TABLES'!$I$28-'PIVOT TABLES'!$I$27</f>
        <v>32.801999999999992</v>
      </c>
      <c r="P528" s="14">
        <f>200-SUM(Table3[[#This Row],[M - LIGHT]:[M - VIGOROUS]])</f>
        <v>68.792000000000002</v>
      </c>
      <c r="Q528" s="14">
        <f>'PIVOT TABLES'!$P$26</f>
        <v>62.64</v>
      </c>
      <c r="R528" s="14">
        <f>'PIVOT TABLES'!$P$27-'PIVOT TABLES'!$P$26</f>
        <v>31.320000000000007</v>
      </c>
      <c r="S528" s="14">
        <f>'PIVOT TABLES'!$P$28-'PIVOT TABLES'!$P$27</f>
        <v>31.319999999999993</v>
      </c>
      <c r="T528" s="14">
        <f>200-SUM(Table3[[#This Row],[W - LIGHT]:[W - VIGOROUS]])</f>
        <v>74.72</v>
      </c>
      <c r="U528" s="14">
        <f>'PIVOT TABLES'!$W$26</f>
        <v>55.895999999999994</v>
      </c>
      <c r="V528" s="14">
        <f>'PIVOT TABLES'!$W$27-'PIVOT TABLES'!$W$26</f>
        <v>27.948</v>
      </c>
      <c r="W528" s="14">
        <f>'PIVOT TABLES'!$W$28-'PIVOT TABLES'!$W$27</f>
        <v>27.947999999999993</v>
      </c>
      <c r="X528" s="14">
        <f>200-SUM(Table3[[#This Row],[S - LIGHT]:[S - VIGOROUS]])</f>
        <v>88.208000000000013</v>
      </c>
    </row>
    <row r="529" spans="1:24" x14ac:dyDescent="0.25">
      <c r="A529" s="17" t="s">
        <v>2</v>
      </c>
      <c r="B529" s="13" t="str">
        <f t="shared" si="8"/>
        <v>Defender</v>
      </c>
      <c r="C529" s="7">
        <v>45321.462442129632</v>
      </c>
      <c r="D529" s="14">
        <v>4489</v>
      </c>
      <c r="E529" s="14">
        <v>19</v>
      </c>
      <c r="F529" s="14">
        <v>14</v>
      </c>
      <c r="G529" s="14">
        <v>10</v>
      </c>
      <c r="H529" s="14">
        <v>46.22</v>
      </c>
      <c r="I529" s="14">
        <f>'PIVOT TABLES'!$B$26</f>
        <v>60.283999999999999</v>
      </c>
      <c r="J529" s="14">
        <f>'PIVOT TABLES'!$B$27-'PIVOT TABLES'!$B$26</f>
        <v>30.142000000000003</v>
      </c>
      <c r="K529" s="14">
        <f>'PIVOT TABLES'!$B$28-'PIVOT TABLES'!$B$27</f>
        <v>30.141999999999996</v>
      </c>
      <c r="L529" s="14">
        <f>200-SUM(Table3[[#This Row],[D - LIGHT]:[D - VIGOROUS]])</f>
        <v>79.432000000000002</v>
      </c>
      <c r="M529" s="14">
        <f>'PIVOT TABLES'!$I$26</f>
        <v>65.603999999999999</v>
      </c>
      <c r="N529" s="14">
        <f>'PIVOT TABLES'!$I$27-'PIVOT TABLES'!$I$26</f>
        <v>32.802000000000007</v>
      </c>
      <c r="O529" s="14">
        <f>'PIVOT TABLES'!$I$28-'PIVOT TABLES'!$I$27</f>
        <v>32.801999999999992</v>
      </c>
      <c r="P529" s="14">
        <f>200-SUM(Table3[[#This Row],[M - LIGHT]:[M - VIGOROUS]])</f>
        <v>68.792000000000002</v>
      </c>
      <c r="Q529" s="14">
        <f>'PIVOT TABLES'!$P$26</f>
        <v>62.64</v>
      </c>
      <c r="R529" s="14">
        <f>'PIVOT TABLES'!$P$27-'PIVOT TABLES'!$P$26</f>
        <v>31.320000000000007</v>
      </c>
      <c r="S529" s="14">
        <f>'PIVOT TABLES'!$P$28-'PIVOT TABLES'!$P$27</f>
        <v>31.319999999999993</v>
      </c>
      <c r="T529" s="14">
        <f>200-SUM(Table3[[#This Row],[W - LIGHT]:[W - VIGOROUS]])</f>
        <v>74.72</v>
      </c>
      <c r="U529" s="14">
        <f>'PIVOT TABLES'!$W$26</f>
        <v>55.895999999999994</v>
      </c>
      <c r="V529" s="14">
        <f>'PIVOT TABLES'!$W$27-'PIVOT TABLES'!$W$26</f>
        <v>27.948</v>
      </c>
      <c r="W529" s="14">
        <f>'PIVOT TABLES'!$W$28-'PIVOT TABLES'!$W$27</f>
        <v>27.947999999999993</v>
      </c>
      <c r="X529" s="14">
        <f>200-SUM(Table3[[#This Row],[S - LIGHT]:[S - VIGOROUS]])</f>
        <v>88.208000000000013</v>
      </c>
    </row>
    <row r="530" spans="1:24" x14ac:dyDescent="0.25">
      <c r="A530" s="17" t="s">
        <v>58</v>
      </c>
      <c r="B530" s="13" t="str">
        <f t="shared" si="8"/>
        <v>Defender</v>
      </c>
      <c r="C530" s="7">
        <v>45321.462442129632</v>
      </c>
      <c r="D530" s="14">
        <v>4415</v>
      </c>
      <c r="E530" s="14">
        <v>9</v>
      </c>
      <c r="F530" s="14">
        <v>20</v>
      </c>
      <c r="G530" s="14">
        <v>10</v>
      </c>
      <c r="H530" s="14">
        <v>45.42</v>
      </c>
      <c r="I530" s="14">
        <f>'PIVOT TABLES'!$B$26</f>
        <v>60.283999999999999</v>
      </c>
      <c r="J530" s="14">
        <f>'PIVOT TABLES'!$B$27-'PIVOT TABLES'!$B$26</f>
        <v>30.142000000000003</v>
      </c>
      <c r="K530" s="14">
        <f>'PIVOT TABLES'!$B$28-'PIVOT TABLES'!$B$27</f>
        <v>30.141999999999996</v>
      </c>
      <c r="L530" s="14">
        <f>200-SUM(Table3[[#This Row],[D - LIGHT]:[D - VIGOROUS]])</f>
        <v>79.432000000000002</v>
      </c>
      <c r="M530" s="14">
        <f>'PIVOT TABLES'!$I$26</f>
        <v>65.603999999999999</v>
      </c>
      <c r="N530" s="14">
        <f>'PIVOT TABLES'!$I$27-'PIVOT TABLES'!$I$26</f>
        <v>32.802000000000007</v>
      </c>
      <c r="O530" s="14">
        <f>'PIVOT TABLES'!$I$28-'PIVOT TABLES'!$I$27</f>
        <v>32.801999999999992</v>
      </c>
      <c r="P530" s="14">
        <f>200-SUM(Table3[[#This Row],[M - LIGHT]:[M - VIGOROUS]])</f>
        <v>68.792000000000002</v>
      </c>
      <c r="Q530" s="14">
        <f>'PIVOT TABLES'!$P$26</f>
        <v>62.64</v>
      </c>
      <c r="R530" s="14">
        <f>'PIVOT TABLES'!$P$27-'PIVOT TABLES'!$P$26</f>
        <v>31.320000000000007</v>
      </c>
      <c r="S530" s="14">
        <f>'PIVOT TABLES'!$P$28-'PIVOT TABLES'!$P$27</f>
        <v>31.319999999999993</v>
      </c>
      <c r="T530" s="14">
        <f>200-SUM(Table3[[#This Row],[W - LIGHT]:[W - VIGOROUS]])</f>
        <v>74.72</v>
      </c>
      <c r="U530" s="14">
        <f>'PIVOT TABLES'!$W$26</f>
        <v>55.895999999999994</v>
      </c>
      <c r="V530" s="14">
        <f>'PIVOT TABLES'!$W$27-'PIVOT TABLES'!$W$26</f>
        <v>27.948</v>
      </c>
      <c r="W530" s="14">
        <f>'PIVOT TABLES'!$W$28-'PIVOT TABLES'!$W$27</f>
        <v>27.947999999999993</v>
      </c>
      <c r="X530" s="14">
        <f>200-SUM(Table3[[#This Row],[S - LIGHT]:[S - VIGOROUS]])</f>
        <v>88.208000000000013</v>
      </c>
    </row>
    <row r="531" spans="1:24" x14ac:dyDescent="0.25">
      <c r="A531" s="17" t="s">
        <v>94</v>
      </c>
      <c r="B531" s="13" t="str">
        <f t="shared" si="8"/>
        <v>Defender</v>
      </c>
      <c r="C531" s="7">
        <v>45321.462442129632</v>
      </c>
      <c r="D531" s="14">
        <v>4270</v>
      </c>
      <c r="E531" s="14">
        <v>51</v>
      </c>
      <c r="F531" s="14">
        <v>15</v>
      </c>
      <c r="G531" s="14">
        <v>9</v>
      </c>
      <c r="H531" s="14">
        <v>45.01</v>
      </c>
      <c r="I531" s="14">
        <f>'PIVOT TABLES'!$B$26</f>
        <v>60.283999999999999</v>
      </c>
      <c r="J531" s="14">
        <f>'PIVOT TABLES'!$B$27-'PIVOT TABLES'!$B$26</f>
        <v>30.142000000000003</v>
      </c>
      <c r="K531" s="14">
        <f>'PIVOT TABLES'!$B$28-'PIVOT TABLES'!$B$27</f>
        <v>30.141999999999996</v>
      </c>
      <c r="L531" s="14">
        <f>200-SUM(Table3[[#This Row],[D - LIGHT]:[D - VIGOROUS]])</f>
        <v>79.432000000000002</v>
      </c>
      <c r="M531" s="14">
        <f>'PIVOT TABLES'!$I$26</f>
        <v>65.603999999999999</v>
      </c>
      <c r="N531" s="14">
        <f>'PIVOT TABLES'!$I$27-'PIVOT TABLES'!$I$26</f>
        <v>32.802000000000007</v>
      </c>
      <c r="O531" s="14">
        <f>'PIVOT TABLES'!$I$28-'PIVOT TABLES'!$I$27</f>
        <v>32.801999999999992</v>
      </c>
      <c r="P531" s="14">
        <f>200-SUM(Table3[[#This Row],[M - LIGHT]:[M - VIGOROUS]])</f>
        <v>68.792000000000002</v>
      </c>
      <c r="Q531" s="14">
        <f>'PIVOT TABLES'!$P$26</f>
        <v>62.64</v>
      </c>
      <c r="R531" s="14">
        <f>'PIVOT TABLES'!$P$27-'PIVOT TABLES'!$P$26</f>
        <v>31.320000000000007</v>
      </c>
      <c r="S531" s="14">
        <f>'PIVOT TABLES'!$P$28-'PIVOT TABLES'!$P$27</f>
        <v>31.319999999999993</v>
      </c>
      <c r="T531" s="14">
        <f>200-SUM(Table3[[#This Row],[W - LIGHT]:[W - VIGOROUS]])</f>
        <v>74.72</v>
      </c>
      <c r="U531" s="14">
        <f>'PIVOT TABLES'!$W$26</f>
        <v>55.895999999999994</v>
      </c>
      <c r="V531" s="14">
        <f>'PIVOT TABLES'!$W$27-'PIVOT TABLES'!$W$26</f>
        <v>27.948</v>
      </c>
      <c r="W531" s="14">
        <f>'PIVOT TABLES'!$W$28-'PIVOT TABLES'!$W$27</f>
        <v>27.947999999999993</v>
      </c>
      <c r="X531" s="14">
        <f>200-SUM(Table3[[#This Row],[S - LIGHT]:[S - VIGOROUS]])</f>
        <v>88.208000000000013</v>
      </c>
    </row>
    <row r="532" spans="1:24" x14ac:dyDescent="0.25">
      <c r="A532" s="17" t="s">
        <v>59</v>
      </c>
      <c r="B532" s="13" t="str">
        <f t="shared" si="8"/>
        <v>Striker</v>
      </c>
      <c r="C532" s="7">
        <v>45321.462442129632</v>
      </c>
      <c r="D532" s="14">
        <v>4803</v>
      </c>
      <c r="E532" s="14">
        <v>29</v>
      </c>
      <c r="F532" s="14">
        <v>19</v>
      </c>
      <c r="G532" s="14">
        <v>14</v>
      </c>
      <c r="H532" s="14">
        <v>49.94</v>
      </c>
      <c r="I532" s="14">
        <f>'PIVOT TABLES'!$B$26</f>
        <v>60.283999999999999</v>
      </c>
      <c r="J532" s="14">
        <f>'PIVOT TABLES'!$B$27-'PIVOT TABLES'!$B$26</f>
        <v>30.142000000000003</v>
      </c>
      <c r="K532" s="14">
        <f>'PIVOT TABLES'!$B$28-'PIVOT TABLES'!$B$27</f>
        <v>30.141999999999996</v>
      </c>
      <c r="L532" s="14">
        <f>200-SUM(Table3[[#This Row],[D - LIGHT]:[D - VIGOROUS]])</f>
        <v>79.432000000000002</v>
      </c>
      <c r="M532" s="14">
        <f>'PIVOT TABLES'!$I$26</f>
        <v>65.603999999999999</v>
      </c>
      <c r="N532" s="14">
        <f>'PIVOT TABLES'!$I$27-'PIVOT TABLES'!$I$26</f>
        <v>32.802000000000007</v>
      </c>
      <c r="O532" s="14">
        <f>'PIVOT TABLES'!$I$28-'PIVOT TABLES'!$I$27</f>
        <v>32.801999999999992</v>
      </c>
      <c r="P532" s="14">
        <f>200-SUM(Table3[[#This Row],[M - LIGHT]:[M - VIGOROUS]])</f>
        <v>68.792000000000002</v>
      </c>
      <c r="Q532" s="14">
        <f>'PIVOT TABLES'!$P$26</f>
        <v>62.64</v>
      </c>
      <c r="R532" s="14">
        <f>'PIVOT TABLES'!$P$27-'PIVOT TABLES'!$P$26</f>
        <v>31.320000000000007</v>
      </c>
      <c r="S532" s="14">
        <f>'PIVOT TABLES'!$P$28-'PIVOT TABLES'!$P$27</f>
        <v>31.319999999999993</v>
      </c>
      <c r="T532" s="14">
        <f>200-SUM(Table3[[#This Row],[W - LIGHT]:[W - VIGOROUS]])</f>
        <v>74.72</v>
      </c>
      <c r="U532" s="14">
        <f>'PIVOT TABLES'!$W$26</f>
        <v>55.895999999999994</v>
      </c>
      <c r="V532" s="14">
        <f>'PIVOT TABLES'!$W$27-'PIVOT TABLES'!$W$26</f>
        <v>27.948</v>
      </c>
      <c r="W532" s="14">
        <f>'PIVOT TABLES'!$W$28-'PIVOT TABLES'!$W$27</f>
        <v>27.947999999999993</v>
      </c>
      <c r="X532" s="14">
        <f>200-SUM(Table3[[#This Row],[S - LIGHT]:[S - VIGOROUS]])</f>
        <v>88.208000000000013</v>
      </c>
    </row>
    <row r="533" spans="1:24" x14ac:dyDescent="0.25">
      <c r="A533" s="17" t="s">
        <v>4</v>
      </c>
      <c r="B533" s="13" t="str">
        <f t="shared" si="8"/>
        <v>Midfielder</v>
      </c>
      <c r="C533" s="7">
        <v>45321.462442129632</v>
      </c>
      <c r="D533" s="14">
        <v>5667</v>
      </c>
      <c r="E533" s="14">
        <v>48</v>
      </c>
      <c r="F533" s="14">
        <v>9</v>
      </c>
      <c r="G533" s="14">
        <v>6</v>
      </c>
      <c r="H533" s="14">
        <v>58.59</v>
      </c>
      <c r="I533" s="14">
        <f>'PIVOT TABLES'!$B$26</f>
        <v>60.283999999999999</v>
      </c>
      <c r="J533" s="14">
        <f>'PIVOT TABLES'!$B$27-'PIVOT TABLES'!$B$26</f>
        <v>30.142000000000003</v>
      </c>
      <c r="K533" s="14">
        <f>'PIVOT TABLES'!$B$28-'PIVOT TABLES'!$B$27</f>
        <v>30.141999999999996</v>
      </c>
      <c r="L533" s="14">
        <f>200-SUM(Table3[[#This Row],[D - LIGHT]:[D - VIGOROUS]])</f>
        <v>79.432000000000002</v>
      </c>
      <c r="M533" s="14">
        <f>'PIVOT TABLES'!$I$26</f>
        <v>65.603999999999999</v>
      </c>
      <c r="N533" s="14">
        <f>'PIVOT TABLES'!$I$27-'PIVOT TABLES'!$I$26</f>
        <v>32.802000000000007</v>
      </c>
      <c r="O533" s="14">
        <f>'PIVOT TABLES'!$I$28-'PIVOT TABLES'!$I$27</f>
        <v>32.801999999999992</v>
      </c>
      <c r="P533" s="14">
        <f>200-SUM(Table3[[#This Row],[M - LIGHT]:[M - VIGOROUS]])</f>
        <v>68.792000000000002</v>
      </c>
      <c r="Q533" s="14">
        <f>'PIVOT TABLES'!$P$26</f>
        <v>62.64</v>
      </c>
      <c r="R533" s="14">
        <f>'PIVOT TABLES'!$P$27-'PIVOT TABLES'!$P$26</f>
        <v>31.320000000000007</v>
      </c>
      <c r="S533" s="14">
        <f>'PIVOT TABLES'!$P$28-'PIVOT TABLES'!$P$27</f>
        <v>31.319999999999993</v>
      </c>
      <c r="T533" s="14">
        <f>200-SUM(Table3[[#This Row],[W - LIGHT]:[W - VIGOROUS]])</f>
        <v>74.72</v>
      </c>
      <c r="U533" s="14">
        <f>'PIVOT TABLES'!$W$26</f>
        <v>55.895999999999994</v>
      </c>
      <c r="V533" s="14">
        <f>'PIVOT TABLES'!$W$27-'PIVOT TABLES'!$W$26</f>
        <v>27.948</v>
      </c>
      <c r="W533" s="14">
        <f>'PIVOT TABLES'!$W$28-'PIVOT TABLES'!$W$27</f>
        <v>27.947999999999993</v>
      </c>
      <c r="X533" s="14">
        <f>200-SUM(Table3[[#This Row],[S - LIGHT]:[S - VIGOROUS]])</f>
        <v>88.208000000000013</v>
      </c>
    </row>
    <row r="534" spans="1:24" x14ac:dyDescent="0.25">
      <c r="A534" s="17" t="s">
        <v>60</v>
      </c>
      <c r="B534" s="13" t="str">
        <f t="shared" si="8"/>
        <v>Winger</v>
      </c>
      <c r="C534" s="7">
        <v>45321.462442129632</v>
      </c>
      <c r="D534" s="14">
        <v>4979</v>
      </c>
      <c r="E534" s="14">
        <v>27</v>
      </c>
      <c r="F534" s="14">
        <v>28</v>
      </c>
      <c r="G534" s="14">
        <v>13</v>
      </c>
      <c r="H534" s="14">
        <v>51.98</v>
      </c>
      <c r="I534" s="14">
        <f>'PIVOT TABLES'!$B$26</f>
        <v>60.283999999999999</v>
      </c>
      <c r="J534" s="14">
        <f>'PIVOT TABLES'!$B$27-'PIVOT TABLES'!$B$26</f>
        <v>30.142000000000003</v>
      </c>
      <c r="K534" s="14">
        <f>'PIVOT TABLES'!$B$28-'PIVOT TABLES'!$B$27</f>
        <v>30.141999999999996</v>
      </c>
      <c r="L534" s="14">
        <f>200-SUM(Table3[[#This Row],[D - LIGHT]:[D - VIGOROUS]])</f>
        <v>79.432000000000002</v>
      </c>
      <c r="M534" s="14">
        <f>'PIVOT TABLES'!$I$26</f>
        <v>65.603999999999999</v>
      </c>
      <c r="N534" s="14">
        <f>'PIVOT TABLES'!$I$27-'PIVOT TABLES'!$I$26</f>
        <v>32.802000000000007</v>
      </c>
      <c r="O534" s="14">
        <f>'PIVOT TABLES'!$I$28-'PIVOT TABLES'!$I$27</f>
        <v>32.801999999999992</v>
      </c>
      <c r="P534" s="14">
        <f>200-SUM(Table3[[#This Row],[M - LIGHT]:[M - VIGOROUS]])</f>
        <v>68.792000000000002</v>
      </c>
      <c r="Q534" s="14">
        <f>'PIVOT TABLES'!$P$26</f>
        <v>62.64</v>
      </c>
      <c r="R534" s="14">
        <f>'PIVOT TABLES'!$P$27-'PIVOT TABLES'!$P$26</f>
        <v>31.320000000000007</v>
      </c>
      <c r="S534" s="14">
        <f>'PIVOT TABLES'!$P$28-'PIVOT TABLES'!$P$27</f>
        <v>31.319999999999993</v>
      </c>
      <c r="T534" s="14">
        <f>200-SUM(Table3[[#This Row],[W - LIGHT]:[W - VIGOROUS]])</f>
        <v>74.72</v>
      </c>
      <c r="U534" s="14">
        <f>'PIVOT TABLES'!$W$26</f>
        <v>55.895999999999994</v>
      </c>
      <c r="V534" s="14">
        <f>'PIVOT TABLES'!$W$27-'PIVOT TABLES'!$W$26</f>
        <v>27.948</v>
      </c>
      <c r="W534" s="14">
        <f>'PIVOT TABLES'!$W$28-'PIVOT TABLES'!$W$27</f>
        <v>27.947999999999993</v>
      </c>
      <c r="X534" s="14">
        <f>200-SUM(Table3[[#This Row],[S - LIGHT]:[S - VIGOROUS]])</f>
        <v>88.208000000000013</v>
      </c>
    </row>
    <row r="535" spans="1:24" x14ac:dyDescent="0.25">
      <c r="A535" s="17" t="s">
        <v>71</v>
      </c>
      <c r="B535" s="13" t="str">
        <f t="shared" si="8"/>
        <v>Midfielder</v>
      </c>
      <c r="C535" s="7">
        <v>45321.462442129632</v>
      </c>
      <c r="D535" s="14">
        <v>6091</v>
      </c>
      <c r="E535" s="14">
        <v>29</v>
      </c>
      <c r="F535" s="14">
        <v>16</v>
      </c>
      <c r="G535" s="14">
        <v>15</v>
      </c>
      <c r="H535" s="14">
        <v>62.72</v>
      </c>
      <c r="I535" s="14">
        <f>'PIVOT TABLES'!$B$26</f>
        <v>60.283999999999999</v>
      </c>
      <c r="J535" s="14">
        <f>'PIVOT TABLES'!$B$27-'PIVOT TABLES'!$B$26</f>
        <v>30.142000000000003</v>
      </c>
      <c r="K535" s="14">
        <f>'PIVOT TABLES'!$B$28-'PIVOT TABLES'!$B$27</f>
        <v>30.141999999999996</v>
      </c>
      <c r="L535" s="14">
        <f>200-SUM(Table3[[#This Row],[D - LIGHT]:[D - VIGOROUS]])</f>
        <v>79.432000000000002</v>
      </c>
      <c r="M535" s="14">
        <f>'PIVOT TABLES'!$I$26</f>
        <v>65.603999999999999</v>
      </c>
      <c r="N535" s="14">
        <f>'PIVOT TABLES'!$I$27-'PIVOT TABLES'!$I$26</f>
        <v>32.802000000000007</v>
      </c>
      <c r="O535" s="14">
        <f>'PIVOT TABLES'!$I$28-'PIVOT TABLES'!$I$27</f>
        <v>32.801999999999992</v>
      </c>
      <c r="P535" s="14">
        <f>200-SUM(Table3[[#This Row],[M - LIGHT]:[M - VIGOROUS]])</f>
        <v>68.792000000000002</v>
      </c>
      <c r="Q535" s="14">
        <f>'PIVOT TABLES'!$P$26</f>
        <v>62.64</v>
      </c>
      <c r="R535" s="14">
        <f>'PIVOT TABLES'!$P$27-'PIVOT TABLES'!$P$26</f>
        <v>31.320000000000007</v>
      </c>
      <c r="S535" s="14">
        <f>'PIVOT TABLES'!$P$28-'PIVOT TABLES'!$P$27</f>
        <v>31.319999999999993</v>
      </c>
      <c r="T535" s="14">
        <f>200-SUM(Table3[[#This Row],[W - LIGHT]:[W - VIGOROUS]])</f>
        <v>74.72</v>
      </c>
      <c r="U535" s="14">
        <f>'PIVOT TABLES'!$W$26</f>
        <v>55.895999999999994</v>
      </c>
      <c r="V535" s="14">
        <f>'PIVOT TABLES'!$W$27-'PIVOT TABLES'!$W$26</f>
        <v>27.948</v>
      </c>
      <c r="W535" s="14">
        <f>'PIVOT TABLES'!$W$28-'PIVOT TABLES'!$W$27</f>
        <v>27.947999999999993</v>
      </c>
      <c r="X535" s="14">
        <f>200-SUM(Table3[[#This Row],[S - LIGHT]:[S - VIGOROUS]])</f>
        <v>88.208000000000013</v>
      </c>
    </row>
    <row r="536" spans="1:24" x14ac:dyDescent="0.25">
      <c r="A536" s="17" t="s">
        <v>5</v>
      </c>
      <c r="B536" s="13" t="str">
        <f t="shared" si="8"/>
        <v>Midfielder</v>
      </c>
      <c r="C536" s="7">
        <v>45321.462442129632</v>
      </c>
      <c r="D536" s="14">
        <v>3266</v>
      </c>
      <c r="E536" s="14">
        <v>25</v>
      </c>
      <c r="F536" s="14">
        <v>12</v>
      </c>
      <c r="G536" s="14">
        <v>4</v>
      </c>
      <c r="H536" s="14">
        <v>33.97</v>
      </c>
      <c r="I536" s="14">
        <f>'PIVOT TABLES'!$B$26</f>
        <v>60.283999999999999</v>
      </c>
      <c r="J536" s="14">
        <f>'PIVOT TABLES'!$B$27-'PIVOT TABLES'!$B$26</f>
        <v>30.142000000000003</v>
      </c>
      <c r="K536" s="14">
        <f>'PIVOT TABLES'!$B$28-'PIVOT TABLES'!$B$27</f>
        <v>30.141999999999996</v>
      </c>
      <c r="L536" s="14">
        <f>200-SUM(Table3[[#This Row],[D - LIGHT]:[D - VIGOROUS]])</f>
        <v>79.432000000000002</v>
      </c>
      <c r="M536" s="14">
        <f>'PIVOT TABLES'!$I$26</f>
        <v>65.603999999999999</v>
      </c>
      <c r="N536" s="14">
        <f>'PIVOT TABLES'!$I$27-'PIVOT TABLES'!$I$26</f>
        <v>32.802000000000007</v>
      </c>
      <c r="O536" s="14">
        <f>'PIVOT TABLES'!$I$28-'PIVOT TABLES'!$I$27</f>
        <v>32.801999999999992</v>
      </c>
      <c r="P536" s="14">
        <f>200-SUM(Table3[[#This Row],[M - LIGHT]:[M - VIGOROUS]])</f>
        <v>68.792000000000002</v>
      </c>
      <c r="Q536" s="14">
        <f>'PIVOT TABLES'!$P$26</f>
        <v>62.64</v>
      </c>
      <c r="R536" s="14">
        <f>'PIVOT TABLES'!$P$27-'PIVOT TABLES'!$P$26</f>
        <v>31.320000000000007</v>
      </c>
      <c r="S536" s="14">
        <f>'PIVOT TABLES'!$P$28-'PIVOT TABLES'!$P$27</f>
        <v>31.319999999999993</v>
      </c>
      <c r="T536" s="14">
        <f>200-SUM(Table3[[#This Row],[W - LIGHT]:[W - VIGOROUS]])</f>
        <v>74.72</v>
      </c>
      <c r="U536" s="14">
        <f>'PIVOT TABLES'!$W$26</f>
        <v>55.895999999999994</v>
      </c>
      <c r="V536" s="14">
        <f>'PIVOT TABLES'!$W$27-'PIVOT TABLES'!$W$26</f>
        <v>27.948</v>
      </c>
      <c r="W536" s="14">
        <f>'PIVOT TABLES'!$W$28-'PIVOT TABLES'!$W$27</f>
        <v>27.947999999999993</v>
      </c>
      <c r="X536" s="14">
        <f>200-SUM(Table3[[#This Row],[S - LIGHT]:[S - VIGOROUS]])</f>
        <v>88.208000000000013</v>
      </c>
    </row>
    <row r="537" spans="1:24" x14ac:dyDescent="0.25">
      <c r="A537" s="17" t="s">
        <v>6</v>
      </c>
      <c r="B537" s="13" t="str">
        <f t="shared" si="8"/>
        <v>Midfielder</v>
      </c>
      <c r="C537" s="7">
        <v>45321.462442129632</v>
      </c>
      <c r="D537" s="14">
        <v>5498</v>
      </c>
      <c r="E537" s="14">
        <v>43</v>
      </c>
      <c r="F537" s="14">
        <v>20</v>
      </c>
      <c r="G537" s="14">
        <v>22</v>
      </c>
      <c r="H537" s="14">
        <v>57.51</v>
      </c>
      <c r="I537" s="14">
        <f>'PIVOT TABLES'!$B$26</f>
        <v>60.283999999999999</v>
      </c>
      <c r="J537" s="14">
        <f>'PIVOT TABLES'!$B$27-'PIVOT TABLES'!$B$26</f>
        <v>30.142000000000003</v>
      </c>
      <c r="K537" s="14">
        <f>'PIVOT TABLES'!$B$28-'PIVOT TABLES'!$B$27</f>
        <v>30.141999999999996</v>
      </c>
      <c r="L537" s="14">
        <f>200-SUM(Table3[[#This Row],[D - LIGHT]:[D - VIGOROUS]])</f>
        <v>79.432000000000002</v>
      </c>
      <c r="M537" s="14">
        <f>'PIVOT TABLES'!$I$26</f>
        <v>65.603999999999999</v>
      </c>
      <c r="N537" s="14">
        <f>'PIVOT TABLES'!$I$27-'PIVOT TABLES'!$I$26</f>
        <v>32.802000000000007</v>
      </c>
      <c r="O537" s="14">
        <f>'PIVOT TABLES'!$I$28-'PIVOT TABLES'!$I$27</f>
        <v>32.801999999999992</v>
      </c>
      <c r="P537" s="14">
        <f>200-SUM(Table3[[#This Row],[M - LIGHT]:[M - VIGOROUS]])</f>
        <v>68.792000000000002</v>
      </c>
      <c r="Q537" s="14">
        <f>'PIVOT TABLES'!$P$26</f>
        <v>62.64</v>
      </c>
      <c r="R537" s="14">
        <f>'PIVOT TABLES'!$P$27-'PIVOT TABLES'!$P$26</f>
        <v>31.320000000000007</v>
      </c>
      <c r="S537" s="14">
        <f>'PIVOT TABLES'!$P$28-'PIVOT TABLES'!$P$27</f>
        <v>31.319999999999993</v>
      </c>
      <c r="T537" s="14">
        <f>200-SUM(Table3[[#This Row],[W - LIGHT]:[W - VIGOROUS]])</f>
        <v>74.72</v>
      </c>
      <c r="U537" s="14">
        <f>'PIVOT TABLES'!$W$26</f>
        <v>55.895999999999994</v>
      </c>
      <c r="V537" s="14">
        <f>'PIVOT TABLES'!$W$27-'PIVOT TABLES'!$W$26</f>
        <v>27.948</v>
      </c>
      <c r="W537" s="14">
        <f>'PIVOT TABLES'!$W$28-'PIVOT TABLES'!$W$27</f>
        <v>27.947999999999993</v>
      </c>
      <c r="X537" s="14">
        <f>200-SUM(Table3[[#This Row],[S - LIGHT]:[S - VIGOROUS]])</f>
        <v>88.208000000000013</v>
      </c>
    </row>
    <row r="538" spans="1:24" x14ac:dyDescent="0.25">
      <c r="A538" s="17" t="s">
        <v>62</v>
      </c>
      <c r="B538" s="13" t="str">
        <f t="shared" si="8"/>
        <v>Midfielder</v>
      </c>
      <c r="C538" s="7">
        <v>45321.462442129632</v>
      </c>
      <c r="D538" s="14">
        <v>5487</v>
      </c>
      <c r="E538" s="14">
        <v>23</v>
      </c>
      <c r="F538" s="14">
        <v>21</v>
      </c>
      <c r="G538" s="14">
        <v>16</v>
      </c>
      <c r="H538" s="14">
        <v>56.72</v>
      </c>
      <c r="I538" s="14">
        <f>'PIVOT TABLES'!$B$26</f>
        <v>60.283999999999999</v>
      </c>
      <c r="J538" s="14">
        <f>'PIVOT TABLES'!$B$27-'PIVOT TABLES'!$B$26</f>
        <v>30.142000000000003</v>
      </c>
      <c r="K538" s="14">
        <f>'PIVOT TABLES'!$B$28-'PIVOT TABLES'!$B$27</f>
        <v>30.141999999999996</v>
      </c>
      <c r="L538" s="14">
        <f>200-SUM(Table3[[#This Row],[D - LIGHT]:[D - VIGOROUS]])</f>
        <v>79.432000000000002</v>
      </c>
      <c r="M538" s="14">
        <f>'PIVOT TABLES'!$I$26</f>
        <v>65.603999999999999</v>
      </c>
      <c r="N538" s="14">
        <f>'PIVOT TABLES'!$I$27-'PIVOT TABLES'!$I$26</f>
        <v>32.802000000000007</v>
      </c>
      <c r="O538" s="14">
        <f>'PIVOT TABLES'!$I$28-'PIVOT TABLES'!$I$27</f>
        <v>32.801999999999992</v>
      </c>
      <c r="P538" s="14">
        <f>200-SUM(Table3[[#This Row],[M - LIGHT]:[M - VIGOROUS]])</f>
        <v>68.792000000000002</v>
      </c>
      <c r="Q538" s="14">
        <f>'PIVOT TABLES'!$P$26</f>
        <v>62.64</v>
      </c>
      <c r="R538" s="14">
        <f>'PIVOT TABLES'!$P$27-'PIVOT TABLES'!$P$26</f>
        <v>31.320000000000007</v>
      </c>
      <c r="S538" s="14">
        <f>'PIVOT TABLES'!$P$28-'PIVOT TABLES'!$P$27</f>
        <v>31.319999999999993</v>
      </c>
      <c r="T538" s="14">
        <f>200-SUM(Table3[[#This Row],[W - LIGHT]:[W - VIGOROUS]])</f>
        <v>74.72</v>
      </c>
      <c r="U538" s="14">
        <f>'PIVOT TABLES'!$W$26</f>
        <v>55.895999999999994</v>
      </c>
      <c r="V538" s="14">
        <f>'PIVOT TABLES'!$W$27-'PIVOT TABLES'!$W$26</f>
        <v>27.948</v>
      </c>
      <c r="W538" s="14">
        <f>'PIVOT TABLES'!$W$28-'PIVOT TABLES'!$W$27</f>
        <v>27.947999999999993</v>
      </c>
      <c r="X538" s="14">
        <f>200-SUM(Table3[[#This Row],[S - LIGHT]:[S - VIGOROUS]])</f>
        <v>88.208000000000013</v>
      </c>
    </row>
    <row r="539" spans="1:24" x14ac:dyDescent="0.25">
      <c r="A539" s="17" t="s">
        <v>63</v>
      </c>
      <c r="B539" s="13" t="str">
        <f t="shared" si="8"/>
        <v>Winger</v>
      </c>
      <c r="C539" s="7">
        <v>45321.462442129632</v>
      </c>
      <c r="D539" s="14">
        <v>6358</v>
      </c>
      <c r="E539" s="14">
        <v>111</v>
      </c>
      <c r="F539" s="14">
        <v>23</v>
      </c>
      <c r="G539" s="14">
        <v>21</v>
      </c>
      <c r="H539" s="14">
        <v>68.25</v>
      </c>
      <c r="I539" s="14">
        <f>'PIVOT TABLES'!$B$26</f>
        <v>60.283999999999999</v>
      </c>
      <c r="J539" s="14">
        <f>'PIVOT TABLES'!$B$27-'PIVOT TABLES'!$B$26</f>
        <v>30.142000000000003</v>
      </c>
      <c r="K539" s="14">
        <f>'PIVOT TABLES'!$B$28-'PIVOT TABLES'!$B$27</f>
        <v>30.141999999999996</v>
      </c>
      <c r="L539" s="14">
        <f>200-SUM(Table3[[#This Row],[D - LIGHT]:[D - VIGOROUS]])</f>
        <v>79.432000000000002</v>
      </c>
      <c r="M539" s="14">
        <f>'PIVOT TABLES'!$I$26</f>
        <v>65.603999999999999</v>
      </c>
      <c r="N539" s="14">
        <f>'PIVOT TABLES'!$I$27-'PIVOT TABLES'!$I$26</f>
        <v>32.802000000000007</v>
      </c>
      <c r="O539" s="14">
        <f>'PIVOT TABLES'!$I$28-'PIVOT TABLES'!$I$27</f>
        <v>32.801999999999992</v>
      </c>
      <c r="P539" s="14">
        <f>200-SUM(Table3[[#This Row],[M - LIGHT]:[M - VIGOROUS]])</f>
        <v>68.792000000000002</v>
      </c>
      <c r="Q539" s="14">
        <f>'PIVOT TABLES'!$P$26</f>
        <v>62.64</v>
      </c>
      <c r="R539" s="14">
        <f>'PIVOT TABLES'!$P$27-'PIVOT TABLES'!$P$26</f>
        <v>31.320000000000007</v>
      </c>
      <c r="S539" s="14">
        <f>'PIVOT TABLES'!$P$28-'PIVOT TABLES'!$P$27</f>
        <v>31.319999999999993</v>
      </c>
      <c r="T539" s="14">
        <f>200-SUM(Table3[[#This Row],[W - LIGHT]:[W - VIGOROUS]])</f>
        <v>74.72</v>
      </c>
      <c r="U539" s="14">
        <f>'PIVOT TABLES'!$W$26</f>
        <v>55.895999999999994</v>
      </c>
      <c r="V539" s="14">
        <f>'PIVOT TABLES'!$W$27-'PIVOT TABLES'!$W$26</f>
        <v>27.948</v>
      </c>
      <c r="W539" s="14">
        <f>'PIVOT TABLES'!$W$28-'PIVOT TABLES'!$W$27</f>
        <v>27.947999999999993</v>
      </c>
      <c r="X539" s="14">
        <f>200-SUM(Table3[[#This Row],[S - LIGHT]:[S - VIGOROUS]])</f>
        <v>88.208000000000013</v>
      </c>
    </row>
    <row r="540" spans="1:24" x14ac:dyDescent="0.25">
      <c r="A540" s="17" t="s">
        <v>66</v>
      </c>
      <c r="B540" s="13" t="str">
        <f t="shared" si="8"/>
        <v>Striker</v>
      </c>
      <c r="C540" s="7">
        <v>45321.462442129632</v>
      </c>
      <c r="D540" s="14">
        <v>5022</v>
      </c>
      <c r="E540" s="14">
        <v>10</v>
      </c>
      <c r="F540" s="14">
        <v>20</v>
      </c>
      <c r="G540" s="14">
        <v>14</v>
      </c>
      <c r="H540" s="14">
        <v>51.6</v>
      </c>
      <c r="I540" s="14">
        <f>'PIVOT TABLES'!$B$26</f>
        <v>60.283999999999999</v>
      </c>
      <c r="J540" s="14">
        <f>'PIVOT TABLES'!$B$27-'PIVOT TABLES'!$B$26</f>
        <v>30.142000000000003</v>
      </c>
      <c r="K540" s="14">
        <f>'PIVOT TABLES'!$B$28-'PIVOT TABLES'!$B$27</f>
        <v>30.141999999999996</v>
      </c>
      <c r="L540" s="14">
        <f>200-SUM(Table3[[#This Row],[D - LIGHT]:[D - VIGOROUS]])</f>
        <v>79.432000000000002</v>
      </c>
      <c r="M540" s="14">
        <f>'PIVOT TABLES'!$I$26</f>
        <v>65.603999999999999</v>
      </c>
      <c r="N540" s="14">
        <f>'PIVOT TABLES'!$I$27-'PIVOT TABLES'!$I$26</f>
        <v>32.802000000000007</v>
      </c>
      <c r="O540" s="14">
        <f>'PIVOT TABLES'!$I$28-'PIVOT TABLES'!$I$27</f>
        <v>32.801999999999992</v>
      </c>
      <c r="P540" s="14">
        <f>200-SUM(Table3[[#This Row],[M - LIGHT]:[M - VIGOROUS]])</f>
        <v>68.792000000000002</v>
      </c>
      <c r="Q540" s="14">
        <f>'PIVOT TABLES'!$P$26</f>
        <v>62.64</v>
      </c>
      <c r="R540" s="14">
        <f>'PIVOT TABLES'!$P$27-'PIVOT TABLES'!$P$26</f>
        <v>31.320000000000007</v>
      </c>
      <c r="S540" s="14">
        <f>'PIVOT TABLES'!$P$28-'PIVOT TABLES'!$P$27</f>
        <v>31.319999999999993</v>
      </c>
      <c r="T540" s="14">
        <f>200-SUM(Table3[[#This Row],[W - LIGHT]:[W - VIGOROUS]])</f>
        <v>74.72</v>
      </c>
      <c r="U540" s="14">
        <f>'PIVOT TABLES'!$W$26</f>
        <v>55.895999999999994</v>
      </c>
      <c r="V540" s="14">
        <f>'PIVOT TABLES'!$W$27-'PIVOT TABLES'!$W$26</f>
        <v>27.948</v>
      </c>
      <c r="W540" s="14">
        <f>'PIVOT TABLES'!$W$28-'PIVOT TABLES'!$W$27</f>
        <v>27.947999999999993</v>
      </c>
      <c r="X540" s="14">
        <f>200-SUM(Table3[[#This Row],[S - LIGHT]:[S - VIGOROUS]])</f>
        <v>88.208000000000013</v>
      </c>
    </row>
    <row r="541" spans="1:24" x14ac:dyDescent="0.25">
      <c r="A541" s="17" t="s">
        <v>78</v>
      </c>
      <c r="B541" s="13" t="str">
        <f t="shared" si="8"/>
        <v>Defender</v>
      </c>
      <c r="C541" s="7">
        <v>45321.462442129632</v>
      </c>
      <c r="D541" s="14">
        <v>5691</v>
      </c>
      <c r="E541" s="14">
        <v>28</v>
      </c>
      <c r="F541" s="14">
        <v>18</v>
      </c>
      <c r="G541" s="14">
        <v>18</v>
      </c>
      <c r="H541" s="14">
        <v>58.83</v>
      </c>
      <c r="I541" s="14">
        <f>'PIVOT TABLES'!$B$26</f>
        <v>60.283999999999999</v>
      </c>
      <c r="J541" s="14">
        <f>'PIVOT TABLES'!$B$27-'PIVOT TABLES'!$B$26</f>
        <v>30.142000000000003</v>
      </c>
      <c r="K541" s="14">
        <f>'PIVOT TABLES'!$B$28-'PIVOT TABLES'!$B$27</f>
        <v>30.141999999999996</v>
      </c>
      <c r="L541" s="14">
        <f>200-SUM(Table3[[#This Row],[D - LIGHT]:[D - VIGOROUS]])</f>
        <v>79.432000000000002</v>
      </c>
      <c r="M541" s="14">
        <f>'PIVOT TABLES'!$I$26</f>
        <v>65.603999999999999</v>
      </c>
      <c r="N541" s="14">
        <f>'PIVOT TABLES'!$I$27-'PIVOT TABLES'!$I$26</f>
        <v>32.802000000000007</v>
      </c>
      <c r="O541" s="14">
        <f>'PIVOT TABLES'!$I$28-'PIVOT TABLES'!$I$27</f>
        <v>32.801999999999992</v>
      </c>
      <c r="P541" s="14">
        <f>200-SUM(Table3[[#This Row],[M - LIGHT]:[M - VIGOROUS]])</f>
        <v>68.792000000000002</v>
      </c>
      <c r="Q541" s="14">
        <f>'PIVOT TABLES'!$P$26</f>
        <v>62.64</v>
      </c>
      <c r="R541" s="14">
        <f>'PIVOT TABLES'!$P$27-'PIVOT TABLES'!$P$26</f>
        <v>31.320000000000007</v>
      </c>
      <c r="S541" s="14">
        <f>'PIVOT TABLES'!$P$28-'PIVOT TABLES'!$P$27</f>
        <v>31.319999999999993</v>
      </c>
      <c r="T541" s="14">
        <f>200-SUM(Table3[[#This Row],[W - LIGHT]:[W - VIGOROUS]])</f>
        <v>74.72</v>
      </c>
      <c r="U541" s="14">
        <f>'PIVOT TABLES'!$W$26</f>
        <v>55.895999999999994</v>
      </c>
      <c r="V541" s="14">
        <f>'PIVOT TABLES'!$W$27-'PIVOT TABLES'!$W$26</f>
        <v>27.948</v>
      </c>
      <c r="W541" s="14">
        <f>'PIVOT TABLES'!$W$28-'PIVOT TABLES'!$W$27</f>
        <v>27.947999999999993</v>
      </c>
      <c r="X541" s="14">
        <f>200-SUM(Table3[[#This Row],[S - LIGHT]:[S - VIGOROUS]])</f>
        <v>88.208000000000013</v>
      </c>
    </row>
    <row r="542" spans="1:24" x14ac:dyDescent="0.25">
      <c r="A542" s="17" t="s">
        <v>7</v>
      </c>
      <c r="B542" s="13" t="str">
        <f t="shared" si="8"/>
        <v>Winger</v>
      </c>
      <c r="C542" s="7">
        <v>45321.462442129632</v>
      </c>
      <c r="D542" s="14">
        <v>5475</v>
      </c>
      <c r="E542" s="14">
        <v>29</v>
      </c>
      <c r="F542" s="14">
        <v>15</v>
      </c>
      <c r="G542" s="14">
        <v>6</v>
      </c>
      <c r="H542" s="14">
        <v>56.34</v>
      </c>
      <c r="I542" s="14">
        <f>'PIVOT TABLES'!$B$26</f>
        <v>60.283999999999999</v>
      </c>
      <c r="J542" s="14">
        <f>'PIVOT TABLES'!$B$27-'PIVOT TABLES'!$B$26</f>
        <v>30.142000000000003</v>
      </c>
      <c r="K542" s="14">
        <f>'PIVOT TABLES'!$B$28-'PIVOT TABLES'!$B$27</f>
        <v>30.141999999999996</v>
      </c>
      <c r="L542" s="14">
        <f>200-SUM(Table3[[#This Row],[D - LIGHT]:[D - VIGOROUS]])</f>
        <v>79.432000000000002</v>
      </c>
      <c r="M542" s="14">
        <f>'PIVOT TABLES'!$I$26</f>
        <v>65.603999999999999</v>
      </c>
      <c r="N542" s="14">
        <f>'PIVOT TABLES'!$I$27-'PIVOT TABLES'!$I$26</f>
        <v>32.802000000000007</v>
      </c>
      <c r="O542" s="14">
        <f>'PIVOT TABLES'!$I$28-'PIVOT TABLES'!$I$27</f>
        <v>32.801999999999992</v>
      </c>
      <c r="P542" s="14">
        <f>200-SUM(Table3[[#This Row],[M - LIGHT]:[M - VIGOROUS]])</f>
        <v>68.792000000000002</v>
      </c>
      <c r="Q542" s="14">
        <f>'PIVOT TABLES'!$P$26</f>
        <v>62.64</v>
      </c>
      <c r="R542" s="14">
        <f>'PIVOT TABLES'!$P$27-'PIVOT TABLES'!$P$26</f>
        <v>31.320000000000007</v>
      </c>
      <c r="S542" s="14">
        <f>'PIVOT TABLES'!$P$28-'PIVOT TABLES'!$P$27</f>
        <v>31.319999999999993</v>
      </c>
      <c r="T542" s="14">
        <f>200-SUM(Table3[[#This Row],[W - LIGHT]:[W - VIGOROUS]])</f>
        <v>74.72</v>
      </c>
      <c r="U542" s="14">
        <f>'PIVOT TABLES'!$W$26</f>
        <v>55.895999999999994</v>
      </c>
      <c r="V542" s="14">
        <f>'PIVOT TABLES'!$W$27-'PIVOT TABLES'!$W$26</f>
        <v>27.948</v>
      </c>
      <c r="W542" s="14">
        <f>'PIVOT TABLES'!$W$28-'PIVOT TABLES'!$W$27</f>
        <v>27.947999999999993</v>
      </c>
      <c r="X542" s="14">
        <f>200-SUM(Table3[[#This Row],[S - LIGHT]:[S - VIGOROUS]])</f>
        <v>88.208000000000013</v>
      </c>
    </row>
    <row r="543" spans="1:24" x14ac:dyDescent="0.25">
      <c r="A543" s="17" t="s">
        <v>95</v>
      </c>
      <c r="B543" s="13" t="str">
        <f t="shared" si="8"/>
        <v>Winger</v>
      </c>
      <c r="C543" s="7">
        <v>45321.462442129632</v>
      </c>
      <c r="D543" s="14">
        <v>4404</v>
      </c>
      <c r="E543" s="14">
        <v>27</v>
      </c>
      <c r="F543" s="14">
        <v>11</v>
      </c>
      <c r="G543" s="14">
        <v>8</v>
      </c>
      <c r="H543" s="14">
        <v>45.45</v>
      </c>
      <c r="I543" s="14">
        <f>'PIVOT TABLES'!$B$26</f>
        <v>60.283999999999999</v>
      </c>
      <c r="J543" s="14">
        <f>'PIVOT TABLES'!$B$27-'PIVOT TABLES'!$B$26</f>
        <v>30.142000000000003</v>
      </c>
      <c r="K543" s="14">
        <f>'PIVOT TABLES'!$B$28-'PIVOT TABLES'!$B$27</f>
        <v>30.141999999999996</v>
      </c>
      <c r="L543" s="14">
        <f>200-SUM(Table3[[#This Row],[D - LIGHT]:[D - VIGOROUS]])</f>
        <v>79.432000000000002</v>
      </c>
      <c r="M543" s="14">
        <f>'PIVOT TABLES'!$I$26</f>
        <v>65.603999999999999</v>
      </c>
      <c r="N543" s="14">
        <f>'PIVOT TABLES'!$I$27-'PIVOT TABLES'!$I$26</f>
        <v>32.802000000000007</v>
      </c>
      <c r="O543" s="14">
        <f>'PIVOT TABLES'!$I$28-'PIVOT TABLES'!$I$27</f>
        <v>32.801999999999992</v>
      </c>
      <c r="P543" s="14">
        <f>200-SUM(Table3[[#This Row],[M - LIGHT]:[M - VIGOROUS]])</f>
        <v>68.792000000000002</v>
      </c>
      <c r="Q543" s="14">
        <f>'PIVOT TABLES'!$P$26</f>
        <v>62.64</v>
      </c>
      <c r="R543" s="14">
        <f>'PIVOT TABLES'!$P$27-'PIVOT TABLES'!$P$26</f>
        <v>31.320000000000007</v>
      </c>
      <c r="S543" s="14">
        <f>'PIVOT TABLES'!$P$28-'PIVOT TABLES'!$P$27</f>
        <v>31.319999999999993</v>
      </c>
      <c r="T543" s="14">
        <f>200-SUM(Table3[[#This Row],[W - LIGHT]:[W - VIGOROUS]])</f>
        <v>74.72</v>
      </c>
      <c r="U543" s="14">
        <f>'PIVOT TABLES'!$W$26</f>
        <v>55.895999999999994</v>
      </c>
      <c r="V543" s="14">
        <f>'PIVOT TABLES'!$W$27-'PIVOT TABLES'!$W$26</f>
        <v>27.948</v>
      </c>
      <c r="W543" s="14">
        <f>'PIVOT TABLES'!$W$28-'PIVOT TABLES'!$W$27</f>
        <v>27.947999999999993</v>
      </c>
      <c r="X543" s="14">
        <f>200-SUM(Table3[[#This Row],[S - LIGHT]:[S - VIGOROUS]])</f>
        <v>88.208000000000013</v>
      </c>
    </row>
    <row r="544" spans="1:24" x14ac:dyDescent="0.25">
      <c r="A544" s="17" t="s">
        <v>96</v>
      </c>
      <c r="B544" s="13" t="str">
        <f t="shared" si="8"/>
        <v>Winger</v>
      </c>
      <c r="C544" s="7">
        <v>45321.462442129632</v>
      </c>
      <c r="D544" s="14">
        <v>4679</v>
      </c>
      <c r="E544" s="14">
        <v>15</v>
      </c>
      <c r="F544" s="14">
        <v>18</v>
      </c>
      <c r="G544" s="14">
        <v>16</v>
      </c>
      <c r="H544" s="14">
        <v>48.28</v>
      </c>
      <c r="I544" s="14">
        <f>'PIVOT TABLES'!$B$26</f>
        <v>60.283999999999999</v>
      </c>
      <c r="J544" s="14">
        <f>'PIVOT TABLES'!$B$27-'PIVOT TABLES'!$B$26</f>
        <v>30.142000000000003</v>
      </c>
      <c r="K544" s="14">
        <f>'PIVOT TABLES'!$B$28-'PIVOT TABLES'!$B$27</f>
        <v>30.141999999999996</v>
      </c>
      <c r="L544" s="14">
        <f>200-SUM(Table3[[#This Row],[D - LIGHT]:[D - VIGOROUS]])</f>
        <v>79.432000000000002</v>
      </c>
      <c r="M544" s="14">
        <f>'PIVOT TABLES'!$I$26</f>
        <v>65.603999999999999</v>
      </c>
      <c r="N544" s="14">
        <f>'PIVOT TABLES'!$I$27-'PIVOT TABLES'!$I$26</f>
        <v>32.802000000000007</v>
      </c>
      <c r="O544" s="14">
        <f>'PIVOT TABLES'!$I$28-'PIVOT TABLES'!$I$27</f>
        <v>32.801999999999992</v>
      </c>
      <c r="P544" s="14">
        <f>200-SUM(Table3[[#This Row],[M - LIGHT]:[M - VIGOROUS]])</f>
        <v>68.792000000000002</v>
      </c>
      <c r="Q544" s="14">
        <f>'PIVOT TABLES'!$P$26</f>
        <v>62.64</v>
      </c>
      <c r="R544" s="14">
        <f>'PIVOT TABLES'!$P$27-'PIVOT TABLES'!$P$26</f>
        <v>31.320000000000007</v>
      </c>
      <c r="S544" s="14">
        <f>'PIVOT TABLES'!$P$28-'PIVOT TABLES'!$P$27</f>
        <v>31.319999999999993</v>
      </c>
      <c r="T544" s="14">
        <f>200-SUM(Table3[[#This Row],[W - LIGHT]:[W - VIGOROUS]])</f>
        <v>74.72</v>
      </c>
      <c r="U544" s="14">
        <f>'PIVOT TABLES'!$W$26</f>
        <v>55.895999999999994</v>
      </c>
      <c r="V544" s="14">
        <f>'PIVOT TABLES'!$W$27-'PIVOT TABLES'!$W$26</f>
        <v>27.948</v>
      </c>
      <c r="W544" s="14">
        <f>'PIVOT TABLES'!$W$28-'PIVOT TABLES'!$W$27</f>
        <v>27.947999999999993</v>
      </c>
      <c r="X544" s="14">
        <f>200-SUM(Table3[[#This Row],[S - LIGHT]:[S - VIGOROUS]])</f>
        <v>88.208000000000013</v>
      </c>
    </row>
    <row r="545" spans="1:24" x14ac:dyDescent="0.25">
      <c r="A545" s="17" t="s">
        <v>8</v>
      </c>
      <c r="B545" s="13" t="str">
        <f t="shared" si="8"/>
        <v>Striker</v>
      </c>
      <c r="C545" s="7">
        <v>45321.462442129632</v>
      </c>
      <c r="D545" s="14">
        <v>4582</v>
      </c>
      <c r="E545" s="14">
        <v>5</v>
      </c>
      <c r="F545" s="14">
        <v>9</v>
      </c>
      <c r="G545" s="14">
        <v>10</v>
      </c>
      <c r="H545" s="14">
        <v>46.53</v>
      </c>
      <c r="I545" s="14">
        <f>'PIVOT TABLES'!$B$26</f>
        <v>60.283999999999999</v>
      </c>
      <c r="J545" s="14">
        <f>'PIVOT TABLES'!$B$27-'PIVOT TABLES'!$B$26</f>
        <v>30.142000000000003</v>
      </c>
      <c r="K545" s="14">
        <f>'PIVOT TABLES'!$B$28-'PIVOT TABLES'!$B$27</f>
        <v>30.141999999999996</v>
      </c>
      <c r="L545" s="14">
        <f>200-SUM(Table3[[#This Row],[D - LIGHT]:[D - VIGOROUS]])</f>
        <v>79.432000000000002</v>
      </c>
      <c r="M545" s="14">
        <f>'PIVOT TABLES'!$I$26</f>
        <v>65.603999999999999</v>
      </c>
      <c r="N545" s="14">
        <f>'PIVOT TABLES'!$I$27-'PIVOT TABLES'!$I$26</f>
        <v>32.802000000000007</v>
      </c>
      <c r="O545" s="14">
        <f>'PIVOT TABLES'!$I$28-'PIVOT TABLES'!$I$27</f>
        <v>32.801999999999992</v>
      </c>
      <c r="P545" s="14">
        <f>200-SUM(Table3[[#This Row],[M - LIGHT]:[M - VIGOROUS]])</f>
        <v>68.792000000000002</v>
      </c>
      <c r="Q545" s="14">
        <f>'PIVOT TABLES'!$P$26</f>
        <v>62.64</v>
      </c>
      <c r="R545" s="14">
        <f>'PIVOT TABLES'!$P$27-'PIVOT TABLES'!$P$26</f>
        <v>31.320000000000007</v>
      </c>
      <c r="S545" s="14">
        <f>'PIVOT TABLES'!$P$28-'PIVOT TABLES'!$P$27</f>
        <v>31.319999999999993</v>
      </c>
      <c r="T545" s="14">
        <f>200-SUM(Table3[[#This Row],[W - LIGHT]:[W - VIGOROUS]])</f>
        <v>74.72</v>
      </c>
      <c r="U545" s="14">
        <f>'PIVOT TABLES'!$W$26</f>
        <v>55.895999999999994</v>
      </c>
      <c r="V545" s="14">
        <f>'PIVOT TABLES'!$W$27-'PIVOT TABLES'!$W$26</f>
        <v>27.948</v>
      </c>
      <c r="W545" s="14">
        <f>'PIVOT TABLES'!$W$28-'PIVOT TABLES'!$W$27</f>
        <v>27.947999999999993</v>
      </c>
      <c r="X545" s="14">
        <f>200-SUM(Table3[[#This Row],[S - LIGHT]:[S - VIGOROUS]])</f>
        <v>88.208000000000013</v>
      </c>
    </row>
    <row r="546" spans="1:24" x14ac:dyDescent="0.25">
      <c r="A546" s="17" t="s">
        <v>67</v>
      </c>
      <c r="B546" s="13" t="str">
        <f t="shared" si="8"/>
        <v>Midfielder</v>
      </c>
      <c r="C546" s="7">
        <v>45321.462442129632</v>
      </c>
      <c r="D546" s="14">
        <v>4886</v>
      </c>
      <c r="E546" s="14">
        <v>19</v>
      </c>
      <c r="F546" s="14">
        <v>28</v>
      </c>
      <c r="G546" s="14">
        <v>22</v>
      </c>
      <c r="H546" s="14">
        <v>50.99</v>
      </c>
      <c r="I546" s="14">
        <f>'PIVOT TABLES'!$B$26</f>
        <v>60.283999999999999</v>
      </c>
      <c r="J546" s="14">
        <f>'PIVOT TABLES'!$B$27-'PIVOT TABLES'!$B$26</f>
        <v>30.142000000000003</v>
      </c>
      <c r="K546" s="14">
        <f>'PIVOT TABLES'!$B$28-'PIVOT TABLES'!$B$27</f>
        <v>30.141999999999996</v>
      </c>
      <c r="L546" s="14">
        <f>200-SUM(Table3[[#This Row],[D - LIGHT]:[D - VIGOROUS]])</f>
        <v>79.432000000000002</v>
      </c>
      <c r="M546" s="14">
        <f>'PIVOT TABLES'!$I$26</f>
        <v>65.603999999999999</v>
      </c>
      <c r="N546" s="14">
        <f>'PIVOT TABLES'!$I$27-'PIVOT TABLES'!$I$26</f>
        <v>32.802000000000007</v>
      </c>
      <c r="O546" s="14">
        <f>'PIVOT TABLES'!$I$28-'PIVOT TABLES'!$I$27</f>
        <v>32.801999999999992</v>
      </c>
      <c r="P546" s="14">
        <f>200-SUM(Table3[[#This Row],[M - LIGHT]:[M - VIGOROUS]])</f>
        <v>68.792000000000002</v>
      </c>
      <c r="Q546" s="14">
        <f>'PIVOT TABLES'!$P$26</f>
        <v>62.64</v>
      </c>
      <c r="R546" s="14">
        <f>'PIVOT TABLES'!$P$27-'PIVOT TABLES'!$P$26</f>
        <v>31.320000000000007</v>
      </c>
      <c r="S546" s="14">
        <f>'PIVOT TABLES'!$P$28-'PIVOT TABLES'!$P$27</f>
        <v>31.319999999999993</v>
      </c>
      <c r="T546" s="14">
        <f>200-SUM(Table3[[#This Row],[W - LIGHT]:[W - VIGOROUS]])</f>
        <v>74.72</v>
      </c>
      <c r="U546" s="14">
        <f>'PIVOT TABLES'!$W$26</f>
        <v>55.895999999999994</v>
      </c>
      <c r="V546" s="14">
        <f>'PIVOT TABLES'!$W$27-'PIVOT TABLES'!$W$26</f>
        <v>27.948</v>
      </c>
      <c r="W546" s="14">
        <f>'PIVOT TABLES'!$W$28-'PIVOT TABLES'!$W$27</f>
        <v>27.947999999999993</v>
      </c>
      <c r="X546" s="14">
        <f>200-SUM(Table3[[#This Row],[S - LIGHT]:[S - VIGOROUS]])</f>
        <v>88.208000000000013</v>
      </c>
    </row>
    <row r="547" spans="1:24" x14ac:dyDescent="0.25">
      <c r="A547" s="17" t="s">
        <v>69</v>
      </c>
      <c r="B547" s="13" t="str">
        <f t="shared" si="8"/>
        <v>Midfielder</v>
      </c>
      <c r="C547" s="7">
        <v>45321.462442129632</v>
      </c>
      <c r="D547" s="14">
        <v>5094</v>
      </c>
      <c r="E547" s="14">
        <v>17</v>
      </c>
      <c r="F547" s="14">
        <v>18</v>
      </c>
      <c r="G547" s="14">
        <v>10</v>
      </c>
      <c r="H547" s="14">
        <v>52.37</v>
      </c>
      <c r="I547" s="14">
        <f>'PIVOT TABLES'!$B$26</f>
        <v>60.283999999999999</v>
      </c>
      <c r="J547" s="14">
        <f>'PIVOT TABLES'!$B$27-'PIVOT TABLES'!$B$26</f>
        <v>30.142000000000003</v>
      </c>
      <c r="K547" s="14">
        <f>'PIVOT TABLES'!$B$28-'PIVOT TABLES'!$B$27</f>
        <v>30.141999999999996</v>
      </c>
      <c r="L547" s="14">
        <f>200-SUM(Table3[[#This Row],[D - LIGHT]:[D - VIGOROUS]])</f>
        <v>79.432000000000002</v>
      </c>
      <c r="M547" s="14">
        <f>'PIVOT TABLES'!$I$26</f>
        <v>65.603999999999999</v>
      </c>
      <c r="N547" s="14">
        <f>'PIVOT TABLES'!$I$27-'PIVOT TABLES'!$I$26</f>
        <v>32.802000000000007</v>
      </c>
      <c r="O547" s="14">
        <f>'PIVOT TABLES'!$I$28-'PIVOT TABLES'!$I$27</f>
        <v>32.801999999999992</v>
      </c>
      <c r="P547" s="14">
        <f>200-SUM(Table3[[#This Row],[M - LIGHT]:[M - VIGOROUS]])</f>
        <v>68.792000000000002</v>
      </c>
      <c r="Q547" s="14">
        <f>'PIVOT TABLES'!$P$26</f>
        <v>62.64</v>
      </c>
      <c r="R547" s="14">
        <f>'PIVOT TABLES'!$P$27-'PIVOT TABLES'!$P$26</f>
        <v>31.320000000000007</v>
      </c>
      <c r="S547" s="14">
        <f>'PIVOT TABLES'!$P$28-'PIVOT TABLES'!$P$27</f>
        <v>31.319999999999993</v>
      </c>
      <c r="T547" s="14">
        <f>200-SUM(Table3[[#This Row],[W - LIGHT]:[W - VIGOROUS]])</f>
        <v>74.72</v>
      </c>
      <c r="U547" s="14">
        <f>'PIVOT TABLES'!$W$26</f>
        <v>55.895999999999994</v>
      </c>
      <c r="V547" s="14">
        <f>'PIVOT TABLES'!$W$27-'PIVOT TABLES'!$W$26</f>
        <v>27.948</v>
      </c>
      <c r="W547" s="14">
        <f>'PIVOT TABLES'!$W$28-'PIVOT TABLES'!$W$27</f>
        <v>27.947999999999993</v>
      </c>
      <c r="X547" s="14">
        <f>200-SUM(Table3[[#This Row],[S - LIGHT]:[S - VIGOROUS]])</f>
        <v>88.208000000000013</v>
      </c>
    </row>
    <row r="548" spans="1:24" x14ac:dyDescent="0.25">
      <c r="A548" s="17" t="s">
        <v>70</v>
      </c>
      <c r="B548" s="13" t="str">
        <f t="shared" si="8"/>
        <v>Winger</v>
      </c>
      <c r="C548" s="7">
        <v>45323.425682870373</v>
      </c>
      <c r="D548" s="14">
        <v>4009</v>
      </c>
      <c r="E548" s="14">
        <v>0</v>
      </c>
      <c r="F548" s="14">
        <v>0</v>
      </c>
      <c r="G548" s="14">
        <v>1</v>
      </c>
      <c r="H548" s="14">
        <v>40.11</v>
      </c>
      <c r="I548" s="14">
        <f>'PIVOT TABLES'!$B$26</f>
        <v>60.283999999999999</v>
      </c>
      <c r="J548" s="14">
        <f>'PIVOT TABLES'!$B$27-'PIVOT TABLES'!$B$26</f>
        <v>30.142000000000003</v>
      </c>
      <c r="K548" s="14">
        <f>'PIVOT TABLES'!$B$28-'PIVOT TABLES'!$B$27</f>
        <v>30.141999999999996</v>
      </c>
      <c r="L548" s="14">
        <f>200-SUM(Table3[[#This Row],[D - LIGHT]:[D - VIGOROUS]])</f>
        <v>79.432000000000002</v>
      </c>
      <c r="M548" s="14">
        <f>'PIVOT TABLES'!$I$26</f>
        <v>65.603999999999999</v>
      </c>
      <c r="N548" s="14">
        <f>'PIVOT TABLES'!$I$27-'PIVOT TABLES'!$I$26</f>
        <v>32.802000000000007</v>
      </c>
      <c r="O548" s="14">
        <f>'PIVOT TABLES'!$I$28-'PIVOT TABLES'!$I$27</f>
        <v>32.801999999999992</v>
      </c>
      <c r="P548" s="14">
        <f>200-SUM(Table3[[#This Row],[M - LIGHT]:[M - VIGOROUS]])</f>
        <v>68.792000000000002</v>
      </c>
      <c r="Q548" s="14">
        <f>'PIVOT TABLES'!$P$26</f>
        <v>62.64</v>
      </c>
      <c r="R548" s="14">
        <f>'PIVOT TABLES'!$P$27-'PIVOT TABLES'!$P$26</f>
        <v>31.320000000000007</v>
      </c>
      <c r="S548" s="14">
        <f>'PIVOT TABLES'!$P$28-'PIVOT TABLES'!$P$27</f>
        <v>31.319999999999993</v>
      </c>
      <c r="T548" s="14">
        <f>200-SUM(Table3[[#This Row],[W - LIGHT]:[W - VIGOROUS]])</f>
        <v>74.72</v>
      </c>
      <c r="U548" s="14">
        <f>'PIVOT TABLES'!$W$26</f>
        <v>55.895999999999994</v>
      </c>
      <c r="V548" s="14">
        <f>'PIVOT TABLES'!$W$27-'PIVOT TABLES'!$W$26</f>
        <v>27.948</v>
      </c>
      <c r="W548" s="14">
        <f>'PIVOT TABLES'!$W$28-'PIVOT TABLES'!$W$27</f>
        <v>27.947999999999993</v>
      </c>
      <c r="X548" s="14">
        <f>200-SUM(Table3[[#This Row],[S - LIGHT]:[S - VIGOROUS]])</f>
        <v>88.208000000000013</v>
      </c>
    </row>
    <row r="549" spans="1:24" x14ac:dyDescent="0.25">
      <c r="A549" s="17" t="s">
        <v>53</v>
      </c>
      <c r="B549" s="13" t="str">
        <f t="shared" si="8"/>
        <v>Midfielder</v>
      </c>
      <c r="C549" s="7">
        <v>45323.425682870373</v>
      </c>
      <c r="D549" s="14">
        <v>7008</v>
      </c>
      <c r="E549" s="14">
        <v>4</v>
      </c>
      <c r="F549" s="14">
        <v>22</v>
      </c>
      <c r="G549" s="14">
        <v>33</v>
      </c>
      <c r="H549" s="14">
        <v>71.739999999999995</v>
      </c>
      <c r="I549" s="14">
        <f>'PIVOT TABLES'!$B$26</f>
        <v>60.283999999999999</v>
      </c>
      <c r="J549" s="14">
        <f>'PIVOT TABLES'!$B$27-'PIVOT TABLES'!$B$26</f>
        <v>30.142000000000003</v>
      </c>
      <c r="K549" s="14">
        <f>'PIVOT TABLES'!$B$28-'PIVOT TABLES'!$B$27</f>
        <v>30.141999999999996</v>
      </c>
      <c r="L549" s="14">
        <f>200-SUM(Table3[[#This Row],[D - LIGHT]:[D - VIGOROUS]])</f>
        <v>79.432000000000002</v>
      </c>
      <c r="M549" s="14">
        <f>'PIVOT TABLES'!$I$26</f>
        <v>65.603999999999999</v>
      </c>
      <c r="N549" s="14">
        <f>'PIVOT TABLES'!$I$27-'PIVOT TABLES'!$I$26</f>
        <v>32.802000000000007</v>
      </c>
      <c r="O549" s="14">
        <f>'PIVOT TABLES'!$I$28-'PIVOT TABLES'!$I$27</f>
        <v>32.801999999999992</v>
      </c>
      <c r="P549" s="14">
        <f>200-SUM(Table3[[#This Row],[M - LIGHT]:[M - VIGOROUS]])</f>
        <v>68.792000000000002</v>
      </c>
      <c r="Q549" s="14">
        <f>'PIVOT TABLES'!$P$26</f>
        <v>62.64</v>
      </c>
      <c r="R549" s="14">
        <f>'PIVOT TABLES'!$P$27-'PIVOT TABLES'!$P$26</f>
        <v>31.320000000000007</v>
      </c>
      <c r="S549" s="14">
        <f>'PIVOT TABLES'!$P$28-'PIVOT TABLES'!$P$27</f>
        <v>31.319999999999993</v>
      </c>
      <c r="T549" s="14">
        <f>200-SUM(Table3[[#This Row],[W - LIGHT]:[W - VIGOROUS]])</f>
        <v>74.72</v>
      </c>
      <c r="U549" s="14">
        <f>'PIVOT TABLES'!$W$26</f>
        <v>55.895999999999994</v>
      </c>
      <c r="V549" s="14">
        <f>'PIVOT TABLES'!$W$27-'PIVOT TABLES'!$W$26</f>
        <v>27.948</v>
      </c>
      <c r="W549" s="14">
        <f>'PIVOT TABLES'!$W$28-'PIVOT TABLES'!$W$27</f>
        <v>27.947999999999993</v>
      </c>
      <c r="X549" s="14">
        <f>200-SUM(Table3[[#This Row],[S - LIGHT]:[S - VIGOROUS]])</f>
        <v>88.208000000000013</v>
      </c>
    </row>
    <row r="550" spans="1:24" x14ac:dyDescent="0.25">
      <c r="A550" s="17" t="s">
        <v>54</v>
      </c>
      <c r="B550" s="13" t="str">
        <f t="shared" si="8"/>
        <v>Striker</v>
      </c>
      <c r="C550" s="7">
        <v>45323.425682870373</v>
      </c>
      <c r="D550" s="14">
        <v>2762</v>
      </c>
      <c r="E550" s="14">
        <v>6</v>
      </c>
      <c r="F550" s="14">
        <v>6</v>
      </c>
      <c r="G550" s="14">
        <v>13</v>
      </c>
      <c r="H550" s="14">
        <v>28.3</v>
      </c>
      <c r="I550" s="14">
        <f>'PIVOT TABLES'!$B$26</f>
        <v>60.283999999999999</v>
      </c>
      <c r="J550" s="14">
        <f>'PIVOT TABLES'!$B$27-'PIVOT TABLES'!$B$26</f>
        <v>30.142000000000003</v>
      </c>
      <c r="K550" s="14">
        <f>'PIVOT TABLES'!$B$28-'PIVOT TABLES'!$B$27</f>
        <v>30.141999999999996</v>
      </c>
      <c r="L550" s="14">
        <f>200-SUM(Table3[[#This Row],[D - LIGHT]:[D - VIGOROUS]])</f>
        <v>79.432000000000002</v>
      </c>
      <c r="M550" s="14">
        <f>'PIVOT TABLES'!$I$26</f>
        <v>65.603999999999999</v>
      </c>
      <c r="N550" s="14">
        <f>'PIVOT TABLES'!$I$27-'PIVOT TABLES'!$I$26</f>
        <v>32.802000000000007</v>
      </c>
      <c r="O550" s="14">
        <f>'PIVOT TABLES'!$I$28-'PIVOT TABLES'!$I$27</f>
        <v>32.801999999999992</v>
      </c>
      <c r="P550" s="14">
        <f>200-SUM(Table3[[#This Row],[M - LIGHT]:[M - VIGOROUS]])</f>
        <v>68.792000000000002</v>
      </c>
      <c r="Q550" s="14">
        <f>'PIVOT TABLES'!$P$26</f>
        <v>62.64</v>
      </c>
      <c r="R550" s="14">
        <f>'PIVOT TABLES'!$P$27-'PIVOT TABLES'!$P$26</f>
        <v>31.320000000000007</v>
      </c>
      <c r="S550" s="14">
        <f>'PIVOT TABLES'!$P$28-'PIVOT TABLES'!$P$27</f>
        <v>31.319999999999993</v>
      </c>
      <c r="T550" s="14">
        <f>200-SUM(Table3[[#This Row],[W - LIGHT]:[W - VIGOROUS]])</f>
        <v>74.72</v>
      </c>
      <c r="U550" s="14">
        <f>'PIVOT TABLES'!$W$26</f>
        <v>55.895999999999994</v>
      </c>
      <c r="V550" s="14">
        <f>'PIVOT TABLES'!$W$27-'PIVOT TABLES'!$W$26</f>
        <v>27.948</v>
      </c>
      <c r="W550" s="14">
        <f>'PIVOT TABLES'!$W$28-'PIVOT TABLES'!$W$27</f>
        <v>27.947999999999993</v>
      </c>
      <c r="X550" s="14">
        <f>200-SUM(Table3[[#This Row],[S - LIGHT]:[S - VIGOROUS]])</f>
        <v>88.208000000000013</v>
      </c>
    </row>
    <row r="551" spans="1:24" x14ac:dyDescent="0.25">
      <c r="A551" s="17" t="s">
        <v>55</v>
      </c>
      <c r="B551" s="13" t="str">
        <f t="shared" si="8"/>
        <v>Striker</v>
      </c>
      <c r="C551" s="7">
        <v>45323.425682870373</v>
      </c>
      <c r="D551" s="14">
        <v>6033</v>
      </c>
      <c r="E551" s="14">
        <v>25</v>
      </c>
      <c r="F551" s="14">
        <v>27</v>
      </c>
      <c r="G551" s="14">
        <v>10</v>
      </c>
      <c r="H551" s="14">
        <v>62.36</v>
      </c>
      <c r="I551" s="14">
        <f>'PIVOT TABLES'!$B$26</f>
        <v>60.283999999999999</v>
      </c>
      <c r="J551" s="14">
        <f>'PIVOT TABLES'!$B$27-'PIVOT TABLES'!$B$26</f>
        <v>30.142000000000003</v>
      </c>
      <c r="K551" s="14">
        <f>'PIVOT TABLES'!$B$28-'PIVOT TABLES'!$B$27</f>
        <v>30.141999999999996</v>
      </c>
      <c r="L551" s="14">
        <f>200-SUM(Table3[[#This Row],[D - LIGHT]:[D - VIGOROUS]])</f>
        <v>79.432000000000002</v>
      </c>
      <c r="M551" s="14">
        <f>'PIVOT TABLES'!$I$26</f>
        <v>65.603999999999999</v>
      </c>
      <c r="N551" s="14">
        <f>'PIVOT TABLES'!$I$27-'PIVOT TABLES'!$I$26</f>
        <v>32.802000000000007</v>
      </c>
      <c r="O551" s="14">
        <f>'PIVOT TABLES'!$I$28-'PIVOT TABLES'!$I$27</f>
        <v>32.801999999999992</v>
      </c>
      <c r="P551" s="14">
        <f>200-SUM(Table3[[#This Row],[M - LIGHT]:[M - VIGOROUS]])</f>
        <v>68.792000000000002</v>
      </c>
      <c r="Q551" s="14">
        <f>'PIVOT TABLES'!$P$26</f>
        <v>62.64</v>
      </c>
      <c r="R551" s="14">
        <f>'PIVOT TABLES'!$P$27-'PIVOT TABLES'!$P$26</f>
        <v>31.320000000000007</v>
      </c>
      <c r="S551" s="14">
        <f>'PIVOT TABLES'!$P$28-'PIVOT TABLES'!$P$27</f>
        <v>31.319999999999993</v>
      </c>
      <c r="T551" s="14">
        <f>200-SUM(Table3[[#This Row],[W - LIGHT]:[W - VIGOROUS]])</f>
        <v>74.72</v>
      </c>
      <c r="U551" s="14">
        <f>'PIVOT TABLES'!$W$26</f>
        <v>55.895999999999994</v>
      </c>
      <c r="V551" s="14">
        <f>'PIVOT TABLES'!$W$27-'PIVOT TABLES'!$W$26</f>
        <v>27.948</v>
      </c>
      <c r="W551" s="14">
        <f>'PIVOT TABLES'!$W$28-'PIVOT TABLES'!$W$27</f>
        <v>27.947999999999993</v>
      </c>
      <c r="X551" s="14">
        <f>200-SUM(Table3[[#This Row],[S - LIGHT]:[S - VIGOROUS]])</f>
        <v>88.208000000000013</v>
      </c>
    </row>
    <row r="552" spans="1:24" x14ac:dyDescent="0.25">
      <c r="A552" s="17" t="s">
        <v>1</v>
      </c>
      <c r="B552" s="13" t="str">
        <f t="shared" si="8"/>
        <v>Defender</v>
      </c>
      <c r="C552" s="7">
        <v>45323.425682870373</v>
      </c>
      <c r="D552" s="14">
        <v>6224</v>
      </c>
      <c r="E552" s="14">
        <v>38</v>
      </c>
      <c r="F552" s="14">
        <v>30</v>
      </c>
      <c r="G552" s="14">
        <v>20</v>
      </c>
      <c r="H552" s="14">
        <v>64.98</v>
      </c>
      <c r="I552" s="14">
        <f>'PIVOT TABLES'!$B$26</f>
        <v>60.283999999999999</v>
      </c>
      <c r="J552" s="14">
        <f>'PIVOT TABLES'!$B$27-'PIVOT TABLES'!$B$26</f>
        <v>30.142000000000003</v>
      </c>
      <c r="K552" s="14">
        <f>'PIVOT TABLES'!$B$28-'PIVOT TABLES'!$B$27</f>
        <v>30.141999999999996</v>
      </c>
      <c r="L552" s="14">
        <f>200-SUM(Table3[[#This Row],[D - LIGHT]:[D - VIGOROUS]])</f>
        <v>79.432000000000002</v>
      </c>
      <c r="M552" s="14">
        <f>'PIVOT TABLES'!$I$26</f>
        <v>65.603999999999999</v>
      </c>
      <c r="N552" s="14">
        <f>'PIVOT TABLES'!$I$27-'PIVOT TABLES'!$I$26</f>
        <v>32.802000000000007</v>
      </c>
      <c r="O552" s="14">
        <f>'PIVOT TABLES'!$I$28-'PIVOT TABLES'!$I$27</f>
        <v>32.801999999999992</v>
      </c>
      <c r="P552" s="14">
        <f>200-SUM(Table3[[#This Row],[M - LIGHT]:[M - VIGOROUS]])</f>
        <v>68.792000000000002</v>
      </c>
      <c r="Q552" s="14">
        <f>'PIVOT TABLES'!$P$26</f>
        <v>62.64</v>
      </c>
      <c r="R552" s="14">
        <f>'PIVOT TABLES'!$P$27-'PIVOT TABLES'!$P$26</f>
        <v>31.320000000000007</v>
      </c>
      <c r="S552" s="14">
        <f>'PIVOT TABLES'!$P$28-'PIVOT TABLES'!$P$27</f>
        <v>31.319999999999993</v>
      </c>
      <c r="T552" s="14">
        <f>200-SUM(Table3[[#This Row],[W - LIGHT]:[W - VIGOROUS]])</f>
        <v>74.72</v>
      </c>
      <c r="U552" s="14">
        <f>'PIVOT TABLES'!$W$26</f>
        <v>55.895999999999994</v>
      </c>
      <c r="V552" s="14">
        <f>'PIVOT TABLES'!$W$27-'PIVOT TABLES'!$W$26</f>
        <v>27.948</v>
      </c>
      <c r="W552" s="14">
        <f>'PIVOT TABLES'!$W$28-'PIVOT TABLES'!$W$27</f>
        <v>27.947999999999993</v>
      </c>
      <c r="X552" s="14">
        <f>200-SUM(Table3[[#This Row],[S - LIGHT]:[S - VIGOROUS]])</f>
        <v>88.208000000000013</v>
      </c>
    </row>
    <row r="553" spans="1:24" x14ac:dyDescent="0.25">
      <c r="A553" s="17" t="s">
        <v>56</v>
      </c>
      <c r="B553" s="13" t="str">
        <f t="shared" si="8"/>
        <v>Midfielder</v>
      </c>
      <c r="C553" s="7">
        <v>45323.425682870373</v>
      </c>
      <c r="D553" s="14">
        <v>6773</v>
      </c>
      <c r="E553" s="14">
        <v>4</v>
      </c>
      <c r="F553" s="14">
        <v>18</v>
      </c>
      <c r="G553" s="14">
        <v>25</v>
      </c>
      <c r="H553" s="14">
        <v>69.069999999999993</v>
      </c>
      <c r="I553" s="14">
        <f>'PIVOT TABLES'!$B$26</f>
        <v>60.283999999999999</v>
      </c>
      <c r="J553" s="14">
        <f>'PIVOT TABLES'!$B$27-'PIVOT TABLES'!$B$26</f>
        <v>30.142000000000003</v>
      </c>
      <c r="K553" s="14">
        <f>'PIVOT TABLES'!$B$28-'PIVOT TABLES'!$B$27</f>
        <v>30.141999999999996</v>
      </c>
      <c r="L553" s="14">
        <f>200-SUM(Table3[[#This Row],[D - LIGHT]:[D - VIGOROUS]])</f>
        <v>79.432000000000002</v>
      </c>
      <c r="M553" s="14">
        <f>'PIVOT TABLES'!$I$26</f>
        <v>65.603999999999999</v>
      </c>
      <c r="N553" s="14">
        <f>'PIVOT TABLES'!$I$27-'PIVOT TABLES'!$I$26</f>
        <v>32.802000000000007</v>
      </c>
      <c r="O553" s="14">
        <f>'PIVOT TABLES'!$I$28-'PIVOT TABLES'!$I$27</f>
        <v>32.801999999999992</v>
      </c>
      <c r="P553" s="14">
        <f>200-SUM(Table3[[#This Row],[M - LIGHT]:[M - VIGOROUS]])</f>
        <v>68.792000000000002</v>
      </c>
      <c r="Q553" s="14">
        <f>'PIVOT TABLES'!$P$26</f>
        <v>62.64</v>
      </c>
      <c r="R553" s="14">
        <f>'PIVOT TABLES'!$P$27-'PIVOT TABLES'!$P$26</f>
        <v>31.320000000000007</v>
      </c>
      <c r="S553" s="14">
        <f>'PIVOT TABLES'!$P$28-'PIVOT TABLES'!$P$27</f>
        <v>31.319999999999993</v>
      </c>
      <c r="T553" s="14">
        <f>200-SUM(Table3[[#This Row],[W - LIGHT]:[W - VIGOROUS]])</f>
        <v>74.72</v>
      </c>
      <c r="U553" s="14">
        <f>'PIVOT TABLES'!$W$26</f>
        <v>55.895999999999994</v>
      </c>
      <c r="V553" s="14">
        <f>'PIVOT TABLES'!$W$27-'PIVOT TABLES'!$W$26</f>
        <v>27.948</v>
      </c>
      <c r="W553" s="14">
        <f>'PIVOT TABLES'!$W$28-'PIVOT TABLES'!$W$27</f>
        <v>27.947999999999993</v>
      </c>
      <c r="X553" s="14">
        <f>200-SUM(Table3[[#This Row],[S - LIGHT]:[S - VIGOROUS]])</f>
        <v>88.208000000000013</v>
      </c>
    </row>
    <row r="554" spans="1:24" x14ac:dyDescent="0.25">
      <c r="A554" s="17" t="s">
        <v>2</v>
      </c>
      <c r="B554" s="13" t="str">
        <f t="shared" si="8"/>
        <v>Defender</v>
      </c>
      <c r="C554" s="7">
        <v>45323.425682870373</v>
      </c>
      <c r="D554" s="14">
        <v>5784</v>
      </c>
      <c r="E554" s="14">
        <v>38</v>
      </c>
      <c r="F554" s="14">
        <v>24</v>
      </c>
      <c r="G554" s="14">
        <v>24</v>
      </c>
      <c r="H554" s="14">
        <v>60.42</v>
      </c>
      <c r="I554" s="14">
        <f>'PIVOT TABLES'!$B$26</f>
        <v>60.283999999999999</v>
      </c>
      <c r="J554" s="14">
        <f>'PIVOT TABLES'!$B$27-'PIVOT TABLES'!$B$26</f>
        <v>30.142000000000003</v>
      </c>
      <c r="K554" s="14">
        <f>'PIVOT TABLES'!$B$28-'PIVOT TABLES'!$B$27</f>
        <v>30.141999999999996</v>
      </c>
      <c r="L554" s="14">
        <f>200-SUM(Table3[[#This Row],[D - LIGHT]:[D - VIGOROUS]])</f>
        <v>79.432000000000002</v>
      </c>
      <c r="M554" s="14">
        <f>'PIVOT TABLES'!$I$26</f>
        <v>65.603999999999999</v>
      </c>
      <c r="N554" s="14">
        <f>'PIVOT TABLES'!$I$27-'PIVOT TABLES'!$I$26</f>
        <v>32.802000000000007</v>
      </c>
      <c r="O554" s="14">
        <f>'PIVOT TABLES'!$I$28-'PIVOT TABLES'!$I$27</f>
        <v>32.801999999999992</v>
      </c>
      <c r="P554" s="14">
        <f>200-SUM(Table3[[#This Row],[M - LIGHT]:[M - VIGOROUS]])</f>
        <v>68.792000000000002</v>
      </c>
      <c r="Q554" s="14">
        <f>'PIVOT TABLES'!$P$26</f>
        <v>62.64</v>
      </c>
      <c r="R554" s="14">
        <f>'PIVOT TABLES'!$P$27-'PIVOT TABLES'!$P$26</f>
        <v>31.320000000000007</v>
      </c>
      <c r="S554" s="14">
        <f>'PIVOT TABLES'!$P$28-'PIVOT TABLES'!$P$27</f>
        <v>31.319999999999993</v>
      </c>
      <c r="T554" s="14">
        <f>200-SUM(Table3[[#This Row],[W - LIGHT]:[W - VIGOROUS]])</f>
        <v>74.72</v>
      </c>
      <c r="U554" s="14">
        <f>'PIVOT TABLES'!$W$26</f>
        <v>55.895999999999994</v>
      </c>
      <c r="V554" s="14">
        <f>'PIVOT TABLES'!$W$27-'PIVOT TABLES'!$W$26</f>
        <v>27.948</v>
      </c>
      <c r="W554" s="14">
        <f>'PIVOT TABLES'!$W$28-'PIVOT TABLES'!$W$27</f>
        <v>27.947999999999993</v>
      </c>
      <c r="X554" s="14">
        <f>200-SUM(Table3[[#This Row],[S - LIGHT]:[S - VIGOROUS]])</f>
        <v>88.208000000000013</v>
      </c>
    </row>
    <row r="555" spans="1:24" x14ac:dyDescent="0.25">
      <c r="A555" s="17" t="s">
        <v>58</v>
      </c>
      <c r="B555" s="13" t="str">
        <f t="shared" si="8"/>
        <v>Defender</v>
      </c>
      <c r="C555" s="7">
        <v>45323.425682870373</v>
      </c>
      <c r="D555" s="14">
        <v>6541</v>
      </c>
      <c r="E555" s="14">
        <v>12</v>
      </c>
      <c r="F555" s="14">
        <v>41</v>
      </c>
      <c r="G555" s="14">
        <v>23</v>
      </c>
      <c r="H555" s="14">
        <v>67.87</v>
      </c>
      <c r="I555" s="14">
        <f>'PIVOT TABLES'!$B$26</f>
        <v>60.283999999999999</v>
      </c>
      <c r="J555" s="14">
        <f>'PIVOT TABLES'!$B$27-'PIVOT TABLES'!$B$26</f>
        <v>30.142000000000003</v>
      </c>
      <c r="K555" s="14">
        <f>'PIVOT TABLES'!$B$28-'PIVOT TABLES'!$B$27</f>
        <v>30.141999999999996</v>
      </c>
      <c r="L555" s="14">
        <f>200-SUM(Table3[[#This Row],[D - LIGHT]:[D - VIGOROUS]])</f>
        <v>79.432000000000002</v>
      </c>
      <c r="M555" s="14">
        <f>'PIVOT TABLES'!$I$26</f>
        <v>65.603999999999999</v>
      </c>
      <c r="N555" s="14">
        <f>'PIVOT TABLES'!$I$27-'PIVOT TABLES'!$I$26</f>
        <v>32.802000000000007</v>
      </c>
      <c r="O555" s="14">
        <f>'PIVOT TABLES'!$I$28-'PIVOT TABLES'!$I$27</f>
        <v>32.801999999999992</v>
      </c>
      <c r="P555" s="14">
        <f>200-SUM(Table3[[#This Row],[M - LIGHT]:[M - VIGOROUS]])</f>
        <v>68.792000000000002</v>
      </c>
      <c r="Q555" s="14">
        <f>'PIVOT TABLES'!$P$26</f>
        <v>62.64</v>
      </c>
      <c r="R555" s="14">
        <f>'PIVOT TABLES'!$P$27-'PIVOT TABLES'!$P$26</f>
        <v>31.320000000000007</v>
      </c>
      <c r="S555" s="14">
        <f>'PIVOT TABLES'!$P$28-'PIVOT TABLES'!$P$27</f>
        <v>31.319999999999993</v>
      </c>
      <c r="T555" s="14">
        <f>200-SUM(Table3[[#This Row],[W - LIGHT]:[W - VIGOROUS]])</f>
        <v>74.72</v>
      </c>
      <c r="U555" s="14">
        <f>'PIVOT TABLES'!$W$26</f>
        <v>55.895999999999994</v>
      </c>
      <c r="V555" s="14">
        <f>'PIVOT TABLES'!$W$27-'PIVOT TABLES'!$W$26</f>
        <v>27.948</v>
      </c>
      <c r="W555" s="14">
        <f>'PIVOT TABLES'!$W$28-'PIVOT TABLES'!$W$27</f>
        <v>27.947999999999993</v>
      </c>
      <c r="X555" s="14">
        <f>200-SUM(Table3[[#This Row],[S - LIGHT]:[S - VIGOROUS]])</f>
        <v>88.208000000000013</v>
      </c>
    </row>
    <row r="556" spans="1:24" x14ac:dyDescent="0.25">
      <c r="A556" s="17" t="s">
        <v>94</v>
      </c>
      <c r="B556" s="13" t="str">
        <f t="shared" si="8"/>
        <v>Defender</v>
      </c>
      <c r="C556" s="7">
        <v>45323.425682870373</v>
      </c>
      <c r="D556" s="14">
        <v>7022</v>
      </c>
      <c r="E556" s="14">
        <v>39</v>
      </c>
      <c r="F556" s="14">
        <v>14</v>
      </c>
      <c r="G556" s="14">
        <v>20</v>
      </c>
      <c r="H556" s="14">
        <v>72.349999999999994</v>
      </c>
      <c r="I556" s="14">
        <f>'PIVOT TABLES'!$B$26</f>
        <v>60.283999999999999</v>
      </c>
      <c r="J556" s="14">
        <f>'PIVOT TABLES'!$B$27-'PIVOT TABLES'!$B$26</f>
        <v>30.142000000000003</v>
      </c>
      <c r="K556" s="14">
        <f>'PIVOT TABLES'!$B$28-'PIVOT TABLES'!$B$27</f>
        <v>30.141999999999996</v>
      </c>
      <c r="L556" s="14">
        <f>200-SUM(Table3[[#This Row],[D - LIGHT]:[D - VIGOROUS]])</f>
        <v>79.432000000000002</v>
      </c>
      <c r="M556" s="14">
        <f>'PIVOT TABLES'!$I$26</f>
        <v>65.603999999999999</v>
      </c>
      <c r="N556" s="14">
        <f>'PIVOT TABLES'!$I$27-'PIVOT TABLES'!$I$26</f>
        <v>32.802000000000007</v>
      </c>
      <c r="O556" s="14">
        <f>'PIVOT TABLES'!$I$28-'PIVOT TABLES'!$I$27</f>
        <v>32.801999999999992</v>
      </c>
      <c r="P556" s="14">
        <f>200-SUM(Table3[[#This Row],[M - LIGHT]:[M - VIGOROUS]])</f>
        <v>68.792000000000002</v>
      </c>
      <c r="Q556" s="14">
        <f>'PIVOT TABLES'!$P$26</f>
        <v>62.64</v>
      </c>
      <c r="R556" s="14">
        <f>'PIVOT TABLES'!$P$27-'PIVOT TABLES'!$P$26</f>
        <v>31.320000000000007</v>
      </c>
      <c r="S556" s="14">
        <f>'PIVOT TABLES'!$P$28-'PIVOT TABLES'!$P$27</f>
        <v>31.319999999999993</v>
      </c>
      <c r="T556" s="14">
        <f>200-SUM(Table3[[#This Row],[W - LIGHT]:[W - VIGOROUS]])</f>
        <v>74.72</v>
      </c>
      <c r="U556" s="14">
        <f>'PIVOT TABLES'!$W$26</f>
        <v>55.895999999999994</v>
      </c>
      <c r="V556" s="14">
        <f>'PIVOT TABLES'!$W$27-'PIVOT TABLES'!$W$26</f>
        <v>27.948</v>
      </c>
      <c r="W556" s="14">
        <f>'PIVOT TABLES'!$W$28-'PIVOT TABLES'!$W$27</f>
        <v>27.947999999999993</v>
      </c>
      <c r="X556" s="14">
        <f>200-SUM(Table3[[#This Row],[S - LIGHT]:[S - VIGOROUS]])</f>
        <v>88.208000000000013</v>
      </c>
    </row>
    <row r="557" spans="1:24" x14ac:dyDescent="0.25">
      <c r="A557" s="17" t="s">
        <v>3</v>
      </c>
      <c r="B557" s="13" t="str">
        <f t="shared" si="8"/>
        <v>Defender</v>
      </c>
      <c r="C557" s="7">
        <v>45323.425682870373</v>
      </c>
      <c r="D557" s="14">
        <v>3961</v>
      </c>
      <c r="E557" s="14">
        <v>0</v>
      </c>
      <c r="F557" s="14">
        <v>1</v>
      </c>
      <c r="G557" s="14">
        <v>0</v>
      </c>
      <c r="H557" s="14">
        <v>39.65</v>
      </c>
      <c r="I557" s="14">
        <f>'PIVOT TABLES'!$B$26</f>
        <v>60.283999999999999</v>
      </c>
      <c r="J557" s="14">
        <f>'PIVOT TABLES'!$B$27-'PIVOT TABLES'!$B$26</f>
        <v>30.142000000000003</v>
      </c>
      <c r="K557" s="14">
        <f>'PIVOT TABLES'!$B$28-'PIVOT TABLES'!$B$27</f>
        <v>30.141999999999996</v>
      </c>
      <c r="L557" s="14">
        <f>200-SUM(Table3[[#This Row],[D - LIGHT]:[D - VIGOROUS]])</f>
        <v>79.432000000000002</v>
      </c>
      <c r="M557" s="14">
        <f>'PIVOT TABLES'!$I$26</f>
        <v>65.603999999999999</v>
      </c>
      <c r="N557" s="14">
        <f>'PIVOT TABLES'!$I$27-'PIVOT TABLES'!$I$26</f>
        <v>32.802000000000007</v>
      </c>
      <c r="O557" s="14">
        <f>'PIVOT TABLES'!$I$28-'PIVOT TABLES'!$I$27</f>
        <v>32.801999999999992</v>
      </c>
      <c r="P557" s="14">
        <f>200-SUM(Table3[[#This Row],[M - LIGHT]:[M - VIGOROUS]])</f>
        <v>68.792000000000002</v>
      </c>
      <c r="Q557" s="14">
        <f>'PIVOT TABLES'!$P$26</f>
        <v>62.64</v>
      </c>
      <c r="R557" s="14">
        <f>'PIVOT TABLES'!$P$27-'PIVOT TABLES'!$P$26</f>
        <v>31.320000000000007</v>
      </c>
      <c r="S557" s="14">
        <f>'PIVOT TABLES'!$P$28-'PIVOT TABLES'!$P$27</f>
        <v>31.319999999999993</v>
      </c>
      <c r="T557" s="14">
        <f>200-SUM(Table3[[#This Row],[W - LIGHT]:[W - VIGOROUS]])</f>
        <v>74.72</v>
      </c>
      <c r="U557" s="14">
        <f>'PIVOT TABLES'!$W$26</f>
        <v>55.895999999999994</v>
      </c>
      <c r="V557" s="14">
        <f>'PIVOT TABLES'!$W$27-'PIVOT TABLES'!$W$26</f>
        <v>27.948</v>
      </c>
      <c r="W557" s="14">
        <f>'PIVOT TABLES'!$W$28-'PIVOT TABLES'!$W$27</f>
        <v>27.947999999999993</v>
      </c>
      <c r="X557" s="14">
        <f>200-SUM(Table3[[#This Row],[S - LIGHT]:[S - VIGOROUS]])</f>
        <v>88.208000000000013</v>
      </c>
    </row>
    <row r="558" spans="1:24" x14ac:dyDescent="0.25">
      <c r="A558" s="17" t="s">
        <v>59</v>
      </c>
      <c r="B558" s="13" t="str">
        <f t="shared" si="8"/>
        <v>Striker</v>
      </c>
      <c r="C558" s="7">
        <v>45323.425682870373</v>
      </c>
      <c r="D558" s="14">
        <v>6983</v>
      </c>
      <c r="E558" s="14">
        <v>51</v>
      </c>
      <c r="F558" s="14">
        <v>19</v>
      </c>
      <c r="G558" s="14">
        <v>14</v>
      </c>
      <c r="H558" s="14">
        <v>72.400000000000006</v>
      </c>
      <c r="I558" s="14">
        <f>'PIVOT TABLES'!$B$26</f>
        <v>60.283999999999999</v>
      </c>
      <c r="J558" s="14">
        <f>'PIVOT TABLES'!$B$27-'PIVOT TABLES'!$B$26</f>
        <v>30.142000000000003</v>
      </c>
      <c r="K558" s="14">
        <f>'PIVOT TABLES'!$B$28-'PIVOT TABLES'!$B$27</f>
        <v>30.141999999999996</v>
      </c>
      <c r="L558" s="14">
        <f>200-SUM(Table3[[#This Row],[D - LIGHT]:[D - VIGOROUS]])</f>
        <v>79.432000000000002</v>
      </c>
      <c r="M558" s="14">
        <f>'PIVOT TABLES'!$I$26</f>
        <v>65.603999999999999</v>
      </c>
      <c r="N558" s="14">
        <f>'PIVOT TABLES'!$I$27-'PIVOT TABLES'!$I$26</f>
        <v>32.802000000000007</v>
      </c>
      <c r="O558" s="14">
        <f>'PIVOT TABLES'!$I$28-'PIVOT TABLES'!$I$27</f>
        <v>32.801999999999992</v>
      </c>
      <c r="P558" s="14">
        <f>200-SUM(Table3[[#This Row],[M - LIGHT]:[M - VIGOROUS]])</f>
        <v>68.792000000000002</v>
      </c>
      <c r="Q558" s="14">
        <f>'PIVOT TABLES'!$P$26</f>
        <v>62.64</v>
      </c>
      <c r="R558" s="14">
        <f>'PIVOT TABLES'!$P$27-'PIVOT TABLES'!$P$26</f>
        <v>31.320000000000007</v>
      </c>
      <c r="S558" s="14">
        <f>'PIVOT TABLES'!$P$28-'PIVOT TABLES'!$P$27</f>
        <v>31.319999999999993</v>
      </c>
      <c r="T558" s="14">
        <f>200-SUM(Table3[[#This Row],[W - LIGHT]:[W - VIGOROUS]])</f>
        <v>74.72</v>
      </c>
      <c r="U558" s="14">
        <f>'PIVOT TABLES'!$W$26</f>
        <v>55.895999999999994</v>
      </c>
      <c r="V558" s="14">
        <f>'PIVOT TABLES'!$W$27-'PIVOT TABLES'!$W$26</f>
        <v>27.948</v>
      </c>
      <c r="W558" s="14">
        <f>'PIVOT TABLES'!$W$28-'PIVOT TABLES'!$W$27</f>
        <v>27.947999999999993</v>
      </c>
      <c r="X558" s="14">
        <f>200-SUM(Table3[[#This Row],[S - LIGHT]:[S - VIGOROUS]])</f>
        <v>88.208000000000013</v>
      </c>
    </row>
    <row r="559" spans="1:24" x14ac:dyDescent="0.25">
      <c r="A559" s="17" t="s">
        <v>4</v>
      </c>
      <c r="B559" s="13" t="str">
        <f t="shared" si="8"/>
        <v>Midfielder</v>
      </c>
      <c r="C559" s="7">
        <v>45323.425682870373</v>
      </c>
      <c r="D559" s="14">
        <v>6861</v>
      </c>
      <c r="E559" s="14">
        <v>20</v>
      </c>
      <c r="F559" s="14">
        <v>14</v>
      </c>
      <c r="G559" s="14">
        <v>28</v>
      </c>
      <c r="H559" s="14">
        <v>70.33</v>
      </c>
      <c r="I559" s="14">
        <f>'PIVOT TABLES'!$B$26</f>
        <v>60.283999999999999</v>
      </c>
      <c r="J559" s="14">
        <f>'PIVOT TABLES'!$B$27-'PIVOT TABLES'!$B$26</f>
        <v>30.142000000000003</v>
      </c>
      <c r="K559" s="14">
        <f>'PIVOT TABLES'!$B$28-'PIVOT TABLES'!$B$27</f>
        <v>30.141999999999996</v>
      </c>
      <c r="L559" s="14">
        <f>200-SUM(Table3[[#This Row],[D - LIGHT]:[D - VIGOROUS]])</f>
        <v>79.432000000000002</v>
      </c>
      <c r="M559" s="14">
        <f>'PIVOT TABLES'!$I$26</f>
        <v>65.603999999999999</v>
      </c>
      <c r="N559" s="14">
        <f>'PIVOT TABLES'!$I$27-'PIVOT TABLES'!$I$26</f>
        <v>32.802000000000007</v>
      </c>
      <c r="O559" s="14">
        <f>'PIVOT TABLES'!$I$28-'PIVOT TABLES'!$I$27</f>
        <v>32.801999999999992</v>
      </c>
      <c r="P559" s="14">
        <f>200-SUM(Table3[[#This Row],[M - LIGHT]:[M - VIGOROUS]])</f>
        <v>68.792000000000002</v>
      </c>
      <c r="Q559" s="14">
        <f>'PIVOT TABLES'!$P$26</f>
        <v>62.64</v>
      </c>
      <c r="R559" s="14">
        <f>'PIVOT TABLES'!$P$27-'PIVOT TABLES'!$P$26</f>
        <v>31.320000000000007</v>
      </c>
      <c r="S559" s="14">
        <f>'PIVOT TABLES'!$P$28-'PIVOT TABLES'!$P$27</f>
        <v>31.319999999999993</v>
      </c>
      <c r="T559" s="14">
        <f>200-SUM(Table3[[#This Row],[W - LIGHT]:[W - VIGOROUS]])</f>
        <v>74.72</v>
      </c>
      <c r="U559" s="14">
        <f>'PIVOT TABLES'!$W$26</f>
        <v>55.895999999999994</v>
      </c>
      <c r="V559" s="14">
        <f>'PIVOT TABLES'!$W$27-'PIVOT TABLES'!$W$26</f>
        <v>27.948</v>
      </c>
      <c r="W559" s="14">
        <f>'PIVOT TABLES'!$W$28-'PIVOT TABLES'!$W$27</f>
        <v>27.947999999999993</v>
      </c>
      <c r="X559" s="14">
        <f>200-SUM(Table3[[#This Row],[S - LIGHT]:[S - VIGOROUS]])</f>
        <v>88.208000000000013</v>
      </c>
    </row>
    <row r="560" spans="1:24" x14ac:dyDescent="0.25">
      <c r="A560" s="17" t="s">
        <v>60</v>
      </c>
      <c r="B560" s="13" t="str">
        <f t="shared" si="8"/>
        <v>Winger</v>
      </c>
      <c r="C560" s="7">
        <v>45323.425682870373</v>
      </c>
      <c r="D560" s="14">
        <v>7844</v>
      </c>
      <c r="E560" s="14">
        <v>48</v>
      </c>
      <c r="F560" s="14">
        <v>29</v>
      </c>
      <c r="G560" s="14">
        <v>33</v>
      </c>
      <c r="H560" s="14">
        <v>81.7</v>
      </c>
      <c r="I560" s="14">
        <f>'PIVOT TABLES'!$B$26</f>
        <v>60.283999999999999</v>
      </c>
      <c r="J560" s="14">
        <f>'PIVOT TABLES'!$B$27-'PIVOT TABLES'!$B$26</f>
        <v>30.142000000000003</v>
      </c>
      <c r="K560" s="14">
        <f>'PIVOT TABLES'!$B$28-'PIVOT TABLES'!$B$27</f>
        <v>30.141999999999996</v>
      </c>
      <c r="L560" s="14">
        <f>200-SUM(Table3[[#This Row],[D - LIGHT]:[D - VIGOROUS]])</f>
        <v>79.432000000000002</v>
      </c>
      <c r="M560" s="14">
        <f>'PIVOT TABLES'!$I$26</f>
        <v>65.603999999999999</v>
      </c>
      <c r="N560" s="14">
        <f>'PIVOT TABLES'!$I$27-'PIVOT TABLES'!$I$26</f>
        <v>32.802000000000007</v>
      </c>
      <c r="O560" s="14">
        <f>'PIVOT TABLES'!$I$28-'PIVOT TABLES'!$I$27</f>
        <v>32.801999999999992</v>
      </c>
      <c r="P560" s="14">
        <f>200-SUM(Table3[[#This Row],[M - LIGHT]:[M - VIGOROUS]])</f>
        <v>68.792000000000002</v>
      </c>
      <c r="Q560" s="14">
        <f>'PIVOT TABLES'!$P$26</f>
        <v>62.64</v>
      </c>
      <c r="R560" s="14">
        <f>'PIVOT TABLES'!$P$27-'PIVOT TABLES'!$P$26</f>
        <v>31.320000000000007</v>
      </c>
      <c r="S560" s="14">
        <f>'PIVOT TABLES'!$P$28-'PIVOT TABLES'!$P$27</f>
        <v>31.319999999999993</v>
      </c>
      <c r="T560" s="14">
        <f>200-SUM(Table3[[#This Row],[W - LIGHT]:[W - VIGOROUS]])</f>
        <v>74.72</v>
      </c>
      <c r="U560" s="14">
        <f>'PIVOT TABLES'!$W$26</f>
        <v>55.895999999999994</v>
      </c>
      <c r="V560" s="14">
        <f>'PIVOT TABLES'!$W$27-'PIVOT TABLES'!$W$26</f>
        <v>27.948</v>
      </c>
      <c r="W560" s="14">
        <f>'PIVOT TABLES'!$W$28-'PIVOT TABLES'!$W$27</f>
        <v>27.947999999999993</v>
      </c>
      <c r="X560" s="14">
        <f>200-SUM(Table3[[#This Row],[S - LIGHT]:[S - VIGOROUS]])</f>
        <v>88.208000000000013</v>
      </c>
    </row>
    <row r="561" spans="1:24" x14ac:dyDescent="0.25">
      <c r="A561" s="17" t="s">
        <v>71</v>
      </c>
      <c r="B561" s="13" t="str">
        <f t="shared" si="8"/>
        <v>Midfielder</v>
      </c>
      <c r="C561" s="7">
        <v>45323.425682870373</v>
      </c>
      <c r="D561" s="14">
        <v>7562</v>
      </c>
      <c r="E561" s="14">
        <v>22</v>
      </c>
      <c r="F561" s="14">
        <v>51</v>
      </c>
      <c r="G561" s="14">
        <v>23</v>
      </c>
      <c r="H561" s="14">
        <v>78.78</v>
      </c>
      <c r="I561" s="14">
        <f>'PIVOT TABLES'!$B$26</f>
        <v>60.283999999999999</v>
      </c>
      <c r="J561" s="14">
        <f>'PIVOT TABLES'!$B$27-'PIVOT TABLES'!$B$26</f>
        <v>30.142000000000003</v>
      </c>
      <c r="K561" s="14">
        <f>'PIVOT TABLES'!$B$28-'PIVOT TABLES'!$B$27</f>
        <v>30.141999999999996</v>
      </c>
      <c r="L561" s="14">
        <f>200-SUM(Table3[[#This Row],[D - LIGHT]:[D - VIGOROUS]])</f>
        <v>79.432000000000002</v>
      </c>
      <c r="M561" s="14">
        <f>'PIVOT TABLES'!$I$26</f>
        <v>65.603999999999999</v>
      </c>
      <c r="N561" s="14">
        <f>'PIVOT TABLES'!$I$27-'PIVOT TABLES'!$I$26</f>
        <v>32.802000000000007</v>
      </c>
      <c r="O561" s="14">
        <f>'PIVOT TABLES'!$I$28-'PIVOT TABLES'!$I$27</f>
        <v>32.801999999999992</v>
      </c>
      <c r="P561" s="14">
        <f>200-SUM(Table3[[#This Row],[M - LIGHT]:[M - VIGOROUS]])</f>
        <v>68.792000000000002</v>
      </c>
      <c r="Q561" s="14">
        <f>'PIVOT TABLES'!$P$26</f>
        <v>62.64</v>
      </c>
      <c r="R561" s="14">
        <f>'PIVOT TABLES'!$P$27-'PIVOT TABLES'!$P$26</f>
        <v>31.320000000000007</v>
      </c>
      <c r="S561" s="14">
        <f>'PIVOT TABLES'!$P$28-'PIVOT TABLES'!$P$27</f>
        <v>31.319999999999993</v>
      </c>
      <c r="T561" s="14">
        <f>200-SUM(Table3[[#This Row],[W - LIGHT]:[W - VIGOROUS]])</f>
        <v>74.72</v>
      </c>
      <c r="U561" s="14">
        <f>'PIVOT TABLES'!$W$26</f>
        <v>55.895999999999994</v>
      </c>
      <c r="V561" s="14">
        <f>'PIVOT TABLES'!$W$27-'PIVOT TABLES'!$W$26</f>
        <v>27.948</v>
      </c>
      <c r="W561" s="14">
        <f>'PIVOT TABLES'!$W$28-'PIVOT TABLES'!$W$27</f>
        <v>27.947999999999993</v>
      </c>
      <c r="X561" s="14">
        <f>200-SUM(Table3[[#This Row],[S - LIGHT]:[S - VIGOROUS]])</f>
        <v>88.208000000000013</v>
      </c>
    </row>
    <row r="562" spans="1:24" x14ac:dyDescent="0.25">
      <c r="A562" s="17" t="s">
        <v>5</v>
      </c>
      <c r="B562" s="13" t="str">
        <f t="shared" si="8"/>
        <v>Midfielder</v>
      </c>
      <c r="C562" s="7">
        <v>45323.425682870373</v>
      </c>
      <c r="D562" s="14">
        <v>6229</v>
      </c>
      <c r="E562" s="14">
        <v>43</v>
      </c>
      <c r="F562" s="14">
        <v>18</v>
      </c>
      <c r="G562" s="14">
        <v>25</v>
      </c>
      <c r="H562" s="14">
        <v>64.8</v>
      </c>
      <c r="I562" s="14">
        <f>'PIVOT TABLES'!$B$26</f>
        <v>60.283999999999999</v>
      </c>
      <c r="J562" s="14">
        <f>'PIVOT TABLES'!$B$27-'PIVOT TABLES'!$B$26</f>
        <v>30.142000000000003</v>
      </c>
      <c r="K562" s="14">
        <f>'PIVOT TABLES'!$B$28-'PIVOT TABLES'!$B$27</f>
        <v>30.141999999999996</v>
      </c>
      <c r="L562" s="14">
        <f>200-SUM(Table3[[#This Row],[D - LIGHT]:[D - VIGOROUS]])</f>
        <v>79.432000000000002</v>
      </c>
      <c r="M562" s="14">
        <f>'PIVOT TABLES'!$I$26</f>
        <v>65.603999999999999</v>
      </c>
      <c r="N562" s="14">
        <f>'PIVOT TABLES'!$I$27-'PIVOT TABLES'!$I$26</f>
        <v>32.802000000000007</v>
      </c>
      <c r="O562" s="14">
        <f>'PIVOT TABLES'!$I$28-'PIVOT TABLES'!$I$27</f>
        <v>32.801999999999992</v>
      </c>
      <c r="P562" s="14">
        <f>200-SUM(Table3[[#This Row],[M - LIGHT]:[M - VIGOROUS]])</f>
        <v>68.792000000000002</v>
      </c>
      <c r="Q562" s="14">
        <f>'PIVOT TABLES'!$P$26</f>
        <v>62.64</v>
      </c>
      <c r="R562" s="14">
        <f>'PIVOT TABLES'!$P$27-'PIVOT TABLES'!$P$26</f>
        <v>31.320000000000007</v>
      </c>
      <c r="S562" s="14">
        <f>'PIVOT TABLES'!$P$28-'PIVOT TABLES'!$P$27</f>
        <v>31.319999999999993</v>
      </c>
      <c r="T562" s="14">
        <f>200-SUM(Table3[[#This Row],[W - LIGHT]:[W - VIGOROUS]])</f>
        <v>74.72</v>
      </c>
      <c r="U562" s="14">
        <f>'PIVOT TABLES'!$W$26</f>
        <v>55.895999999999994</v>
      </c>
      <c r="V562" s="14">
        <f>'PIVOT TABLES'!$W$27-'PIVOT TABLES'!$W$26</f>
        <v>27.948</v>
      </c>
      <c r="W562" s="14">
        <f>'PIVOT TABLES'!$W$28-'PIVOT TABLES'!$W$27</f>
        <v>27.947999999999993</v>
      </c>
      <c r="X562" s="14">
        <f>200-SUM(Table3[[#This Row],[S - LIGHT]:[S - VIGOROUS]])</f>
        <v>88.208000000000013</v>
      </c>
    </row>
    <row r="563" spans="1:24" x14ac:dyDescent="0.25">
      <c r="A563" s="17" t="s">
        <v>6</v>
      </c>
      <c r="B563" s="13" t="str">
        <f t="shared" si="8"/>
        <v>Midfielder</v>
      </c>
      <c r="C563" s="7">
        <v>45323.425682870373</v>
      </c>
      <c r="D563" s="14">
        <v>7613</v>
      </c>
      <c r="E563" s="14">
        <v>64</v>
      </c>
      <c r="F563" s="14">
        <v>41</v>
      </c>
      <c r="G563" s="14">
        <v>31</v>
      </c>
      <c r="H563" s="14">
        <v>80.31</v>
      </c>
      <c r="I563" s="14">
        <f>'PIVOT TABLES'!$B$26</f>
        <v>60.283999999999999</v>
      </c>
      <c r="J563" s="14">
        <f>'PIVOT TABLES'!$B$27-'PIVOT TABLES'!$B$26</f>
        <v>30.142000000000003</v>
      </c>
      <c r="K563" s="14">
        <f>'PIVOT TABLES'!$B$28-'PIVOT TABLES'!$B$27</f>
        <v>30.141999999999996</v>
      </c>
      <c r="L563" s="14">
        <f>200-SUM(Table3[[#This Row],[D - LIGHT]:[D - VIGOROUS]])</f>
        <v>79.432000000000002</v>
      </c>
      <c r="M563" s="14">
        <f>'PIVOT TABLES'!$I$26</f>
        <v>65.603999999999999</v>
      </c>
      <c r="N563" s="14">
        <f>'PIVOT TABLES'!$I$27-'PIVOT TABLES'!$I$26</f>
        <v>32.802000000000007</v>
      </c>
      <c r="O563" s="14">
        <f>'PIVOT TABLES'!$I$28-'PIVOT TABLES'!$I$27</f>
        <v>32.801999999999992</v>
      </c>
      <c r="P563" s="14">
        <f>200-SUM(Table3[[#This Row],[M - LIGHT]:[M - VIGOROUS]])</f>
        <v>68.792000000000002</v>
      </c>
      <c r="Q563" s="14">
        <f>'PIVOT TABLES'!$P$26</f>
        <v>62.64</v>
      </c>
      <c r="R563" s="14">
        <f>'PIVOT TABLES'!$P$27-'PIVOT TABLES'!$P$26</f>
        <v>31.320000000000007</v>
      </c>
      <c r="S563" s="14">
        <f>'PIVOT TABLES'!$P$28-'PIVOT TABLES'!$P$27</f>
        <v>31.319999999999993</v>
      </c>
      <c r="T563" s="14">
        <f>200-SUM(Table3[[#This Row],[W - LIGHT]:[W - VIGOROUS]])</f>
        <v>74.72</v>
      </c>
      <c r="U563" s="14">
        <f>'PIVOT TABLES'!$W$26</f>
        <v>55.895999999999994</v>
      </c>
      <c r="V563" s="14">
        <f>'PIVOT TABLES'!$W$27-'PIVOT TABLES'!$W$26</f>
        <v>27.948</v>
      </c>
      <c r="W563" s="14">
        <f>'PIVOT TABLES'!$W$28-'PIVOT TABLES'!$W$27</f>
        <v>27.947999999999993</v>
      </c>
      <c r="X563" s="14">
        <f>200-SUM(Table3[[#This Row],[S - LIGHT]:[S - VIGOROUS]])</f>
        <v>88.208000000000013</v>
      </c>
    </row>
    <row r="564" spans="1:24" x14ac:dyDescent="0.25">
      <c r="A564" s="17" t="s">
        <v>62</v>
      </c>
      <c r="B564" s="13" t="str">
        <f t="shared" si="8"/>
        <v>Midfielder</v>
      </c>
      <c r="C564" s="7">
        <v>45323.425682870373</v>
      </c>
      <c r="D564" s="14">
        <v>5981</v>
      </c>
      <c r="E564" s="14">
        <v>34</v>
      </c>
      <c r="F564" s="14">
        <v>23</v>
      </c>
      <c r="G564" s="14">
        <v>19</v>
      </c>
      <c r="H564" s="14">
        <v>62.13</v>
      </c>
      <c r="I564" s="14">
        <f>'PIVOT TABLES'!$B$26</f>
        <v>60.283999999999999</v>
      </c>
      <c r="J564" s="14">
        <f>'PIVOT TABLES'!$B$27-'PIVOT TABLES'!$B$26</f>
        <v>30.142000000000003</v>
      </c>
      <c r="K564" s="14">
        <f>'PIVOT TABLES'!$B$28-'PIVOT TABLES'!$B$27</f>
        <v>30.141999999999996</v>
      </c>
      <c r="L564" s="14">
        <f>200-SUM(Table3[[#This Row],[D - LIGHT]:[D - VIGOROUS]])</f>
        <v>79.432000000000002</v>
      </c>
      <c r="M564" s="14">
        <f>'PIVOT TABLES'!$I$26</f>
        <v>65.603999999999999</v>
      </c>
      <c r="N564" s="14">
        <f>'PIVOT TABLES'!$I$27-'PIVOT TABLES'!$I$26</f>
        <v>32.802000000000007</v>
      </c>
      <c r="O564" s="14">
        <f>'PIVOT TABLES'!$I$28-'PIVOT TABLES'!$I$27</f>
        <v>32.801999999999992</v>
      </c>
      <c r="P564" s="14">
        <f>200-SUM(Table3[[#This Row],[M - LIGHT]:[M - VIGOROUS]])</f>
        <v>68.792000000000002</v>
      </c>
      <c r="Q564" s="14">
        <f>'PIVOT TABLES'!$P$26</f>
        <v>62.64</v>
      </c>
      <c r="R564" s="14">
        <f>'PIVOT TABLES'!$P$27-'PIVOT TABLES'!$P$26</f>
        <v>31.320000000000007</v>
      </c>
      <c r="S564" s="14">
        <f>'PIVOT TABLES'!$P$28-'PIVOT TABLES'!$P$27</f>
        <v>31.319999999999993</v>
      </c>
      <c r="T564" s="14">
        <f>200-SUM(Table3[[#This Row],[W - LIGHT]:[W - VIGOROUS]])</f>
        <v>74.72</v>
      </c>
      <c r="U564" s="14">
        <f>'PIVOT TABLES'!$W$26</f>
        <v>55.895999999999994</v>
      </c>
      <c r="V564" s="14">
        <f>'PIVOT TABLES'!$W$27-'PIVOT TABLES'!$W$26</f>
        <v>27.948</v>
      </c>
      <c r="W564" s="14">
        <f>'PIVOT TABLES'!$W$28-'PIVOT TABLES'!$W$27</f>
        <v>27.947999999999993</v>
      </c>
      <c r="X564" s="14">
        <f>200-SUM(Table3[[#This Row],[S - LIGHT]:[S - VIGOROUS]])</f>
        <v>88.208000000000013</v>
      </c>
    </row>
    <row r="565" spans="1:24" x14ac:dyDescent="0.25">
      <c r="A565" s="17" t="s">
        <v>63</v>
      </c>
      <c r="B565" s="13" t="str">
        <f t="shared" si="8"/>
        <v>Winger</v>
      </c>
      <c r="C565" s="7">
        <v>45323.425682870373</v>
      </c>
      <c r="D565" s="14">
        <v>6736</v>
      </c>
      <c r="E565" s="14">
        <v>14</v>
      </c>
      <c r="F565" s="14">
        <v>14</v>
      </c>
      <c r="G565" s="14">
        <v>10</v>
      </c>
      <c r="H565" s="14">
        <v>68.540000000000006</v>
      </c>
      <c r="I565" s="14">
        <f>'PIVOT TABLES'!$B$26</f>
        <v>60.283999999999999</v>
      </c>
      <c r="J565" s="14">
        <f>'PIVOT TABLES'!$B$27-'PIVOT TABLES'!$B$26</f>
        <v>30.142000000000003</v>
      </c>
      <c r="K565" s="14">
        <f>'PIVOT TABLES'!$B$28-'PIVOT TABLES'!$B$27</f>
        <v>30.141999999999996</v>
      </c>
      <c r="L565" s="14">
        <f>200-SUM(Table3[[#This Row],[D - LIGHT]:[D - VIGOROUS]])</f>
        <v>79.432000000000002</v>
      </c>
      <c r="M565" s="14">
        <f>'PIVOT TABLES'!$I$26</f>
        <v>65.603999999999999</v>
      </c>
      <c r="N565" s="14">
        <f>'PIVOT TABLES'!$I$27-'PIVOT TABLES'!$I$26</f>
        <v>32.802000000000007</v>
      </c>
      <c r="O565" s="14">
        <f>'PIVOT TABLES'!$I$28-'PIVOT TABLES'!$I$27</f>
        <v>32.801999999999992</v>
      </c>
      <c r="P565" s="14">
        <f>200-SUM(Table3[[#This Row],[M - LIGHT]:[M - VIGOROUS]])</f>
        <v>68.792000000000002</v>
      </c>
      <c r="Q565" s="14">
        <f>'PIVOT TABLES'!$P$26</f>
        <v>62.64</v>
      </c>
      <c r="R565" s="14">
        <f>'PIVOT TABLES'!$P$27-'PIVOT TABLES'!$P$26</f>
        <v>31.320000000000007</v>
      </c>
      <c r="S565" s="14">
        <f>'PIVOT TABLES'!$P$28-'PIVOT TABLES'!$P$27</f>
        <v>31.319999999999993</v>
      </c>
      <c r="T565" s="14">
        <f>200-SUM(Table3[[#This Row],[W - LIGHT]:[W - VIGOROUS]])</f>
        <v>74.72</v>
      </c>
      <c r="U565" s="14">
        <f>'PIVOT TABLES'!$W$26</f>
        <v>55.895999999999994</v>
      </c>
      <c r="V565" s="14">
        <f>'PIVOT TABLES'!$W$27-'PIVOT TABLES'!$W$26</f>
        <v>27.948</v>
      </c>
      <c r="W565" s="14">
        <f>'PIVOT TABLES'!$W$28-'PIVOT TABLES'!$W$27</f>
        <v>27.947999999999993</v>
      </c>
      <c r="X565" s="14">
        <f>200-SUM(Table3[[#This Row],[S - LIGHT]:[S - VIGOROUS]])</f>
        <v>88.208000000000013</v>
      </c>
    </row>
    <row r="566" spans="1:24" x14ac:dyDescent="0.25">
      <c r="A566" s="17" t="s">
        <v>65</v>
      </c>
      <c r="B566" s="13" t="str">
        <f t="shared" si="8"/>
        <v>Winger</v>
      </c>
      <c r="C566" s="7">
        <v>45323.425682870373</v>
      </c>
      <c r="D566" s="14">
        <v>6411</v>
      </c>
      <c r="E566" s="14">
        <v>22</v>
      </c>
      <c r="F566" s="14">
        <v>18</v>
      </c>
      <c r="G566" s="14">
        <v>12</v>
      </c>
      <c r="H566" s="14">
        <v>65.73</v>
      </c>
      <c r="I566" s="14">
        <f>'PIVOT TABLES'!$B$26</f>
        <v>60.283999999999999</v>
      </c>
      <c r="J566" s="14">
        <f>'PIVOT TABLES'!$B$27-'PIVOT TABLES'!$B$26</f>
        <v>30.142000000000003</v>
      </c>
      <c r="K566" s="14">
        <f>'PIVOT TABLES'!$B$28-'PIVOT TABLES'!$B$27</f>
        <v>30.141999999999996</v>
      </c>
      <c r="L566" s="14">
        <f>200-SUM(Table3[[#This Row],[D - LIGHT]:[D - VIGOROUS]])</f>
        <v>79.432000000000002</v>
      </c>
      <c r="M566" s="14">
        <f>'PIVOT TABLES'!$I$26</f>
        <v>65.603999999999999</v>
      </c>
      <c r="N566" s="14">
        <f>'PIVOT TABLES'!$I$27-'PIVOT TABLES'!$I$26</f>
        <v>32.802000000000007</v>
      </c>
      <c r="O566" s="14">
        <f>'PIVOT TABLES'!$I$28-'PIVOT TABLES'!$I$27</f>
        <v>32.801999999999992</v>
      </c>
      <c r="P566" s="14">
        <f>200-SUM(Table3[[#This Row],[M - LIGHT]:[M - VIGOROUS]])</f>
        <v>68.792000000000002</v>
      </c>
      <c r="Q566" s="14">
        <f>'PIVOT TABLES'!$P$26</f>
        <v>62.64</v>
      </c>
      <c r="R566" s="14">
        <f>'PIVOT TABLES'!$P$27-'PIVOT TABLES'!$P$26</f>
        <v>31.320000000000007</v>
      </c>
      <c r="S566" s="14">
        <f>'PIVOT TABLES'!$P$28-'PIVOT TABLES'!$P$27</f>
        <v>31.319999999999993</v>
      </c>
      <c r="T566" s="14">
        <f>200-SUM(Table3[[#This Row],[W - LIGHT]:[W - VIGOROUS]])</f>
        <v>74.72</v>
      </c>
      <c r="U566" s="14">
        <f>'PIVOT TABLES'!$W$26</f>
        <v>55.895999999999994</v>
      </c>
      <c r="V566" s="14">
        <f>'PIVOT TABLES'!$W$27-'PIVOT TABLES'!$W$26</f>
        <v>27.948</v>
      </c>
      <c r="W566" s="14">
        <f>'PIVOT TABLES'!$W$28-'PIVOT TABLES'!$W$27</f>
        <v>27.947999999999993</v>
      </c>
      <c r="X566" s="14">
        <f>200-SUM(Table3[[#This Row],[S - LIGHT]:[S - VIGOROUS]])</f>
        <v>88.208000000000013</v>
      </c>
    </row>
    <row r="567" spans="1:24" x14ac:dyDescent="0.25">
      <c r="A567" s="17" t="s">
        <v>66</v>
      </c>
      <c r="B567" s="13" t="str">
        <f t="shared" si="8"/>
        <v>Striker</v>
      </c>
      <c r="C567" s="7">
        <v>45323.425682870373</v>
      </c>
      <c r="D567" s="14">
        <v>7221</v>
      </c>
      <c r="E567" s="14">
        <v>39</v>
      </c>
      <c r="F567" s="14">
        <v>28</v>
      </c>
      <c r="G567" s="14">
        <v>19</v>
      </c>
      <c r="H567" s="14">
        <v>74.88</v>
      </c>
      <c r="I567" s="14">
        <f>'PIVOT TABLES'!$B$26</f>
        <v>60.283999999999999</v>
      </c>
      <c r="J567" s="14">
        <f>'PIVOT TABLES'!$B$27-'PIVOT TABLES'!$B$26</f>
        <v>30.142000000000003</v>
      </c>
      <c r="K567" s="14">
        <f>'PIVOT TABLES'!$B$28-'PIVOT TABLES'!$B$27</f>
        <v>30.141999999999996</v>
      </c>
      <c r="L567" s="14">
        <f>200-SUM(Table3[[#This Row],[D - LIGHT]:[D - VIGOROUS]])</f>
        <v>79.432000000000002</v>
      </c>
      <c r="M567" s="14">
        <f>'PIVOT TABLES'!$I$26</f>
        <v>65.603999999999999</v>
      </c>
      <c r="N567" s="14">
        <f>'PIVOT TABLES'!$I$27-'PIVOT TABLES'!$I$26</f>
        <v>32.802000000000007</v>
      </c>
      <c r="O567" s="14">
        <f>'PIVOT TABLES'!$I$28-'PIVOT TABLES'!$I$27</f>
        <v>32.801999999999992</v>
      </c>
      <c r="P567" s="14">
        <f>200-SUM(Table3[[#This Row],[M - LIGHT]:[M - VIGOROUS]])</f>
        <v>68.792000000000002</v>
      </c>
      <c r="Q567" s="14">
        <f>'PIVOT TABLES'!$P$26</f>
        <v>62.64</v>
      </c>
      <c r="R567" s="14">
        <f>'PIVOT TABLES'!$P$27-'PIVOT TABLES'!$P$26</f>
        <v>31.320000000000007</v>
      </c>
      <c r="S567" s="14">
        <f>'PIVOT TABLES'!$P$28-'PIVOT TABLES'!$P$27</f>
        <v>31.319999999999993</v>
      </c>
      <c r="T567" s="14">
        <f>200-SUM(Table3[[#This Row],[W - LIGHT]:[W - VIGOROUS]])</f>
        <v>74.72</v>
      </c>
      <c r="U567" s="14">
        <f>'PIVOT TABLES'!$W$26</f>
        <v>55.895999999999994</v>
      </c>
      <c r="V567" s="14">
        <f>'PIVOT TABLES'!$W$27-'PIVOT TABLES'!$W$26</f>
        <v>27.948</v>
      </c>
      <c r="W567" s="14">
        <f>'PIVOT TABLES'!$W$28-'PIVOT TABLES'!$W$27</f>
        <v>27.947999999999993</v>
      </c>
      <c r="X567" s="14">
        <f>200-SUM(Table3[[#This Row],[S - LIGHT]:[S - VIGOROUS]])</f>
        <v>88.208000000000013</v>
      </c>
    </row>
    <row r="568" spans="1:24" x14ac:dyDescent="0.25">
      <c r="A568" s="17" t="s">
        <v>78</v>
      </c>
      <c r="B568" s="13" t="str">
        <f t="shared" si="8"/>
        <v>Defender</v>
      </c>
      <c r="C568" s="7">
        <v>45323.425682870373</v>
      </c>
      <c r="D568" s="14">
        <v>6300</v>
      </c>
      <c r="E568" s="14">
        <v>0</v>
      </c>
      <c r="F568" s="14">
        <v>16</v>
      </c>
      <c r="G568" s="14">
        <v>20</v>
      </c>
      <c r="H568" s="14">
        <v>64.040000000000006</v>
      </c>
      <c r="I568" s="14">
        <f>'PIVOT TABLES'!$B$26</f>
        <v>60.283999999999999</v>
      </c>
      <c r="J568" s="14">
        <f>'PIVOT TABLES'!$B$27-'PIVOT TABLES'!$B$26</f>
        <v>30.142000000000003</v>
      </c>
      <c r="K568" s="14">
        <f>'PIVOT TABLES'!$B$28-'PIVOT TABLES'!$B$27</f>
        <v>30.141999999999996</v>
      </c>
      <c r="L568" s="14">
        <f>200-SUM(Table3[[#This Row],[D - LIGHT]:[D - VIGOROUS]])</f>
        <v>79.432000000000002</v>
      </c>
      <c r="M568" s="14">
        <f>'PIVOT TABLES'!$I$26</f>
        <v>65.603999999999999</v>
      </c>
      <c r="N568" s="14">
        <f>'PIVOT TABLES'!$I$27-'PIVOT TABLES'!$I$26</f>
        <v>32.802000000000007</v>
      </c>
      <c r="O568" s="14">
        <f>'PIVOT TABLES'!$I$28-'PIVOT TABLES'!$I$27</f>
        <v>32.801999999999992</v>
      </c>
      <c r="P568" s="14">
        <f>200-SUM(Table3[[#This Row],[M - LIGHT]:[M - VIGOROUS]])</f>
        <v>68.792000000000002</v>
      </c>
      <c r="Q568" s="14">
        <f>'PIVOT TABLES'!$P$26</f>
        <v>62.64</v>
      </c>
      <c r="R568" s="14">
        <f>'PIVOT TABLES'!$P$27-'PIVOT TABLES'!$P$26</f>
        <v>31.320000000000007</v>
      </c>
      <c r="S568" s="14">
        <f>'PIVOT TABLES'!$P$28-'PIVOT TABLES'!$P$27</f>
        <v>31.319999999999993</v>
      </c>
      <c r="T568" s="14">
        <f>200-SUM(Table3[[#This Row],[W - LIGHT]:[W - VIGOROUS]])</f>
        <v>74.72</v>
      </c>
      <c r="U568" s="14">
        <f>'PIVOT TABLES'!$W$26</f>
        <v>55.895999999999994</v>
      </c>
      <c r="V568" s="14">
        <f>'PIVOT TABLES'!$W$27-'PIVOT TABLES'!$W$26</f>
        <v>27.948</v>
      </c>
      <c r="W568" s="14">
        <f>'PIVOT TABLES'!$W$28-'PIVOT TABLES'!$W$27</f>
        <v>27.947999999999993</v>
      </c>
      <c r="X568" s="14">
        <f>200-SUM(Table3[[#This Row],[S - LIGHT]:[S - VIGOROUS]])</f>
        <v>88.208000000000013</v>
      </c>
    </row>
    <row r="569" spans="1:24" x14ac:dyDescent="0.25">
      <c r="A569" s="17" t="s">
        <v>7</v>
      </c>
      <c r="B569" s="13" t="str">
        <f t="shared" si="8"/>
        <v>Winger</v>
      </c>
      <c r="C569" s="7">
        <v>45323.425682870373</v>
      </c>
      <c r="D569" s="14">
        <v>6700</v>
      </c>
      <c r="E569" s="14">
        <v>58</v>
      </c>
      <c r="F569" s="14">
        <v>19</v>
      </c>
      <c r="G569" s="14">
        <v>22</v>
      </c>
      <c r="H569" s="14">
        <v>69.94</v>
      </c>
      <c r="I569" s="14">
        <f>'PIVOT TABLES'!$B$26</f>
        <v>60.283999999999999</v>
      </c>
      <c r="J569" s="14">
        <f>'PIVOT TABLES'!$B$27-'PIVOT TABLES'!$B$26</f>
        <v>30.142000000000003</v>
      </c>
      <c r="K569" s="14">
        <f>'PIVOT TABLES'!$B$28-'PIVOT TABLES'!$B$27</f>
        <v>30.141999999999996</v>
      </c>
      <c r="L569" s="14">
        <f>200-SUM(Table3[[#This Row],[D - LIGHT]:[D - VIGOROUS]])</f>
        <v>79.432000000000002</v>
      </c>
      <c r="M569" s="14">
        <f>'PIVOT TABLES'!$I$26</f>
        <v>65.603999999999999</v>
      </c>
      <c r="N569" s="14">
        <f>'PIVOT TABLES'!$I$27-'PIVOT TABLES'!$I$26</f>
        <v>32.802000000000007</v>
      </c>
      <c r="O569" s="14">
        <f>'PIVOT TABLES'!$I$28-'PIVOT TABLES'!$I$27</f>
        <v>32.801999999999992</v>
      </c>
      <c r="P569" s="14">
        <f>200-SUM(Table3[[#This Row],[M - LIGHT]:[M - VIGOROUS]])</f>
        <v>68.792000000000002</v>
      </c>
      <c r="Q569" s="14">
        <f>'PIVOT TABLES'!$P$26</f>
        <v>62.64</v>
      </c>
      <c r="R569" s="14">
        <f>'PIVOT TABLES'!$P$27-'PIVOT TABLES'!$P$26</f>
        <v>31.320000000000007</v>
      </c>
      <c r="S569" s="14">
        <f>'PIVOT TABLES'!$P$28-'PIVOT TABLES'!$P$27</f>
        <v>31.319999999999993</v>
      </c>
      <c r="T569" s="14">
        <f>200-SUM(Table3[[#This Row],[W - LIGHT]:[W - VIGOROUS]])</f>
        <v>74.72</v>
      </c>
      <c r="U569" s="14">
        <f>'PIVOT TABLES'!$W$26</f>
        <v>55.895999999999994</v>
      </c>
      <c r="V569" s="14">
        <f>'PIVOT TABLES'!$W$27-'PIVOT TABLES'!$W$26</f>
        <v>27.948</v>
      </c>
      <c r="W569" s="14">
        <f>'PIVOT TABLES'!$W$28-'PIVOT TABLES'!$W$27</f>
        <v>27.947999999999993</v>
      </c>
      <c r="X569" s="14">
        <f>200-SUM(Table3[[#This Row],[S - LIGHT]:[S - VIGOROUS]])</f>
        <v>88.208000000000013</v>
      </c>
    </row>
    <row r="570" spans="1:24" x14ac:dyDescent="0.25">
      <c r="A570" s="17" t="s">
        <v>95</v>
      </c>
      <c r="B570" s="13" t="str">
        <f t="shared" si="8"/>
        <v>Winger</v>
      </c>
      <c r="C570" s="7">
        <v>45323.425682870373</v>
      </c>
      <c r="D570" s="14">
        <v>6564</v>
      </c>
      <c r="E570" s="14">
        <v>49</v>
      </c>
      <c r="F570" s="14">
        <v>19</v>
      </c>
      <c r="G570" s="14">
        <v>19</v>
      </c>
      <c r="H570" s="14">
        <v>68.25</v>
      </c>
      <c r="I570" s="14">
        <f>'PIVOT TABLES'!$B$26</f>
        <v>60.283999999999999</v>
      </c>
      <c r="J570" s="14">
        <f>'PIVOT TABLES'!$B$27-'PIVOT TABLES'!$B$26</f>
        <v>30.142000000000003</v>
      </c>
      <c r="K570" s="14">
        <f>'PIVOT TABLES'!$B$28-'PIVOT TABLES'!$B$27</f>
        <v>30.141999999999996</v>
      </c>
      <c r="L570" s="14">
        <f>200-SUM(Table3[[#This Row],[D - LIGHT]:[D - VIGOROUS]])</f>
        <v>79.432000000000002</v>
      </c>
      <c r="M570" s="14">
        <f>'PIVOT TABLES'!$I$26</f>
        <v>65.603999999999999</v>
      </c>
      <c r="N570" s="14">
        <f>'PIVOT TABLES'!$I$27-'PIVOT TABLES'!$I$26</f>
        <v>32.802000000000007</v>
      </c>
      <c r="O570" s="14">
        <f>'PIVOT TABLES'!$I$28-'PIVOT TABLES'!$I$27</f>
        <v>32.801999999999992</v>
      </c>
      <c r="P570" s="14">
        <f>200-SUM(Table3[[#This Row],[M - LIGHT]:[M - VIGOROUS]])</f>
        <v>68.792000000000002</v>
      </c>
      <c r="Q570" s="14">
        <f>'PIVOT TABLES'!$P$26</f>
        <v>62.64</v>
      </c>
      <c r="R570" s="14">
        <f>'PIVOT TABLES'!$P$27-'PIVOT TABLES'!$P$26</f>
        <v>31.320000000000007</v>
      </c>
      <c r="S570" s="14">
        <f>'PIVOT TABLES'!$P$28-'PIVOT TABLES'!$P$27</f>
        <v>31.319999999999993</v>
      </c>
      <c r="T570" s="14">
        <f>200-SUM(Table3[[#This Row],[W - LIGHT]:[W - VIGOROUS]])</f>
        <v>74.72</v>
      </c>
      <c r="U570" s="14">
        <f>'PIVOT TABLES'!$W$26</f>
        <v>55.895999999999994</v>
      </c>
      <c r="V570" s="14">
        <f>'PIVOT TABLES'!$W$27-'PIVOT TABLES'!$W$26</f>
        <v>27.948</v>
      </c>
      <c r="W570" s="14">
        <f>'PIVOT TABLES'!$W$28-'PIVOT TABLES'!$W$27</f>
        <v>27.947999999999993</v>
      </c>
      <c r="X570" s="14">
        <f>200-SUM(Table3[[#This Row],[S - LIGHT]:[S - VIGOROUS]])</f>
        <v>88.208000000000013</v>
      </c>
    </row>
    <row r="571" spans="1:24" x14ac:dyDescent="0.25">
      <c r="A571" s="17" t="s">
        <v>96</v>
      </c>
      <c r="B571" s="13" t="str">
        <f t="shared" si="8"/>
        <v>Winger</v>
      </c>
      <c r="C571" s="7">
        <v>45323.425682870373</v>
      </c>
      <c r="D571" s="14">
        <v>6795</v>
      </c>
      <c r="E571" s="14">
        <v>35</v>
      </c>
      <c r="F571" s="14">
        <v>31</v>
      </c>
      <c r="G571" s="14">
        <v>16</v>
      </c>
      <c r="H571" s="14">
        <v>70.56</v>
      </c>
      <c r="I571" s="14">
        <f>'PIVOT TABLES'!$B$26</f>
        <v>60.283999999999999</v>
      </c>
      <c r="J571" s="14">
        <f>'PIVOT TABLES'!$B$27-'PIVOT TABLES'!$B$26</f>
        <v>30.142000000000003</v>
      </c>
      <c r="K571" s="14">
        <f>'PIVOT TABLES'!$B$28-'PIVOT TABLES'!$B$27</f>
        <v>30.141999999999996</v>
      </c>
      <c r="L571" s="14">
        <f>200-SUM(Table3[[#This Row],[D - LIGHT]:[D - VIGOROUS]])</f>
        <v>79.432000000000002</v>
      </c>
      <c r="M571" s="14">
        <f>'PIVOT TABLES'!$I$26</f>
        <v>65.603999999999999</v>
      </c>
      <c r="N571" s="14">
        <f>'PIVOT TABLES'!$I$27-'PIVOT TABLES'!$I$26</f>
        <v>32.802000000000007</v>
      </c>
      <c r="O571" s="14">
        <f>'PIVOT TABLES'!$I$28-'PIVOT TABLES'!$I$27</f>
        <v>32.801999999999992</v>
      </c>
      <c r="P571" s="14">
        <f>200-SUM(Table3[[#This Row],[M - LIGHT]:[M - VIGOROUS]])</f>
        <v>68.792000000000002</v>
      </c>
      <c r="Q571" s="14">
        <f>'PIVOT TABLES'!$P$26</f>
        <v>62.64</v>
      </c>
      <c r="R571" s="14">
        <f>'PIVOT TABLES'!$P$27-'PIVOT TABLES'!$P$26</f>
        <v>31.320000000000007</v>
      </c>
      <c r="S571" s="14">
        <f>'PIVOT TABLES'!$P$28-'PIVOT TABLES'!$P$27</f>
        <v>31.319999999999993</v>
      </c>
      <c r="T571" s="14">
        <f>200-SUM(Table3[[#This Row],[W - LIGHT]:[W - VIGOROUS]])</f>
        <v>74.72</v>
      </c>
      <c r="U571" s="14">
        <f>'PIVOT TABLES'!$W$26</f>
        <v>55.895999999999994</v>
      </c>
      <c r="V571" s="14">
        <f>'PIVOT TABLES'!$W$27-'PIVOT TABLES'!$W$26</f>
        <v>27.948</v>
      </c>
      <c r="W571" s="14">
        <f>'PIVOT TABLES'!$W$28-'PIVOT TABLES'!$W$27</f>
        <v>27.947999999999993</v>
      </c>
      <c r="X571" s="14">
        <f>200-SUM(Table3[[#This Row],[S - LIGHT]:[S - VIGOROUS]])</f>
        <v>88.208000000000013</v>
      </c>
    </row>
    <row r="572" spans="1:24" x14ac:dyDescent="0.25">
      <c r="A572" s="17" t="s">
        <v>8</v>
      </c>
      <c r="B572" s="13" t="str">
        <f t="shared" si="8"/>
        <v>Striker</v>
      </c>
      <c r="C572" s="7">
        <v>45323.425682870373</v>
      </c>
      <c r="D572" s="14">
        <v>7471</v>
      </c>
      <c r="E572" s="14">
        <v>94</v>
      </c>
      <c r="F572" s="14">
        <v>35</v>
      </c>
      <c r="G572" s="14">
        <v>34</v>
      </c>
      <c r="H572" s="14">
        <v>79.61</v>
      </c>
      <c r="I572" s="14">
        <f>'PIVOT TABLES'!$B$26</f>
        <v>60.283999999999999</v>
      </c>
      <c r="J572" s="14">
        <f>'PIVOT TABLES'!$B$27-'PIVOT TABLES'!$B$26</f>
        <v>30.142000000000003</v>
      </c>
      <c r="K572" s="14">
        <f>'PIVOT TABLES'!$B$28-'PIVOT TABLES'!$B$27</f>
        <v>30.141999999999996</v>
      </c>
      <c r="L572" s="14">
        <f>200-SUM(Table3[[#This Row],[D - LIGHT]:[D - VIGOROUS]])</f>
        <v>79.432000000000002</v>
      </c>
      <c r="M572" s="14">
        <f>'PIVOT TABLES'!$I$26</f>
        <v>65.603999999999999</v>
      </c>
      <c r="N572" s="14">
        <f>'PIVOT TABLES'!$I$27-'PIVOT TABLES'!$I$26</f>
        <v>32.802000000000007</v>
      </c>
      <c r="O572" s="14">
        <f>'PIVOT TABLES'!$I$28-'PIVOT TABLES'!$I$27</f>
        <v>32.801999999999992</v>
      </c>
      <c r="P572" s="14">
        <f>200-SUM(Table3[[#This Row],[M - LIGHT]:[M - VIGOROUS]])</f>
        <v>68.792000000000002</v>
      </c>
      <c r="Q572" s="14">
        <f>'PIVOT TABLES'!$P$26</f>
        <v>62.64</v>
      </c>
      <c r="R572" s="14">
        <f>'PIVOT TABLES'!$P$27-'PIVOT TABLES'!$P$26</f>
        <v>31.320000000000007</v>
      </c>
      <c r="S572" s="14">
        <f>'PIVOT TABLES'!$P$28-'PIVOT TABLES'!$P$27</f>
        <v>31.319999999999993</v>
      </c>
      <c r="T572" s="14">
        <f>200-SUM(Table3[[#This Row],[W - LIGHT]:[W - VIGOROUS]])</f>
        <v>74.72</v>
      </c>
      <c r="U572" s="14">
        <f>'PIVOT TABLES'!$W$26</f>
        <v>55.895999999999994</v>
      </c>
      <c r="V572" s="14">
        <f>'PIVOT TABLES'!$W$27-'PIVOT TABLES'!$W$26</f>
        <v>27.948</v>
      </c>
      <c r="W572" s="14">
        <f>'PIVOT TABLES'!$W$28-'PIVOT TABLES'!$W$27</f>
        <v>27.947999999999993</v>
      </c>
      <c r="X572" s="14">
        <f>200-SUM(Table3[[#This Row],[S - LIGHT]:[S - VIGOROUS]])</f>
        <v>88.208000000000013</v>
      </c>
    </row>
    <row r="573" spans="1:24" x14ac:dyDescent="0.25">
      <c r="A573" s="17" t="s">
        <v>67</v>
      </c>
      <c r="B573" s="13" t="str">
        <f t="shared" si="8"/>
        <v>Midfielder</v>
      </c>
      <c r="C573" s="7">
        <v>45323.425682870373</v>
      </c>
      <c r="D573" s="14">
        <v>6959</v>
      </c>
      <c r="E573" s="14">
        <v>33</v>
      </c>
      <c r="F573" s="14">
        <v>39</v>
      </c>
      <c r="G573" s="14">
        <v>33</v>
      </c>
      <c r="H573" s="14">
        <v>72.8</v>
      </c>
      <c r="I573" s="14">
        <f>'PIVOT TABLES'!$B$26</f>
        <v>60.283999999999999</v>
      </c>
      <c r="J573" s="14">
        <f>'PIVOT TABLES'!$B$27-'PIVOT TABLES'!$B$26</f>
        <v>30.142000000000003</v>
      </c>
      <c r="K573" s="14">
        <f>'PIVOT TABLES'!$B$28-'PIVOT TABLES'!$B$27</f>
        <v>30.141999999999996</v>
      </c>
      <c r="L573" s="14">
        <f>200-SUM(Table3[[#This Row],[D - LIGHT]:[D - VIGOROUS]])</f>
        <v>79.432000000000002</v>
      </c>
      <c r="M573" s="14">
        <f>'PIVOT TABLES'!$I$26</f>
        <v>65.603999999999999</v>
      </c>
      <c r="N573" s="14">
        <f>'PIVOT TABLES'!$I$27-'PIVOT TABLES'!$I$26</f>
        <v>32.802000000000007</v>
      </c>
      <c r="O573" s="14">
        <f>'PIVOT TABLES'!$I$28-'PIVOT TABLES'!$I$27</f>
        <v>32.801999999999992</v>
      </c>
      <c r="P573" s="14">
        <f>200-SUM(Table3[[#This Row],[M - LIGHT]:[M - VIGOROUS]])</f>
        <v>68.792000000000002</v>
      </c>
      <c r="Q573" s="14">
        <f>'PIVOT TABLES'!$P$26</f>
        <v>62.64</v>
      </c>
      <c r="R573" s="14">
        <f>'PIVOT TABLES'!$P$27-'PIVOT TABLES'!$P$26</f>
        <v>31.320000000000007</v>
      </c>
      <c r="S573" s="14">
        <f>'PIVOT TABLES'!$P$28-'PIVOT TABLES'!$P$27</f>
        <v>31.319999999999993</v>
      </c>
      <c r="T573" s="14">
        <f>200-SUM(Table3[[#This Row],[W - LIGHT]:[W - VIGOROUS]])</f>
        <v>74.72</v>
      </c>
      <c r="U573" s="14">
        <f>'PIVOT TABLES'!$W$26</f>
        <v>55.895999999999994</v>
      </c>
      <c r="V573" s="14">
        <f>'PIVOT TABLES'!$W$27-'PIVOT TABLES'!$W$26</f>
        <v>27.948</v>
      </c>
      <c r="W573" s="14">
        <f>'PIVOT TABLES'!$W$28-'PIVOT TABLES'!$W$27</f>
        <v>27.947999999999993</v>
      </c>
      <c r="X573" s="14">
        <f>200-SUM(Table3[[#This Row],[S - LIGHT]:[S - VIGOROUS]])</f>
        <v>88.208000000000013</v>
      </c>
    </row>
    <row r="574" spans="1:24" x14ac:dyDescent="0.25">
      <c r="A574" s="17" t="s">
        <v>69</v>
      </c>
      <c r="B574" s="13" t="str">
        <f t="shared" si="8"/>
        <v>Midfielder</v>
      </c>
      <c r="C574" s="7">
        <v>45323.425682870373</v>
      </c>
      <c r="D574" s="14">
        <v>5974</v>
      </c>
      <c r="E574" s="14">
        <v>22</v>
      </c>
      <c r="F574" s="14">
        <v>14</v>
      </c>
      <c r="G574" s="14">
        <v>16</v>
      </c>
      <c r="H574" s="14">
        <v>61.28</v>
      </c>
      <c r="I574" s="14">
        <f>'PIVOT TABLES'!$B$26</f>
        <v>60.283999999999999</v>
      </c>
      <c r="J574" s="14">
        <f>'PIVOT TABLES'!$B$27-'PIVOT TABLES'!$B$26</f>
        <v>30.142000000000003</v>
      </c>
      <c r="K574" s="14">
        <f>'PIVOT TABLES'!$B$28-'PIVOT TABLES'!$B$27</f>
        <v>30.141999999999996</v>
      </c>
      <c r="L574" s="14">
        <f>200-SUM(Table3[[#This Row],[D - LIGHT]:[D - VIGOROUS]])</f>
        <v>79.432000000000002</v>
      </c>
      <c r="M574" s="14">
        <f>'PIVOT TABLES'!$I$26</f>
        <v>65.603999999999999</v>
      </c>
      <c r="N574" s="14">
        <f>'PIVOT TABLES'!$I$27-'PIVOT TABLES'!$I$26</f>
        <v>32.802000000000007</v>
      </c>
      <c r="O574" s="14">
        <f>'PIVOT TABLES'!$I$28-'PIVOT TABLES'!$I$27</f>
        <v>32.801999999999992</v>
      </c>
      <c r="P574" s="14">
        <f>200-SUM(Table3[[#This Row],[M - LIGHT]:[M - VIGOROUS]])</f>
        <v>68.792000000000002</v>
      </c>
      <c r="Q574" s="14">
        <f>'PIVOT TABLES'!$P$26</f>
        <v>62.64</v>
      </c>
      <c r="R574" s="14">
        <f>'PIVOT TABLES'!$P$27-'PIVOT TABLES'!$P$26</f>
        <v>31.320000000000007</v>
      </c>
      <c r="S574" s="14">
        <f>'PIVOT TABLES'!$P$28-'PIVOT TABLES'!$P$27</f>
        <v>31.319999999999993</v>
      </c>
      <c r="T574" s="14">
        <f>200-SUM(Table3[[#This Row],[W - LIGHT]:[W - VIGOROUS]])</f>
        <v>74.72</v>
      </c>
      <c r="U574" s="14">
        <f>'PIVOT TABLES'!$W$26</f>
        <v>55.895999999999994</v>
      </c>
      <c r="V574" s="14">
        <f>'PIVOT TABLES'!$W$27-'PIVOT TABLES'!$W$26</f>
        <v>27.948</v>
      </c>
      <c r="W574" s="14">
        <f>'PIVOT TABLES'!$W$28-'PIVOT TABLES'!$W$27</f>
        <v>27.947999999999993</v>
      </c>
      <c r="X574" s="14">
        <f>200-SUM(Table3[[#This Row],[S - LIGHT]:[S - VIGOROUS]])</f>
        <v>88.208000000000013</v>
      </c>
    </row>
    <row r="575" spans="1:24" x14ac:dyDescent="0.25">
      <c r="A575" s="13" t="s">
        <v>53</v>
      </c>
      <c r="B575" s="13" t="str">
        <f t="shared" si="8"/>
        <v>Midfielder</v>
      </c>
      <c r="C575" s="7">
        <v>45324.447187500002</v>
      </c>
      <c r="D575" s="14">
        <v>10303</v>
      </c>
      <c r="E575" s="14">
        <v>26</v>
      </c>
      <c r="F575" s="14">
        <v>20</v>
      </c>
      <c r="G575" s="14">
        <v>25</v>
      </c>
      <c r="H575" s="14">
        <v>105.11</v>
      </c>
      <c r="I575" s="14">
        <f>'PIVOT TABLES'!$B$26</f>
        <v>60.283999999999999</v>
      </c>
      <c r="J575" s="14">
        <f>'PIVOT TABLES'!$B$27-'PIVOT TABLES'!$B$26</f>
        <v>30.142000000000003</v>
      </c>
      <c r="K575" s="14">
        <f>'PIVOT TABLES'!$B$28-'PIVOT TABLES'!$B$27</f>
        <v>30.141999999999996</v>
      </c>
      <c r="L575" s="14">
        <f>200-SUM(Table3[[#This Row],[D - LIGHT]:[D - VIGOROUS]])</f>
        <v>79.432000000000002</v>
      </c>
      <c r="M575" s="14">
        <f>'PIVOT TABLES'!$I$26</f>
        <v>65.603999999999999</v>
      </c>
      <c r="N575" s="14">
        <f>'PIVOT TABLES'!$I$27-'PIVOT TABLES'!$I$26</f>
        <v>32.802000000000007</v>
      </c>
      <c r="O575" s="14">
        <f>'PIVOT TABLES'!$I$28-'PIVOT TABLES'!$I$27</f>
        <v>32.801999999999992</v>
      </c>
      <c r="P575" s="14">
        <f>200-SUM(Table3[[#This Row],[M - LIGHT]:[M - VIGOROUS]])</f>
        <v>68.792000000000002</v>
      </c>
      <c r="Q575" s="14">
        <f>'PIVOT TABLES'!$P$26</f>
        <v>62.64</v>
      </c>
      <c r="R575" s="14">
        <f>'PIVOT TABLES'!$P$27-'PIVOT TABLES'!$P$26</f>
        <v>31.320000000000007</v>
      </c>
      <c r="S575" s="14">
        <f>'PIVOT TABLES'!$P$28-'PIVOT TABLES'!$P$27</f>
        <v>31.319999999999993</v>
      </c>
      <c r="T575" s="14">
        <f>200-SUM(Table3[[#This Row],[W - LIGHT]:[W - VIGOROUS]])</f>
        <v>74.72</v>
      </c>
      <c r="U575" s="14">
        <f>'PIVOT TABLES'!$W$26</f>
        <v>55.895999999999994</v>
      </c>
      <c r="V575" s="14">
        <f>'PIVOT TABLES'!$W$27-'PIVOT TABLES'!$W$26</f>
        <v>27.948</v>
      </c>
      <c r="W575" s="14">
        <f>'PIVOT TABLES'!$W$28-'PIVOT TABLES'!$W$27</f>
        <v>27.947999999999993</v>
      </c>
      <c r="X575" s="14">
        <f>200-SUM(Table3[[#This Row],[S - LIGHT]:[S - VIGOROUS]])</f>
        <v>88.208000000000013</v>
      </c>
    </row>
    <row r="576" spans="1:24" x14ac:dyDescent="0.25">
      <c r="A576" s="13" t="s">
        <v>55</v>
      </c>
      <c r="B576" s="13" t="str">
        <f t="shared" si="8"/>
        <v>Striker</v>
      </c>
      <c r="C576" s="7">
        <v>45324.447187500002</v>
      </c>
      <c r="D576" s="14">
        <v>7126</v>
      </c>
      <c r="E576" s="14">
        <v>74</v>
      </c>
      <c r="F576" s="14">
        <v>18</v>
      </c>
      <c r="G576" s="14">
        <v>26</v>
      </c>
      <c r="H576" s="14">
        <v>74.72</v>
      </c>
      <c r="I576" s="14">
        <f>'PIVOT TABLES'!$B$26</f>
        <v>60.283999999999999</v>
      </c>
      <c r="J576" s="14">
        <f>'PIVOT TABLES'!$B$27-'PIVOT TABLES'!$B$26</f>
        <v>30.142000000000003</v>
      </c>
      <c r="K576" s="14">
        <f>'PIVOT TABLES'!$B$28-'PIVOT TABLES'!$B$27</f>
        <v>30.141999999999996</v>
      </c>
      <c r="L576" s="14">
        <f>200-SUM(Table3[[#This Row],[D - LIGHT]:[D - VIGOROUS]])</f>
        <v>79.432000000000002</v>
      </c>
      <c r="M576" s="14">
        <f>'PIVOT TABLES'!$I$26</f>
        <v>65.603999999999999</v>
      </c>
      <c r="N576" s="14">
        <f>'PIVOT TABLES'!$I$27-'PIVOT TABLES'!$I$26</f>
        <v>32.802000000000007</v>
      </c>
      <c r="O576" s="14">
        <f>'PIVOT TABLES'!$I$28-'PIVOT TABLES'!$I$27</f>
        <v>32.801999999999992</v>
      </c>
      <c r="P576" s="14">
        <f>200-SUM(Table3[[#This Row],[M - LIGHT]:[M - VIGOROUS]])</f>
        <v>68.792000000000002</v>
      </c>
      <c r="Q576" s="14">
        <f>'PIVOT TABLES'!$P$26</f>
        <v>62.64</v>
      </c>
      <c r="R576" s="14">
        <f>'PIVOT TABLES'!$P$27-'PIVOT TABLES'!$P$26</f>
        <v>31.320000000000007</v>
      </c>
      <c r="S576" s="14">
        <f>'PIVOT TABLES'!$P$28-'PIVOT TABLES'!$P$27</f>
        <v>31.319999999999993</v>
      </c>
      <c r="T576" s="14">
        <f>200-SUM(Table3[[#This Row],[W - LIGHT]:[W - VIGOROUS]])</f>
        <v>74.72</v>
      </c>
      <c r="U576" s="14">
        <f>'PIVOT TABLES'!$W$26</f>
        <v>55.895999999999994</v>
      </c>
      <c r="V576" s="14">
        <f>'PIVOT TABLES'!$W$27-'PIVOT TABLES'!$W$26</f>
        <v>27.948</v>
      </c>
      <c r="W576" s="14">
        <f>'PIVOT TABLES'!$W$28-'PIVOT TABLES'!$W$27</f>
        <v>27.947999999999993</v>
      </c>
      <c r="X576" s="14">
        <f>200-SUM(Table3[[#This Row],[S - LIGHT]:[S - VIGOROUS]])</f>
        <v>88.208000000000013</v>
      </c>
    </row>
    <row r="577" spans="1:24" x14ac:dyDescent="0.25">
      <c r="A577" s="13" t="s">
        <v>1</v>
      </c>
      <c r="B577" s="13" t="str">
        <f t="shared" si="8"/>
        <v>Defender</v>
      </c>
      <c r="C577" s="7">
        <v>45324.447187500002</v>
      </c>
      <c r="D577" s="14">
        <v>9716</v>
      </c>
      <c r="E577" s="14">
        <v>150</v>
      </c>
      <c r="F577" s="14">
        <v>28</v>
      </c>
      <c r="G577" s="14">
        <v>27</v>
      </c>
      <c r="H577" s="14">
        <v>103.32</v>
      </c>
      <c r="I577" s="14">
        <f>'PIVOT TABLES'!$B$26</f>
        <v>60.283999999999999</v>
      </c>
      <c r="J577" s="14">
        <f>'PIVOT TABLES'!$B$27-'PIVOT TABLES'!$B$26</f>
        <v>30.142000000000003</v>
      </c>
      <c r="K577" s="14">
        <f>'PIVOT TABLES'!$B$28-'PIVOT TABLES'!$B$27</f>
        <v>30.141999999999996</v>
      </c>
      <c r="L577" s="14">
        <f>200-SUM(Table3[[#This Row],[D - LIGHT]:[D - VIGOROUS]])</f>
        <v>79.432000000000002</v>
      </c>
      <c r="M577" s="14">
        <f>'PIVOT TABLES'!$I$26</f>
        <v>65.603999999999999</v>
      </c>
      <c r="N577" s="14">
        <f>'PIVOT TABLES'!$I$27-'PIVOT TABLES'!$I$26</f>
        <v>32.802000000000007</v>
      </c>
      <c r="O577" s="14">
        <f>'PIVOT TABLES'!$I$28-'PIVOT TABLES'!$I$27</f>
        <v>32.801999999999992</v>
      </c>
      <c r="P577" s="14">
        <f>200-SUM(Table3[[#This Row],[M - LIGHT]:[M - VIGOROUS]])</f>
        <v>68.792000000000002</v>
      </c>
      <c r="Q577" s="14">
        <f>'PIVOT TABLES'!$P$26</f>
        <v>62.64</v>
      </c>
      <c r="R577" s="14">
        <f>'PIVOT TABLES'!$P$27-'PIVOT TABLES'!$P$26</f>
        <v>31.320000000000007</v>
      </c>
      <c r="S577" s="14">
        <f>'PIVOT TABLES'!$P$28-'PIVOT TABLES'!$P$27</f>
        <v>31.319999999999993</v>
      </c>
      <c r="T577" s="14">
        <f>200-SUM(Table3[[#This Row],[W - LIGHT]:[W - VIGOROUS]])</f>
        <v>74.72</v>
      </c>
      <c r="U577" s="14">
        <f>'PIVOT TABLES'!$W$26</f>
        <v>55.895999999999994</v>
      </c>
      <c r="V577" s="14">
        <f>'PIVOT TABLES'!$W$27-'PIVOT TABLES'!$W$26</f>
        <v>27.948</v>
      </c>
      <c r="W577" s="14">
        <f>'PIVOT TABLES'!$W$28-'PIVOT TABLES'!$W$27</f>
        <v>27.947999999999993</v>
      </c>
      <c r="X577" s="14">
        <f>200-SUM(Table3[[#This Row],[S - LIGHT]:[S - VIGOROUS]])</f>
        <v>88.208000000000013</v>
      </c>
    </row>
    <row r="578" spans="1:24" x14ac:dyDescent="0.25">
      <c r="A578" s="13" t="s">
        <v>56</v>
      </c>
      <c r="B578" s="13" t="str">
        <f t="shared" si="8"/>
        <v>Midfielder</v>
      </c>
      <c r="C578" s="7">
        <v>45324.447187500002</v>
      </c>
      <c r="D578" s="14">
        <v>12333</v>
      </c>
      <c r="E578" s="14">
        <v>134</v>
      </c>
      <c r="F578" s="14">
        <v>40</v>
      </c>
      <c r="G578" s="14">
        <v>21</v>
      </c>
      <c r="H578" s="14">
        <v>129.37</v>
      </c>
      <c r="I578" s="14">
        <f>'PIVOT TABLES'!$B$26</f>
        <v>60.283999999999999</v>
      </c>
      <c r="J578" s="14">
        <f>'PIVOT TABLES'!$B$27-'PIVOT TABLES'!$B$26</f>
        <v>30.142000000000003</v>
      </c>
      <c r="K578" s="14">
        <f>'PIVOT TABLES'!$B$28-'PIVOT TABLES'!$B$27</f>
        <v>30.141999999999996</v>
      </c>
      <c r="L578" s="14">
        <f>200-SUM(Table3[[#This Row],[D - LIGHT]:[D - VIGOROUS]])</f>
        <v>79.432000000000002</v>
      </c>
      <c r="M578" s="14">
        <f>'PIVOT TABLES'!$I$26</f>
        <v>65.603999999999999</v>
      </c>
      <c r="N578" s="14">
        <f>'PIVOT TABLES'!$I$27-'PIVOT TABLES'!$I$26</f>
        <v>32.802000000000007</v>
      </c>
      <c r="O578" s="14">
        <f>'PIVOT TABLES'!$I$28-'PIVOT TABLES'!$I$27</f>
        <v>32.801999999999992</v>
      </c>
      <c r="P578" s="14">
        <f>200-SUM(Table3[[#This Row],[M - LIGHT]:[M - VIGOROUS]])</f>
        <v>68.792000000000002</v>
      </c>
      <c r="Q578" s="14">
        <f>'PIVOT TABLES'!$P$26</f>
        <v>62.64</v>
      </c>
      <c r="R578" s="14">
        <f>'PIVOT TABLES'!$P$27-'PIVOT TABLES'!$P$26</f>
        <v>31.320000000000007</v>
      </c>
      <c r="S578" s="14">
        <f>'PIVOT TABLES'!$P$28-'PIVOT TABLES'!$P$27</f>
        <v>31.319999999999993</v>
      </c>
      <c r="T578" s="14">
        <f>200-SUM(Table3[[#This Row],[W - LIGHT]:[W - VIGOROUS]])</f>
        <v>74.72</v>
      </c>
      <c r="U578" s="14">
        <f>'PIVOT TABLES'!$W$26</f>
        <v>55.895999999999994</v>
      </c>
      <c r="V578" s="14">
        <f>'PIVOT TABLES'!$W$27-'PIVOT TABLES'!$W$26</f>
        <v>27.948</v>
      </c>
      <c r="W578" s="14">
        <f>'PIVOT TABLES'!$W$28-'PIVOT TABLES'!$W$27</f>
        <v>27.947999999999993</v>
      </c>
      <c r="X578" s="14">
        <f>200-SUM(Table3[[#This Row],[S - LIGHT]:[S - VIGOROUS]])</f>
        <v>88.208000000000013</v>
      </c>
    </row>
    <row r="579" spans="1:24" x14ac:dyDescent="0.25">
      <c r="A579" s="13" t="s">
        <v>2</v>
      </c>
      <c r="B579" s="13" t="str">
        <f t="shared" ref="B579:B642" si="9">IF(A579="Sihle Gum","Defender",IF(A579="Kenny Langa","Defender",IF(A579="Tshepang Makara","Defender",IF(A579="Tshepiso Mahlangu","Defender",IF(A579="Neo Ramashala","Defender",IF(A579="Keabetswe Nkogatse","Defender",IF(A579="Kaketso Harold Majadibodu","Defender",IF(A579="Samuel Julies","Midfielder",IF(A579="Frank Mpedi","Midfielder",IF(A579="Sapholwethu Kelepu","Midfielder",IF(A579="Manelisi Sithole","Midfielder",IF(A579="Thabiso Mokoena","Midfielder",IF(A579="Khomotso Marebane","Midfielder",IF(A579="Tebogo Mohlamonyane","Midfielder",IF(A579="Thulani Zandamela","Midfielder",IF(A579="Mdevulana Camagu","Midfielder",IF(A579="Promise Mkhuma","Midfielder",IF(A579="Essien Makwarimba","Midfielder",IF(A579="Ayanda Mvambi","Winger",IF(A579="Delano Abrahams","Winger",IF(A579="Thokozani Sekotlong","Winger",IF(A579="Maselaelo Seanego","Winger",IF(A579="Lesedi Motha","Winger",IF(A579="Malekgene Mampuru","Winger",IF(A579="Matome Rangata","Winger",IF(A579="Thabang Sibanyoni","Striker",IF(A579="Tebogo Makungo","Striker",IF(A579="Neo Dikgale","Striker",IF(A579="Kamohelo Pheeane","Striker",IF(A579="Athenkosi Tonisi","Striker",IF(A579="Jesse Francis","Striker","####")))))))))))))))))))))))))))))))</f>
        <v>Defender</v>
      </c>
      <c r="C579" s="7">
        <v>45324.447187500002</v>
      </c>
      <c r="D579" s="14">
        <v>12060</v>
      </c>
      <c r="E579" s="14">
        <v>446</v>
      </c>
      <c r="F579" s="14">
        <v>44</v>
      </c>
      <c r="G579" s="14">
        <v>37</v>
      </c>
      <c r="H579" s="14">
        <v>136.47999999999999</v>
      </c>
      <c r="I579" s="14">
        <f>'PIVOT TABLES'!$B$26</f>
        <v>60.283999999999999</v>
      </c>
      <c r="J579" s="14">
        <f>'PIVOT TABLES'!$B$27-'PIVOT TABLES'!$B$26</f>
        <v>30.142000000000003</v>
      </c>
      <c r="K579" s="14">
        <f>'PIVOT TABLES'!$B$28-'PIVOT TABLES'!$B$27</f>
        <v>30.141999999999996</v>
      </c>
      <c r="L579" s="14">
        <f>200-SUM(Table3[[#This Row],[D - LIGHT]:[D - VIGOROUS]])</f>
        <v>79.432000000000002</v>
      </c>
      <c r="M579" s="14">
        <f>'PIVOT TABLES'!$I$26</f>
        <v>65.603999999999999</v>
      </c>
      <c r="N579" s="14">
        <f>'PIVOT TABLES'!$I$27-'PIVOT TABLES'!$I$26</f>
        <v>32.802000000000007</v>
      </c>
      <c r="O579" s="14">
        <f>'PIVOT TABLES'!$I$28-'PIVOT TABLES'!$I$27</f>
        <v>32.801999999999992</v>
      </c>
      <c r="P579" s="14">
        <f>200-SUM(Table3[[#This Row],[M - LIGHT]:[M - VIGOROUS]])</f>
        <v>68.792000000000002</v>
      </c>
      <c r="Q579" s="14">
        <f>'PIVOT TABLES'!$P$26</f>
        <v>62.64</v>
      </c>
      <c r="R579" s="14">
        <f>'PIVOT TABLES'!$P$27-'PIVOT TABLES'!$P$26</f>
        <v>31.320000000000007</v>
      </c>
      <c r="S579" s="14">
        <f>'PIVOT TABLES'!$P$28-'PIVOT TABLES'!$P$27</f>
        <v>31.319999999999993</v>
      </c>
      <c r="T579" s="14">
        <f>200-SUM(Table3[[#This Row],[W - LIGHT]:[W - VIGOROUS]])</f>
        <v>74.72</v>
      </c>
      <c r="U579" s="14">
        <f>'PIVOT TABLES'!$W$26</f>
        <v>55.895999999999994</v>
      </c>
      <c r="V579" s="14">
        <f>'PIVOT TABLES'!$W$27-'PIVOT TABLES'!$W$26</f>
        <v>27.948</v>
      </c>
      <c r="W579" s="14">
        <f>'PIVOT TABLES'!$W$28-'PIVOT TABLES'!$W$27</f>
        <v>27.947999999999993</v>
      </c>
      <c r="X579" s="14">
        <f>200-SUM(Table3[[#This Row],[S - LIGHT]:[S - VIGOROUS]])</f>
        <v>88.208000000000013</v>
      </c>
    </row>
    <row r="580" spans="1:24" x14ac:dyDescent="0.25">
      <c r="A580" s="13" t="s">
        <v>58</v>
      </c>
      <c r="B580" s="13" t="str">
        <f t="shared" si="9"/>
        <v>Defender</v>
      </c>
      <c r="C580" s="7">
        <v>45324.447187500002</v>
      </c>
      <c r="D580" s="14">
        <v>10917</v>
      </c>
      <c r="E580" s="14">
        <v>280</v>
      </c>
      <c r="F580" s="14">
        <v>50</v>
      </c>
      <c r="G580" s="14">
        <v>33</v>
      </c>
      <c r="H580" s="14">
        <v>120.23</v>
      </c>
      <c r="I580" s="14">
        <f>'PIVOT TABLES'!$B$26</f>
        <v>60.283999999999999</v>
      </c>
      <c r="J580" s="14">
        <f>'PIVOT TABLES'!$B$27-'PIVOT TABLES'!$B$26</f>
        <v>30.142000000000003</v>
      </c>
      <c r="K580" s="14">
        <f>'PIVOT TABLES'!$B$28-'PIVOT TABLES'!$B$27</f>
        <v>30.141999999999996</v>
      </c>
      <c r="L580" s="14">
        <f>200-SUM(Table3[[#This Row],[D - LIGHT]:[D - VIGOROUS]])</f>
        <v>79.432000000000002</v>
      </c>
      <c r="M580" s="14">
        <f>'PIVOT TABLES'!$I$26</f>
        <v>65.603999999999999</v>
      </c>
      <c r="N580" s="14">
        <f>'PIVOT TABLES'!$I$27-'PIVOT TABLES'!$I$26</f>
        <v>32.802000000000007</v>
      </c>
      <c r="O580" s="14">
        <f>'PIVOT TABLES'!$I$28-'PIVOT TABLES'!$I$27</f>
        <v>32.801999999999992</v>
      </c>
      <c r="P580" s="14">
        <f>200-SUM(Table3[[#This Row],[M - LIGHT]:[M - VIGOROUS]])</f>
        <v>68.792000000000002</v>
      </c>
      <c r="Q580" s="14">
        <f>'PIVOT TABLES'!$P$26</f>
        <v>62.64</v>
      </c>
      <c r="R580" s="14">
        <f>'PIVOT TABLES'!$P$27-'PIVOT TABLES'!$P$26</f>
        <v>31.320000000000007</v>
      </c>
      <c r="S580" s="14">
        <f>'PIVOT TABLES'!$P$28-'PIVOT TABLES'!$P$27</f>
        <v>31.319999999999993</v>
      </c>
      <c r="T580" s="14">
        <f>200-SUM(Table3[[#This Row],[W - LIGHT]:[W - VIGOROUS]])</f>
        <v>74.72</v>
      </c>
      <c r="U580" s="14">
        <f>'PIVOT TABLES'!$W$26</f>
        <v>55.895999999999994</v>
      </c>
      <c r="V580" s="14">
        <f>'PIVOT TABLES'!$W$27-'PIVOT TABLES'!$W$26</f>
        <v>27.948</v>
      </c>
      <c r="W580" s="14">
        <f>'PIVOT TABLES'!$W$28-'PIVOT TABLES'!$W$27</f>
        <v>27.947999999999993</v>
      </c>
      <c r="X580" s="14">
        <f>200-SUM(Table3[[#This Row],[S - LIGHT]:[S - VIGOROUS]])</f>
        <v>88.208000000000013</v>
      </c>
    </row>
    <row r="581" spans="1:24" x14ac:dyDescent="0.25">
      <c r="A581" s="13" t="s">
        <v>94</v>
      </c>
      <c r="B581" s="13" t="str">
        <f t="shared" si="9"/>
        <v>Defender</v>
      </c>
      <c r="C581" s="7">
        <v>45324.447187500002</v>
      </c>
      <c r="D581" s="14">
        <v>10260</v>
      </c>
      <c r="E581" s="14">
        <v>153</v>
      </c>
      <c r="F581" s="14">
        <v>26</v>
      </c>
      <c r="G581" s="14">
        <v>20</v>
      </c>
      <c r="H581" s="14">
        <v>108.63</v>
      </c>
      <c r="I581" s="14">
        <f>'PIVOT TABLES'!$B$26</f>
        <v>60.283999999999999</v>
      </c>
      <c r="J581" s="14">
        <f>'PIVOT TABLES'!$B$27-'PIVOT TABLES'!$B$26</f>
        <v>30.142000000000003</v>
      </c>
      <c r="K581" s="14">
        <f>'PIVOT TABLES'!$B$28-'PIVOT TABLES'!$B$27</f>
        <v>30.141999999999996</v>
      </c>
      <c r="L581" s="14">
        <f>200-SUM(Table3[[#This Row],[D - LIGHT]:[D - VIGOROUS]])</f>
        <v>79.432000000000002</v>
      </c>
      <c r="M581" s="14">
        <f>'PIVOT TABLES'!$I$26</f>
        <v>65.603999999999999</v>
      </c>
      <c r="N581" s="14">
        <f>'PIVOT TABLES'!$I$27-'PIVOT TABLES'!$I$26</f>
        <v>32.802000000000007</v>
      </c>
      <c r="O581" s="14">
        <f>'PIVOT TABLES'!$I$28-'PIVOT TABLES'!$I$27</f>
        <v>32.801999999999992</v>
      </c>
      <c r="P581" s="14">
        <f>200-SUM(Table3[[#This Row],[M - LIGHT]:[M - VIGOROUS]])</f>
        <v>68.792000000000002</v>
      </c>
      <c r="Q581" s="14">
        <f>'PIVOT TABLES'!$P$26</f>
        <v>62.64</v>
      </c>
      <c r="R581" s="14">
        <f>'PIVOT TABLES'!$P$27-'PIVOT TABLES'!$P$26</f>
        <v>31.320000000000007</v>
      </c>
      <c r="S581" s="14">
        <f>'PIVOT TABLES'!$P$28-'PIVOT TABLES'!$P$27</f>
        <v>31.319999999999993</v>
      </c>
      <c r="T581" s="14">
        <f>200-SUM(Table3[[#This Row],[W - LIGHT]:[W - VIGOROUS]])</f>
        <v>74.72</v>
      </c>
      <c r="U581" s="14">
        <f>'PIVOT TABLES'!$W$26</f>
        <v>55.895999999999994</v>
      </c>
      <c r="V581" s="14">
        <f>'PIVOT TABLES'!$W$27-'PIVOT TABLES'!$W$26</f>
        <v>27.948</v>
      </c>
      <c r="W581" s="14">
        <f>'PIVOT TABLES'!$W$28-'PIVOT TABLES'!$W$27</f>
        <v>27.947999999999993</v>
      </c>
      <c r="X581" s="14">
        <f>200-SUM(Table3[[#This Row],[S - LIGHT]:[S - VIGOROUS]])</f>
        <v>88.208000000000013</v>
      </c>
    </row>
    <row r="582" spans="1:24" x14ac:dyDescent="0.25">
      <c r="A582" s="13" t="s">
        <v>59</v>
      </c>
      <c r="B582" s="13" t="str">
        <f t="shared" si="9"/>
        <v>Striker</v>
      </c>
      <c r="C582" s="7">
        <v>45324.447187500002</v>
      </c>
      <c r="D582" s="14">
        <v>6904</v>
      </c>
      <c r="E582" s="14">
        <v>111</v>
      </c>
      <c r="F582" s="14">
        <v>19</v>
      </c>
      <c r="G582" s="14">
        <v>14</v>
      </c>
      <c r="H582" s="14">
        <v>73.41</v>
      </c>
      <c r="I582" s="14">
        <f>'PIVOT TABLES'!$B$26</f>
        <v>60.283999999999999</v>
      </c>
      <c r="J582" s="14">
        <f>'PIVOT TABLES'!$B$27-'PIVOT TABLES'!$B$26</f>
        <v>30.142000000000003</v>
      </c>
      <c r="K582" s="14">
        <f>'PIVOT TABLES'!$B$28-'PIVOT TABLES'!$B$27</f>
        <v>30.141999999999996</v>
      </c>
      <c r="L582" s="14">
        <f>200-SUM(Table3[[#This Row],[D - LIGHT]:[D - VIGOROUS]])</f>
        <v>79.432000000000002</v>
      </c>
      <c r="M582" s="14">
        <f>'PIVOT TABLES'!$I$26</f>
        <v>65.603999999999999</v>
      </c>
      <c r="N582" s="14">
        <f>'PIVOT TABLES'!$I$27-'PIVOT TABLES'!$I$26</f>
        <v>32.802000000000007</v>
      </c>
      <c r="O582" s="14">
        <f>'PIVOT TABLES'!$I$28-'PIVOT TABLES'!$I$27</f>
        <v>32.801999999999992</v>
      </c>
      <c r="P582" s="14">
        <f>200-SUM(Table3[[#This Row],[M - LIGHT]:[M - VIGOROUS]])</f>
        <v>68.792000000000002</v>
      </c>
      <c r="Q582" s="14">
        <f>'PIVOT TABLES'!$P$26</f>
        <v>62.64</v>
      </c>
      <c r="R582" s="14">
        <f>'PIVOT TABLES'!$P$27-'PIVOT TABLES'!$P$26</f>
        <v>31.320000000000007</v>
      </c>
      <c r="S582" s="14">
        <f>'PIVOT TABLES'!$P$28-'PIVOT TABLES'!$P$27</f>
        <v>31.319999999999993</v>
      </c>
      <c r="T582" s="14">
        <f>200-SUM(Table3[[#This Row],[W - LIGHT]:[W - VIGOROUS]])</f>
        <v>74.72</v>
      </c>
      <c r="U582" s="14">
        <f>'PIVOT TABLES'!$W$26</f>
        <v>55.895999999999994</v>
      </c>
      <c r="V582" s="14">
        <f>'PIVOT TABLES'!$W$27-'PIVOT TABLES'!$W$26</f>
        <v>27.948</v>
      </c>
      <c r="W582" s="14">
        <f>'PIVOT TABLES'!$W$28-'PIVOT TABLES'!$W$27</f>
        <v>27.947999999999993</v>
      </c>
      <c r="X582" s="14">
        <f>200-SUM(Table3[[#This Row],[S - LIGHT]:[S - VIGOROUS]])</f>
        <v>88.208000000000013</v>
      </c>
    </row>
    <row r="583" spans="1:24" x14ac:dyDescent="0.25">
      <c r="A583" s="13" t="s">
        <v>4</v>
      </c>
      <c r="B583" s="13" t="str">
        <f t="shared" si="9"/>
        <v>Midfielder</v>
      </c>
      <c r="C583" s="7">
        <v>45324.447187500002</v>
      </c>
      <c r="D583" s="14">
        <v>4605</v>
      </c>
      <c r="E583" s="14">
        <v>0</v>
      </c>
      <c r="F583" s="14">
        <v>10</v>
      </c>
      <c r="G583" s="14">
        <v>16</v>
      </c>
      <c r="H583" s="14">
        <v>46.77</v>
      </c>
      <c r="I583" s="14">
        <f>'PIVOT TABLES'!$B$26</f>
        <v>60.283999999999999</v>
      </c>
      <c r="J583" s="14">
        <f>'PIVOT TABLES'!$B$27-'PIVOT TABLES'!$B$26</f>
        <v>30.142000000000003</v>
      </c>
      <c r="K583" s="14">
        <f>'PIVOT TABLES'!$B$28-'PIVOT TABLES'!$B$27</f>
        <v>30.141999999999996</v>
      </c>
      <c r="L583" s="14">
        <f>200-SUM(Table3[[#This Row],[D - LIGHT]:[D - VIGOROUS]])</f>
        <v>79.432000000000002</v>
      </c>
      <c r="M583" s="14">
        <f>'PIVOT TABLES'!$I$26</f>
        <v>65.603999999999999</v>
      </c>
      <c r="N583" s="14">
        <f>'PIVOT TABLES'!$I$27-'PIVOT TABLES'!$I$26</f>
        <v>32.802000000000007</v>
      </c>
      <c r="O583" s="14">
        <f>'PIVOT TABLES'!$I$28-'PIVOT TABLES'!$I$27</f>
        <v>32.801999999999992</v>
      </c>
      <c r="P583" s="14">
        <f>200-SUM(Table3[[#This Row],[M - LIGHT]:[M - VIGOROUS]])</f>
        <v>68.792000000000002</v>
      </c>
      <c r="Q583" s="14">
        <f>'PIVOT TABLES'!$P$26</f>
        <v>62.64</v>
      </c>
      <c r="R583" s="14">
        <f>'PIVOT TABLES'!$P$27-'PIVOT TABLES'!$P$26</f>
        <v>31.320000000000007</v>
      </c>
      <c r="S583" s="14">
        <f>'PIVOT TABLES'!$P$28-'PIVOT TABLES'!$P$27</f>
        <v>31.319999999999993</v>
      </c>
      <c r="T583" s="14">
        <f>200-SUM(Table3[[#This Row],[W - LIGHT]:[W - VIGOROUS]])</f>
        <v>74.72</v>
      </c>
      <c r="U583" s="14">
        <f>'PIVOT TABLES'!$W$26</f>
        <v>55.895999999999994</v>
      </c>
      <c r="V583" s="14">
        <f>'PIVOT TABLES'!$W$27-'PIVOT TABLES'!$W$26</f>
        <v>27.948</v>
      </c>
      <c r="W583" s="14">
        <f>'PIVOT TABLES'!$W$28-'PIVOT TABLES'!$W$27</f>
        <v>27.947999999999993</v>
      </c>
      <c r="X583" s="14">
        <f>200-SUM(Table3[[#This Row],[S - LIGHT]:[S - VIGOROUS]])</f>
        <v>88.208000000000013</v>
      </c>
    </row>
    <row r="584" spans="1:24" x14ac:dyDescent="0.25">
      <c r="A584" s="13" t="s">
        <v>60</v>
      </c>
      <c r="B584" s="13" t="str">
        <f t="shared" si="9"/>
        <v>Winger</v>
      </c>
      <c r="C584" s="7">
        <v>45324.447187500002</v>
      </c>
      <c r="D584" s="14">
        <v>13970</v>
      </c>
      <c r="E584" s="14">
        <v>278</v>
      </c>
      <c r="F584" s="14">
        <v>63</v>
      </c>
      <c r="G584" s="14">
        <v>44</v>
      </c>
      <c r="H584" s="14">
        <v>151.44</v>
      </c>
      <c r="I584" s="14">
        <f>'PIVOT TABLES'!$B$26</f>
        <v>60.283999999999999</v>
      </c>
      <c r="J584" s="14">
        <f>'PIVOT TABLES'!$B$27-'PIVOT TABLES'!$B$26</f>
        <v>30.142000000000003</v>
      </c>
      <c r="K584" s="14">
        <f>'PIVOT TABLES'!$B$28-'PIVOT TABLES'!$B$27</f>
        <v>30.141999999999996</v>
      </c>
      <c r="L584" s="14">
        <f>200-SUM(Table3[[#This Row],[D - LIGHT]:[D - VIGOROUS]])</f>
        <v>79.432000000000002</v>
      </c>
      <c r="M584" s="14">
        <f>'PIVOT TABLES'!$I$26</f>
        <v>65.603999999999999</v>
      </c>
      <c r="N584" s="14">
        <f>'PIVOT TABLES'!$I$27-'PIVOT TABLES'!$I$26</f>
        <v>32.802000000000007</v>
      </c>
      <c r="O584" s="14">
        <f>'PIVOT TABLES'!$I$28-'PIVOT TABLES'!$I$27</f>
        <v>32.801999999999992</v>
      </c>
      <c r="P584" s="14">
        <f>200-SUM(Table3[[#This Row],[M - LIGHT]:[M - VIGOROUS]])</f>
        <v>68.792000000000002</v>
      </c>
      <c r="Q584" s="14">
        <f>'PIVOT TABLES'!$P$26</f>
        <v>62.64</v>
      </c>
      <c r="R584" s="14">
        <f>'PIVOT TABLES'!$P$27-'PIVOT TABLES'!$P$26</f>
        <v>31.320000000000007</v>
      </c>
      <c r="S584" s="14">
        <f>'PIVOT TABLES'!$P$28-'PIVOT TABLES'!$P$27</f>
        <v>31.319999999999993</v>
      </c>
      <c r="T584" s="14">
        <f>200-SUM(Table3[[#This Row],[W - LIGHT]:[W - VIGOROUS]])</f>
        <v>74.72</v>
      </c>
      <c r="U584" s="14">
        <f>'PIVOT TABLES'!$W$26</f>
        <v>55.895999999999994</v>
      </c>
      <c r="V584" s="14">
        <f>'PIVOT TABLES'!$W$27-'PIVOT TABLES'!$W$26</f>
        <v>27.948</v>
      </c>
      <c r="W584" s="14">
        <f>'PIVOT TABLES'!$W$28-'PIVOT TABLES'!$W$27</f>
        <v>27.947999999999993</v>
      </c>
      <c r="X584" s="14">
        <f>200-SUM(Table3[[#This Row],[S - LIGHT]:[S - VIGOROUS]])</f>
        <v>88.208000000000013</v>
      </c>
    </row>
    <row r="585" spans="1:24" x14ac:dyDescent="0.25">
      <c r="A585" s="13" t="s">
        <v>71</v>
      </c>
      <c r="B585" s="13" t="str">
        <f t="shared" si="9"/>
        <v>Midfielder</v>
      </c>
      <c r="C585" s="7">
        <v>45324.447187500002</v>
      </c>
      <c r="D585" s="14">
        <v>7499</v>
      </c>
      <c r="E585" s="14">
        <v>17</v>
      </c>
      <c r="F585" s="14">
        <v>16</v>
      </c>
      <c r="G585" s="14">
        <v>7</v>
      </c>
      <c r="H585" s="14">
        <v>76.28</v>
      </c>
      <c r="I585" s="14">
        <f>'PIVOT TABLES'!$B$26</f>
        <v>60.283999999999999</v>
      </c>
      <c r="J585" s="14">
        <f>'PIVOT TABLES'!$B$27-'PIVOT TABLES'!$B$26</f>
        <v>30.142000000000003</v>
      </c>
      <c r="K585" s="14">
        <f>'PIVOT TABLES'!$B$28-'PIVOT TABLES'!$B$27</f>
        <v>30.141999999999996</v>
      </c>
      <c r="L585" s="14">
        <f>200-SUM(Table3[[#This Row],[D - LIGHT]:[D - VIGOROUS]])</f>
        <v>79.432000000000002</v>
      </c>
      <c r="M585" s="14">
        <f>'PIVOT TABLES'!$I$26</f>
        <v>65.603999999999999</v>
      </c>
      <c r="N585" s="14">
        <f>'PIVOT TABLES'!$I$27-'PIVOT TABLES'!$I$26</f>
        <v>32.802000000000007</v>
      </c>
      <c r="O585" s="14">
        <f>'PIVOT TABLES'!$I$28-'PIVOT TABLES'!$I$27</f>
        <v>32.801999999999992</v>
      </c>
      <c r="P585" s="14">
        <f>200-SUM(Table3[[#This Row],[M - LIGHT]:[M - VIGOROUS]])</f>
        <v>68.792000000000002</v>
      </c>
      <c r="Q585" s="14">
        <f>'PIVOT TABLES'!$P$26</f>
        <v>62.64</v>
      </c>
      <c r="R585" s="14">
        <f>'PIVOT TABLES'!$P$27-'PIVOT TABLES'!$P$26</f>
        <v>31.320000000000007</v>
      </c>
      <c r="S585" s="14">
        <f>'PIVOT TABLES'!$P$28-'PIVOT TABLES'!$P$27</f>
        <v>31.319999999999993</v>
      </c>
      <c r="T585" s="14">
        <f>200-SUM(Table3[[#This Row],[W - LIGHT]:[W - VIGOROUS]])</f>
        <v>74.72</v>
      </c>
      <c r="U585" s="14">
        <f>'PIVOT TABLES'!$W$26</f>
        <v>55.895999999999994</v>
      </c>
      <c r="V585" s="14">
        <f>'PIVOT TABLES'!$W$27-'PIVOT TABLES'!$W$26</f>
        <v>27.948</v>
      </c>
      <c r="W585" s="14">
        <f>'PIVOT TABLES'!$W$28-'PIVOT TABLES'!$W$27</f>
        <v>27.947999999999993</v>
      </c>
      <c r="X585" s="14">
        <f>200-SUM(Table3[[#This Row],[S - LIGHT]:[S - VIGOROUS]])</f>
        <v>88.208000000000013</v>
      </c>
    </row>
    <row r="586" spans="1:24" x14ac:dyDescent="0.25">
      <c r="A586" s="13" t="s">
        <v>6</v>
      </c>
      <c r="B586" s="13" t="str">
        <f t="shared" si="9"/>
        <v>Midfielder</v>
      </c>
      <c r="C586" s="7">
        <v>45324.447187500002</v>
      </c>
      <c r="D586" s="14">
        <v>8566</v>
      </c>
      <c r="E586" s="14">
        <v>63</v>
      </c>
      <c r="F586" s="14">
        <v>21</v>
      </c>
      <c r="G586" s="14">
        <v>11</v>
      </c>
      <c r="H586" s="14">
        <v>88.61</v>
      </c>
      <c r="I586" s="14">
        <f>'PIVOT TABLES'!$B$26</f>
        <v>60.283999999999999</v>
      </c>
      <c r="J586" s="14">
        <f>'PIVOT TABLES'!$B$27-'PIVOT TABLES'!$B$26</f>
        <v>30.142000000000003</v>
      </c>
      <c r="K586" s="14">
        <f>'PIVOT TABLES'!$B$28-'PIVOT TABLES'!$B$27</f>
        <v>30.141999999999996</v>
      </c>
      <c r="L586" s="14">
        <f>200-SUM(Table3[[#This Row],[D - LIGHT]:[D - VIGOROUS]])</f>
        <v>79.432000000000002</v>
      </c>
      <c r="M586" s="14">
        <f>'PIVOT TABLES'!$I$26</f>
        <v>65.603999999999999</v>
      </c>
      <c r="N586" s="14">
        <f>'PIVOT TABLES'!$I$27-'PIVOT TABLES'!$I$26</f>
        <v>32.802000000000007</v>
      </c>
      <c r="O586" s="14">
        <f>'PIVOT TABLES'!$I$28-'PIVOT TABLES'!$I$27</f>
        <v>32.801999999999992</v>
      </c>
      <c r="P586" s="14">
        <f>200-SUM(Table3[[#This Row],[M - LIGHT]:[M - VIGOROUS]])</f>
        <v>68.792000000000002</v>
      </c>
      <c r="Q586" s="14">
        <f>'PIVOT TABLES'!$P$26</f>
        <v>62.64</v>
      </c>
      <c r="R586" s="14">
        <f>'PIVOT TABLES'!$P$27-'PIVOT TABLES'!$P$26</f>
        <v>31.320000000000007</v>
      </c>
      <c r="S586" s="14">
        <f>'PIVOT TABLES'!$P$28-'PIVOT TABLES'!$P$27</f>
        <v>31.319999999999993</v>
      </c>
      <c r="T586" s="14">
        <f>200-SUM(Table3[[#This Row],[W - LIGHT]:[W - VIGOROUS]])</f>
        <v>74.72</v>
      </c>
      <c r="U586" s="14">
        <f>'PIVOT TABLES'!$W$26</f>
        <v>55.895999999999994</v>
      </c>
      <c r="V586" s="14">
        <f>'PIVOT TABLES'!$W$27-'PIVOT TABLES'!$W$26</f>
        <v>27.948</v>
      </c>
      <c r="W586" s="14">
        <f>'PIVOT TABLES'!$W$28-'PIVOT TABLES'!$W$27</f>
        <v>27.947999999999993</v>
      </c>
      <c r="X586" s="14">
        <f>200-SUM(Table3[[#This Row],[S - LIGHT]:[S - VIGOROUS]])</f>
        <v>88.208000000000013</v>
      </c>
    </row>
    <row r="587" spans="1:24" x14ac:dyDescent="0.25">
      <c r="A587" s="13" t="s">
        <v>63</v>
      </c>
      <c r="B587" s="13" t="str">
        <f t="shared" si="9"/>
        <v>Winger</v>
      </c>
      <c r="C587" s="7">
        <v>45324.447187500002</v>
      </c>
      <c r="D587" s="14">
        <v>5439</v>
      </c>
      <c r="E587" s="14">
        <v>0</v>
      </c>
      <c r="F587" s="14">
        <v>15</v>
      </c>
      <c r="G587" s="14">
        <v>6</v>
      </c>
      <c r="H587" s="14">
        <v>55.11</v>
      </c>
      <c r="I587" s="14">
        <f>'PIVOT TABLES'!$B$26</f>
        <v>60.283999999999999</v>
      </c>
      <c r="J587" s="14">
        <f>'PIVOT TABLES'!$B$27-'PIVOT TABLES'!$B$26</f>
        <v>30.142000000000003</v>
      </c>
      <c r="K587" s="14">
        <f>'PIVOT TABLES'!$B$28-'PIVOT TABLES'!$B$27</f>
        <v>30.141999999999996</v>
      </c>
      <c r="L587" s="14">
        <f>200-SUM(Table3[[#This Row],[D - LIGHT]:[D - VIGOROUS]])</f>
        <v>79.432000000000002</v>
      </c>
      <c r="M587" s="14">
        <f>'PIVOT TABLES'!$I$26</f>
        <v>65.603999999999999</v>
      </c>
      <c r="N587" s="14">
        <f>'PIVOT TABLES'!$I$27-'PIVOT TABLES'!$I$26</f>
        <v>32.802000000000007</v>
      </c>
      <c r="O587" s="14">
        <f>'PIVOT TABLES'!$I$28-'PIVOT TABLES'!$I$27</f>
        <v>32.801999999999992</v>
      </c>
      <c r="P587" s="14">
        <f>200-SUM(Table3[[#This Row],[M - LIGHT]:[M - VIGOROUS]])</f>
        <v>68.792000000000002</v>
      </c>
      <c r="Q587" s="14">
        <f>'PIVOT TABLES'!$P$26</f>
        <v>62.64</v>
      </c>
      <c r="R587" s="14">
        <f>'PIVOT TABLES'!$P$27-'PIVOT TABLES'!$P$26</f>
        <v>31.320000000000007</v>
      </c>
      <c r="S587" s="14">
        <f>'PIVOT TABLES'!$P$28-'PIVOT TABLES'!$P$27</f>
        <v>31.319999999999993</v>
      </c>
      <c r="T587" s="14">
        <f>200-SUM(Table3[[#This Row],[W - LIGHT]:[W - VIGOROUS]])</f>
        <v>74.72</v>
      </c>
      <c r="U587" s="14">
        <f>'PIVOT TABLES'!$W$26</f>
        <v>55.895999999999994</v>
      </c>
      <c r="V587" s="14">
        <f>'PIVOT TABLES'!$W$27-'PIVOT TABLES'!$W$26</f>
        <v>27.948</v>
      </c>
      <c r="W587" s="14">
        <f>'PIVOT TABLES'!$W$28-'PIVOT TABLES'!$W$27</f>
        <v>27.947999999999993</v>
      </c>
      <c r="X587" s="14">
        <f>200-SUM(Table3[[#This Row],[S - LIGHT]:[S - VIGOROUS]])</f>
        <v>88.208000000000013</v>
      </c>
    </row>
    <row r="588" spans="1:24" x14ac:dyDescent="0.25">
      <c r="A588" s="13" t="s">
        <v>64</v>
      </c>
      <c r="B588" s="13" t="str">
        <f t="shared" si="9"/>
        <v>Midfielder</v>
      </c>
      <c r="C588" s="7">
        <v>45324.447187500002</v>
      </c>
      <c r="D588" s="14">
        <v>12858</v>
      </c>
      <c r="E588" s="14">
        <v>78</v>
      </c>
      <c r="F588" s="14">
        <v>36</v>
      </c>
      <c r="G588" s="14">
        <v>29</v>
      </c>
      <c r="H588" s="14">
        <v>132.94</v>
      </c>
      <c r="I588" s="14">
        <f>'PIVOT TABLES'!$B$26</f>
        <v>60.283999999999999</v>
      </c>
      <c r="J588" s="14">
        <f>'PIVOT TABLES'!$B$27-'PIVOT TABLES'!$B$26</f>
        <v>30.142000000000003</v>
      </c>
      <c r="K588" s="14">
        <f>'PIVOT TABLES'!$B$28-'PIVOT TABLES'!$B$27</f>
        <v>30.141999999999996</v>
      </c>
      <c r="L588" s="14">
        <f>200-SUM(Table3[[#This Row],[D - LIGHT]:[D - VIGOROUS]])</f>
        <v>79.432000000000002</v>
      </c>
      <c r="M588" s="14">
        <f>'PIVOT TABLES'!$I$26</f>
        <v>65.603999999999999</v>
      </c>
      <c r="N588" s="14">
        <f>'PIVOT TABLES'!$I$27-'PIVOT TABLES'!$I$26</f>
        <v>32.802000000000007</v>
      </c>
      <c r="O588" s="14">
        <f>'PIVOT TABLES'!$I$28-'PIVOT TABLES'!$I$27</f>
        <v>32.801999999999992</v>
      </c>
      <c r="P588" s="14">
        <f>200-SUM(Table3[[#This Row],[M - LIGHT]:[M - VIGOROUS]])</f>
        <v>68.792000000000002</v>
      </c>
      <c r="Q588" s="14">
        <f>'PIVOT TABLES'!$P$26</f>
        <v>62.64</v>
      </c>
      <c r="R588" s="14">
        <f>'PIVOT TABLES'!$P$27-'PIVOT TABLES'!$P$26</f>
        <v>31.320000000000007</v>
      </c>
      <c r="S588" s="14">
        <f>'PIVOT TABLES'!$P$28-'PIVOT TABLES'!$P$27</f>
        <v>31.319999999999993</v>
      </c>
      <c r="T588" s="14">
        <f>200-SUM(Table3[[#This Row],[W - LIGHT]:[W - VIGOROUS]])</f>
        <v>74.72</v>
      </c>
      <c r="U588" s="14">
        <f>'PIVOT TABLES'!$W$26</f>
        <v>55.895999999999994</v>
      </c>
      <c r="V588" s="14">
        <f>'PIVOT TABLES'!$W$27-'PIVOT TABLES'!$W$26</f>
        <v>27.948</v>
      </c>
      <c r="W588" s="14">
        <f>'PIVOT TABLES'!$W$28-'PIVOT TABLES'!$W$27</f>
        <v>27.947999999999993</v>
      </c>
      <c r="X588" s="14">
        <f>200-SUM(Table3[[#This Row],[S - LIGHT]:[S - VIGOROUS]])</f>
        <v>88.208000000000013</v>
      </c>
    </row>
    <row r="589" spans="1:24" x14ac:dyDescent="0.25">
      <c r="A589" s="13" t="s">
        <v>65</v>
      </c>
      <c r="B589" s="13" t="str">
        <f t="shared" si="9"/>
        <v>Winger</v>
      </c>
      <c r="C589" s="7">
        <v>45324.447187500002</v>
      </c>
      <c r="D589" s="14">
        <v>9527</v>
      </c>
      <c r="E589" s="14">
        <v>257</v>
      </c>
      <c r="F589" s="14">
        <v>30</v>
      </c>
      <c r="G589" s="14">
        <v>18</v>
      </c>
      <c r="H589" s="14">
        <v>104.54</v>
      </c>
      <c r="I589" s="14">
        <f>'PIVOT TABLES'!$B$26</f>
        <v>60.283999999999999</v>
      </c>
      <c r="J589" s="14">
        <f>'PIVOT TABLES'!$B$27-'PIVOT TABLES'!$B$26</f>
        <v>30.142000000000003</v>
      </c>
      <c r="K589" s="14">
        <f>'PIVOT TABLES'!$B$28-'PIVOT TABLES'!$B$27</f>
        <v>30.141999999999996</v>
      </c>
      <c r="L589" s="14">
        <f>200-SUM(Table3[[#This Row],[D - LIGHT]:[D - VIGOROUS]])</f>
        <v>79.432000000000002</v>
      </c>
      <c r="M589" s="14">
        <f>'PIVOT TABLES'!$I$26</f>
        <v>65.603999999999999</v>
      </c>
      <c r="N589" s="14">
        <f>'PIVOT TABLES'!$I$27-'PIVOT TABLES'!$I$26</f>
        <v>32.802000000000007</v>
      </c>
      <c r="O589" s="14">
        <f>'PIVOT TABLES'!$I$28-'PIVOT TABLES'!$I$27</f>
        <v>32.801999999999992</v>
      </c>
      <c r="P589" s="14">
        <f>200-SUM(Table3[[#This Row],[M - LIGHT]:[M - VIGOROUS]])</f>
        <v>68.792000000000002</v>
      </c>
      <c r="Q589" s="14">
        <f>'PIVOT TABLES'!$P$26</f>
        <v>62.64</v>
      </c>
      <c r="R589" s="14">
        <f>'PIVOT TABLES'!$P$27-'PIVOT TABLES'!$P$26</f>
        <v>31.320000000000007</v>
      </c>
      <c r="S589" s="14">
        <f>'PIVOT TABLES'!$P$28-'PIVOT TABLES'!$P$27</f>
        <v>31.319999999999993</v>
      </c>
      <c r="T589" s="14">
        <f>200-SUM(Table3[[#This Row],[W - LIGHT]:[W - VIGOROUS]])</f>
        <v>74.72</v>
      </c>
      <c r="U589" s="14">
        <f>'PIVOT TABLES'!$W$26</f>
        <v>55.895999999999994</v>
      </c>
      <c r="V589" s="14">
        <f>'PIVOT TABLES'!$W$27-'PIVOT TABLES'!$W$26</f>
        <v>27.948</v>
      </c>
      <c r="W589" s="14">
        <f>'PIVOT TABLES'!$W$28-'PIVOT TABLES'!$W$27</f>
        <v>27.947999999999993</v>
      </c>
      <c r="X589" s="14">
        <f>200-SUM(Table3[[#This Row],[S - LIGHT]:[S - VIGOROUS]])</f>
        <v>88.208000000000013</v>
      </c>
    </row>
    <row r="590" spans="1:24" x14ac:dyDescent="0.25">
      <c r="A590" s="13" t="s">
        <v>66</v>
      </c>
      <c r="B590" s="13" t="str">
        <f t="shared" si="9"/>
        <v>Striker</v>
      </c>
      <c r="C590" s="7">
        <v>45324.447187500002</v>
      </c>
      <c r="D590" s="14">
        <v>10891</v>
      </c>
      <c r="E590" s="14">
        <v>261</v>
      </c>
      <c r="F590" s="14">
        <v>55</v>
      </c>
      <c r="G590" s="14">
        <v>49</v>
      </c>
      <c r="H590" s="14">
        <v>119.92</v>
      </c>
      <c r="I590" s="14">
        <f>'PIVOT TABLES'!$B$26</f>
        <v>60.283999999999999</v>
      </c>
      <c r="J590" s="14">
        <f>'PIVOT TABLES'!$B$27-'PIVOT TABLES'!$B$26</f>
        <v>30.142000000000003</v>
      </c>
      <c r="K590" s="14">
        <f>'PIVOT TABLES'!$B$28-'PIVOT TABLES'!$B$27</f>
        <v>30.141999999999996</v>
      </c>
      <c r="L590" s="14">
        <f>200-SUM(Table3[[#This Row],[D - LIGHT]:[D - VIGOROUS]])</f>
        <v>79.432000000000002</v>
      </c>
      <c r="M590" s="14">
        <f>'PIVOT TABLES'!$I$26</f>
        <v>65.603999999999999</v>
      </c>
      <c r="N590" s="14">
        <f>'PIVOT TABLES'!$I$27-'PIVOT TABLES'!$I$26</f>
        <v>32.802000000000007</v>
      </c>
      <c r="O590" s="14">
        <f>'PIVOT TABLES'!$I$28-'PIVOT TABLES'!$I$27</f>
        <v>32.801999999999992</v>
      </c>
      <c r="P590" s="14">
        <f>200-SUM(Table3[[#This Row],[M - LIGHT]:[M - VIGOROUS]])</f>
        <v>68.792000000000002</v>
      </c>
      <c r="Q590" s="14">
        <f>'PIVOT TABLES'!$P$26</f>
        <v>62.64</v>
      </c>
      <c r="R590" s="14">
        <f>'PIVOT TABLES'!$P$27-'PIVOT TABLES'!$P$26</f>
        <v>31.320000000000007</v>
      </c>
      <c r="S590" s="14">
        <f>'PIVOT TABLES'!$P$28-'PIVOT TABLES'!$P$27</f>
        <v>31.319999999999993</v>
      </c>
      <c r="T590" s="14">
        <f>200-SUM(Table3[[#This Row],[W - LIGHT]:[W - VIGOROUS]])</f>
        <v>74.72</v>
      </c>
      <c r="U590" s="14">
        <f>'PIVOT TABLES'!$W$26</f>
        <v>55.895999999999994</v>
      </c>
      <c r="V590" s="14">
        <f>'PIVOT TABLES'!$W$27-'PIVOT TABLES'!$W$26</f>
        <v>27.948</v>
      </c>
      <c r="W590" s="14">
        <f>'PIVOT TABLES'!$W$28-'PIVOT TABLES'!$W$27</f>
        <v>27.947999999999993</v>
      </c>
      <c r="X590" s="14">
        <f>200-SUM(Table3[[#This Row],[S - LIGHT]:[S - VIGOROUS]])</f>
        <v>88.208000000000013</v>
      </c>
    </row>
    <row r="591" spans="1:24" x14ac:dyDescent="0.25">
      <c r="A591" s="13" t="s">
        <v>78</v>
      </c>
      <c r="B591" s="13" t="str">
        <f t="shared" si="9"/>
        <v>Defender</v>
      </c>
      <c r="C591" s="7">
        <v>45324.447187500002</v>
      </c>
      <c r="D591" s="14">
        <v>12233</v>
      </c>
      <c r="E591" s="14">
        <v>71</v>
      </c>
      <c r="F591" s="14">
        <v>41</v>
      </c>
      <c r="G591" s="14">
        <v>38</v>
      </c>
      <c r="H591" s="14">
        <v>126.86</v>
      </c>
      <c r="I591" s="14">
        <f>'PIVOT TABLES'!$B$26</f>
        <v>60.283999999999999</v>
      </c>
      <c r="J591" s="14">
        <f>'PIVOT TABLES'!$B$27-'PIVOT TABLES'!$B$26</f>
        <v>30.142000000000003</v>
      </c>
      <c r="K591" s="14">
        <f>'PIVOT TABLES'!$B$28-'PIVOT TABLES'!$B$27</f>
        <v>30.141999999999996</v>
      </c>
      <c r="L591" s="14">
        <f>200-SUM(Table3[[#This Row],[D - LIGHT]:[D - VIGOROUS]])</f>
        <v>79.432000000000002</v>
      </c>
      <c r="M591" s="14">
        <f>'PIVOT TABLES'!$I$26</f>
        <v>65.603999999999999</v>
      </c>
      <c r="N591" s="14">
        <f>'PIVOT TABLES'!$I$27-'PIVOT TABLES'!$I$26</f>
        <v>32.802000000000007</v>
      </c>
      <c r="O591" s="14">
        <f>'PIVOT TABLES'!$I$28-'PIVOT TABLES'!$I$27</f>
        <v>32.801999999999992</v>
      </c>
      <c r="P591" s="14">
        <f>200-SUM(Table3[[#This Row],[M - LIGHT]:[M - VIGOROUS]])</f>
        <v>68.792000000000002</v>
      </c>
      <c r="Q591" s="14">
        <f>'PIVOT TABLES'!$P$26</f>
        <v>62.64</v>
      </c>
      <c r="R591" s="14">
        <f>'PIVOT TABLES'!$P$27-'PIVOT TABLES'!$P$26</f>
        <v>31.320000000000007</v>
      </c>
      <c r="S591" s="14">
        <f>'PIVOT TABLES'!$P$28-'PIVOT TABLES'!$P$27</f>
        <v>31.319999999999993</v>
      </c>
      <c r="T591" s="14">
        <f>200-SUM(Table3[[#This Row],[W - LIGHT]:[W - VIGOROUS]])</f>
        <v>74.72</v>
      </c>
      <c r="U591" s="14">
        <f>'PIVOT TABLES'!$W$26</f>
        <v>55.895999999999994</v>
      </c>
      <c r="V591" s="14">
        <f>'PIVOT TABLES'!$W$27-'PIVOT TABLES'!$W$26</f>
        <v>27.948</v>
      </c>
      <c r="W591" s="14">
        <f>'PIVOT TABLES'!$W$28-'PIVOT TABLES'!$W$27</f>
        <v>27.947999999999993</v>
      </c>
      <c r="X591" s="14">
        <f>200-SUM(Table3[[#This Row],[S - LIGHT]:[S - VIGOROUS]])</f>
        <v>88.208000000000013</v>
      </c>
    </row>
    <row r="592" spans="1:24" x14ac:dyDescent="0.25">
      <c r="A592" s="13" t="s">
        <v>7</v>
      </c>
      <c r="B592" s="13" t="str">
        <f t="shared" si="9"/>
        <v>Winger</v>
      </c>
      <c r="C592" s="7">
        <v>45324.447187500002</v>
      </c>
      <c r="D592" s="14">
        <v>6234</v>
      </c>
      <c r="E592" s="14">
        <v>19</v>
      </c>
      <c r="F592" s="14">
        <v>13</v>
      </c>
      <c r="G592" s="14">
        <v>16</v>
      </c>
      <c r="H592" s="14">
        <v>63.75</v>
      </c>
      <c r="I592" s="14">
        <f>'PIVOT TABLES'!$B$26</f>
        <v>60.283999999999999</v>
      </c>
      <c r="J592" s="14">
        <f>'PIVOT TABLES'!$B$27-'PIVOT TABLES'!$B$26</f>
        <v>30.142000000000003</v>
      </c>
      <c r="K592" s="14">
        <f>'PIVOT TABLES'!$B$28-'PIVOT TABLES'!$B$27</f>
        <v>30.141999999999996</v>
      </c>
      <c r="L592" s="14">
        <f>200-SUM(Table3[[#This Row],[D - LIGHT]:[D - VIGOROUS]])</f>
        <v>79.432000000000002</v>
      </c>
      <c r="M592" s="14">
        <f>'PIVOT TABLES'!$I$26</f>
        <v>65.603999999999999</v>
      </c>
      <c r="N592" s="14">
        <f>'PIVOT TABLES'!$I$27-'PIVOT TABLES'!$I$26</f>
        <v>32.802000000000007</v>
      </c>
      <c r="O592" s="14">
        <f>'PIVOT TABLES'!$I$28-'PIVOT TABLES'!$I$27</f>
        <v>32.801999999999992</v>
      </c>
      <c r="P592" s="14">
        <f>200-SUM(Table3[[#This Row],[M - LIGHT]:[M - VIGOROUS]])</f>
        <v>68.792000000000002</v>
      </c>
      <c r="Q592" s="14">
        <f>'PIVOT TABLES'!$P$26</f>
        <v>62.64</v>
      </c>
      <c r="R592" s="14">
        <f>'PIVOT TABLES'!$P$27-'PIVOT TABLES'!$P$26</f>
        <v>31.320000000000007</v>
      </c>
      <c r="S592" s="14">
        <f>'PIVOT TABLES'!$P$28-'PIVOT TABLES'!$P$27</f>
        <v>31.319999999999993</v>
      </c>
      <c r="T592" s="14">
        <f>200-SUM(Table3[[#This Row],[W - LIGHT]:[W - VIGOROUS]])</f>
        <v>74.72</v>
      </c>
      <c r="U592" s="14">
        <f>'PIVOT TABLES'!$W$26</f>
        <v>55.895999999999994</v>
      </c>
      <c r="V592" s="14">
        <f>'PIVOT TABLES'!$W$27-'PIVOT TABLES'!$W$26</f>
        <v>27.948</v>
      </c>
      <c r="W592" s="14">
        <f>'PIVOT TABLES'!$W$28-'PIVOT TABLES'!$W$27</f>
        <v>27.947999999999993</v>
      </c>
      <c r="X592" s="14">
        <f>200-SUM(Table3[[#This Row],[S - LIGHT]:[S - VIGOROUS]])</f>
        <v>88.208000000000013</v>
      </c>
    </row>
    <row r="593" spans="1:24" x14ac:dyDescent="0.25">
      <c r="A593" s="13" t="s">
        <v>95</v>
      </c>
      <c r="B593" s="13" t="str">
        <f t="shared" si="9"/>
        <v>Winger</v>
      </c>
      <c r="C593" s="7">
        <v>45324.447187500002</v>
      </c>
      <c r="D593" s="14">
        <v>7148</v>
      </c>
      <c r="E593" s="14">
        <v>108</v>
      </c>
      <c r="F593" s="14">
        <v>9</v>
      </c>
      <c r="G593" s="14">
        <v>13</v>
      </c>
      <c r="H593" s="14">
        <v>75.34</v>
      </c>
      <c r="I593" s="14">
        <f>'PIVOT TABLES'!$B$26</f>
        <v>60.283999999999999</v>
      </c>
      <c r="J593" s="14">
        <f>'PIVOT TABLES'!$B$27-'PIVOT TABLES'!$B$26</f>
        <v>30.142000000000003</v>
      </c>
      <c r="K593" s="14">
        <f>'PIVOT TABLES'!$B$28-'PIVOT TABLES'!$B$27</f>
        <v>30.141999999999996</v>
      </c>
      <c r="L593" s="14">
        <f>200-SUM(Table3[[#This Row],[D - LIGHT]:[D - VIGOROUS]])</f>
        <v>79.432000000000002</v>
      </c>
      <c r="M593" s="14">
        <f>'PIVOT TABLES'!$I$26</f>
        <v>65.603999999999999</v>
      </c>
      <c r="N593" s="14">
        <f>'PIVOT TABLES'!$I$27-'PIVOT TABLES'!$I$26</f>
        <v>32.802000000000007</v>
      </c>
      <c r="O593" s="14">
        <f>'PIVOT TABLES'!$I$28-'PIVOT TABLES'!$I$27</f>
        <v>32.801999999999992</v>
      </c>
      <c r="P593" s="14">
        <f>200-SUM(Table3[[#This Row],[M - LIGHT]:[M - VIGOROUS]])</f>
        <v>68.792000000000002</v>
      </c>
      <c r="Q593" s="14">
        <f>'PIVOT TABLES'!$P$26</f>
        <v>62.64</v>
      </c>
      <c r="R593" s="14">
        <f>'PIVOT TABLES'!$P$27-'PIVOT TABLES'!$P$26</f>
        <v>31.320000000000007</v>
      </c>
      <c r="S593" s="14">
        <f>'PIVOT TABLES'!$P$28-'PIVOT TABLES'!$P$27</f>
        <v>31.319999999999993</v>
      </c>
      <c r="T593" s="14">
        <f>200-SUM(Table3[[#This Row],[W - LIGHT]:[W - VIGOROUS]])</f>
        <v>74.72</v>
      </c>
      <c r="U593" s="14">
        <f>'PIVOT TABLES'!$W$26</f>
        <v>55.895999999999994</v>
      </c>
      <c r="V593" s="14">
        <f>'PIVOT TABLES'!$W$27-'PIVOT TABLES'!$W$26</f>
        <v>27.948</v>
      </c>
      <c r="W593" s="14">
        <f>'PIVOT TABLES'!$W$28-'PIVOT TABLES'!$W$27</f>
        <v>27.947999999999993</v>
      </c>
      <c r="X593" s="14">
        <f>200-SUM(Table3[[#This Row],[S - LIGHT]:[S - VIGOROUS]])</f>
        <v>88.208000000000013</v>
      </c>
    </row>
    <row r="594" spans="1:24" x14ac:dyDescent="0.25">
      <c r="A594" s="13" t="s">
        <v>96</v>
      </c>
      <c r="B594" s="13" t="str">
        <f t="shared" si="9"/>
        <v>Winger</v>
      </c>
      <c r="C594" s="7">
        <v>45324.447187500002</v>
      </c>
      <c r="D594" s="14">
        <v>4195</v>
      </c>
      <c r="E594" s="14">
        <v>79</v>
      </c>
      <c r="F594" s="14">
        <v>15</v>
      </c>
      <c r="G594" s="14">
        <v>13</v>
      </c>
      <c r="H594" s="14">
        <v>45.18</v>
      </c>
      <c r="I594" s="14">
        <f>'PIVOT TABLES'!$B$26</f>
        <v>60.283999999999999</v>
      </c>
      <c r="J594" s="14">
        <f>'PIVOT TABLES'!$B$27-'PIVOT TABLES'!$B$26</f>
        <v>30.142000000000003</v>
      </c>
      <c r="K594" s="14">
        <f>'PIVOT TABLES'!$B$28-'PIVOT TABLES'!$B$27</f>
        <v>30.141999999999996</v>
      </c>
      <c r="L594" s="14">
        <f>200-SUM(Table3[[#This Row],[D - LIGHT]:[D - VIGOROUS]])</f>
        <v>79.432000000000002</v>
      </c>
      <c r="M594" s="14">
        <f>'PIVOT TABLES'!$I$26</f>
        <v>65.603999999999999</v>
      </c>
      <c r="N594" s="14">
        <f>'PIVOT TABLES'!$I$27-'PIVOT TABLES'!$I$26</f>
        <v>32.802000000000007</v>
      </c>
      <c r="O594" s="14">
        <f>'PIVOT TABLES'!$I$28-'PIVOT TABLES'!$I$27</f>
        <v>32.801999999999992</v>
      </c>
      <c r="P594" s="14">
        <f>200-SUM(Table3[[#This Row],[M - LIGHT]:[M - VIGOROUS]])</f>
        <v>68.792000000000002</v>
      </c>
      <c r="Q594" s="14">
        <f>'PIVOT TABLES'!$P$26</f>
        <v>62.64</v>
      </c>
      <c r="R594" s="14">
        <f>'PIVOT TABLES'!$P$27-'PIVOT TABLES'!$P$26</f>
        <v>31.320000000000007</v>
      </c>
      <c r="S594" s="14">
        <f>'PIVOT TABLES'!$P$28-'PIVOT TABLES'!$P$27</f>
        <v>31.319999999999993</v>
      </c>
      <c r="T594" s="14">
        <f>200-SUM(Table3[[#This Row],[W - LIGHT]:[W - VIGOROUS]])</f>
        <v>74.72</v>
      </c>
      <c r="U594" s="14">
        <f>'PIVOT TABLES'!$W$26</f>
        <v>55.895999999999994</v>
      </c>
      <c r="V594" s="14">
        <f>'PIVOT TABLES'!$W$27-'PIVOT TABLES'!$W$26</f>
        <v>27.948</v>
      </c>
      <c r="W594" s="14">
        <f>'PIVOT TABLES'!$W$28-'PIVOT TABLES'!$W$27</f>
        <v>27.947999999999993</v>
      </c>
      <c r="X594" s="14">
        <f>200-SUM(Table3[[#This Row],[S - LIGHT]:[S - VIGOROUS]])</f>
        <v>88.208000000000013</v>
      </c>
    </row>
    <row r="595" spans="1:24" x14ac:dyDescent="0.25">
      <c r="A595" s="13" t="s">
        <v>8</v>
      </c>
      <c r="B595" s="13" t="str">
        <f t="shared" si="9"/>
        <v>Striker</v>
      </c>
      <c r="C595" s="7">
        <v>45324.447187500002</v>
      </c>
      <c r="D595" s="14">
        <v>9964</v>
      </c>
      <c r="E595" s="14">
        <v>215</v>
      </c>
      <c r="F595" s="14">
        <v>40</v>
      </c>
      <c r="G595" s="14">
        <v>40</v>
      </c>
      <c r="H595" s="14">
        <v>108.49</v>
      </c>
      <c r="I595" s="14">
        <f>'PIVOT TABLES'!$B$26</f>
        <v>60.283999999999999</v>
      </c>
      <c r="J595" s="14">
        <f>'PIVOT TABLES'!$B$27-'PIVOT TABLES'!$B$26</f>
        <v>30.142000000000003</v>
      </c>
      <c r="K595" s="14">
        <f>'PIVOT TABLES'!$B$28-'PIVOT TABLES'!$B$27</f>
        <v>30.141999999999996</v>
      </c>
      <c r="L595" s="14">
        <f>200-SUM(Table3[[#This Row],[D - LIGHT]:[D - VIGOROUS]])</f>
        <v>79.432000000000002</v>
      </c>
      <c r="M595" s="14">
        <f>'PIVOT TABLES'!$I$26</f>
        <v>65.603999999999999</v>
      </c>
      <c r="N595" s="14">
        <f>'PIVOT TABLES'!$I$27-'PIVOT TABLES'!$I$26</f>
        <v>32.802000000000007</v>
      </c>
      <c r="O595" s="14">
        <f>'PIVOT TABLES'!$I$28-'PIVOT TABLES'!$I$27</f>
        <v>32.801999999999992</v>
      </c>
      <c r="P595" s="14">
        <f>200-SUM(Table3[[#This Row],[M - LIGHT]:[M - VIGOROUS]])</f>
        <v>68.792000000000002</v>
      </c>
      <c r="Q595" s="14">
        <f>'PIVOT TABLES'!$P$26</f>
        <v>62.64</v>
      </c>
      <c r="R595" s="14">
        <f>'PIVOT TABLES'!$P$27-'PIVOT TABLES'!$P$26</f>
        <v>31.320000000000007</v>
      </c>
      <c r="S595" s="14">
        <f>'PIVOT TABLES'!$P$28-'PIVOT TABLES'!$P$27</f>
        <v>31.319999999999993</v>
      </c>
      <c r="T595" s="14">
        <f>200-SUM(Table3[[#This Row],[W - LIGHT]:[W - VIGOROUS]])</f>
        <v>74.72</v>
      </c>
      <c r="U595" s="14">
        <f>'PIVOT TABLES'!$W$26</f>
        <v>55.895999999999994</v>
      </c>
      <c r="V595" s="14">
        <f>'PIVOT TABLES'!$W$27-'PIVOT TABLES'!$W$26</f>
        <v>27.948</v>
      </c>
      <c r="W595" s="14">
        <f>'PIVOT TABLES'!$W$28-'PIVOT TABLES'!$W$27</f>
        <v>27.947999999999993</v>
      </c>
      <c r="X595" s="14">
        <f>200-SUM(Table3[[#This Row],[S - LIGHT]:[S - VIGOROUS]])</f>
        <v>88.208000000000013</v>
      </c>
    </row>
    <row r="596" spans="1:24" x14ac:dyDescent="0.25">
      <c r="A596" s="13" t="s">
        <v>67</v>
      </c>
      <c r="B596" s="13" t="str">
        <f t="shared" si="9"/>
        <v>Midfielder</v>
      </c>
      <c r="C596" s="7">
        <v>45324.447187500002</v>
      </c>
      <c r="D596" s="14">
        <v>6117</v>
      </c>
      <c r="E596" s="14">
        <v>15</v>
      </c>
      <c r="F596" s="14">
        <v>26</v>
      </c>
      <c r="G596" s="14">
        <v>32</v>
      </c>
      <c r="H596" s="14">
        <v>63.3</v>
      </c>
      <c r="I596" s="14">
        <f>'PIVOT TABLES'!$B$26</f>
        <v>60.283999999999999</v>
      </c>
      <c r="J596" s="14">
        <f>'PIVOT TABLES'!$B$27-'PIVOT TABLES'!$B$26</f>
        <v>30.142000000000003</v>
      </c>
      <c r="K596" s="14">
        <f>'PIVOT TABLES'!$B$28-'PIVOT TABLES'!$B$27</f>
        <v>30.141999999999996</v>
      </c>
      <c r="L596" s="14">
        <f>200-SUM(Table3[[#This Row],[D - LIGHT]:[D - VIGOROUS]])</f>
        <v>79.432000000000002</v>
      </c>
      <c r="M596" s="14">
        <f>'PIVOT TABLES'!$I$26</f>
        <v>65.603999999999999</v>
      </c>
      <c r="N596" s="14">
        <f>'PIVOT TABLES'!$I$27-'PIVOT TABLES'!$I$26</f>
        <v>32.802000000000007</v>
      </c>
      <c r="O596" s="14">
        <f>'PIVOT TABLES'!$I$28-'PIVOT TABLES'!$I$27</f>
        <v>32.801999999999992</v>
      </c>
      <c r="P596" s="14">
        <f>200-SUM(Table3[[#This Row],[M - LIGHT]:[M - VIGOROUS]])</f>
        <v>68.792000000000002</v>
      </c>
      <c r="Q596" s="14">
        <f>'PIVOT TABLES'!$P$26</f>
        <v>62.64</v>
      </c>
      <c r="R596" s="14">
        <f>'PIVOT TABLES'!$P$27-'PIVOT TABLES'!$P$26</f>
        <v>31.320000000000007</v>
      </c>
      <c r="S596" s="14">
        <f>'PIVOT TABLES'!$P$28-'PIVOT TABLES'!$P$27</f>
        <v>31.319999999999993</v>
      </c>
      <c r="T596" s="14">
        <f>200-SUM(Table3[[#This Row],[W - LIGHT]:[W - VIGOROUS]])</f>
        <v>74.72</v>
      </c>
      <c r="U596" s="14">
        <f>'PIVOT TABLES'!$W$26</f>
        <v>55.895999999999994</v>
      </c>
      <c r="V596" s="14">
        <f>'PIVOT TABLES'!$W$27-'PIVOT TABLES'!$W$26</f>
        <v>27.948</v>
      </c>
      <c r="W596" s="14">
        <f>'PIVOT TABLES'!$W$28-'PIVOT TABLES'!$W$27</f>
        <v>27.947999999999993</v>
      </c>
      <c r="X596" s="14">
        <f>200-SUM(Table3[[#This Row],[S - LIGHT]:[S - VIGOROUS]])</f>
        <v>88.208000000000013</v>
      </c>
    </row>
    <row r="597" spans="1:24" x14ac:dyDescent="0.25">
      <c r="A597" s="17" t="s">
        <v>70</v>
      </c>
      <c r="B597" s="13" t="str">
        <f t="shared" si="9"/>
        <v>Winger</v>
      </c>
      <c r="C597" s="7">
        <v>45329.433125000003</v>
      </c>
      <c r="D597" s="14">
        <v>8014</v>
      </c>
      <c r="E597" s="14">
        <v>52</v>
      </c>
      <c r="F597" s="14">
        <v>22</v>
      </c>
      <c r="G597" s="14">
        <v>22</v>
      </c>
      <c r="H597" s="14">
        <v>83.02</v>
      </c>
      <c r="I597" s="14">
        <f>'PIVOT TABLES'!$B$26</f>
        <v>60.283999999999999</v>
      </c>
      <c r="J597" s="14">
        <f>'PIVOT TABLES'!$B$27-'PIVOT TABLES'!$B$26</f>
        <v>30.142000000000003</v>
      </c>
      <c r="K597" s="14">
        <f>'PIVOT TABLES'!$B$28-'PIVOT TABLES'!$B$27</f>
        <v>30.141999999999996</v>
      </c>
      <c r="L597" s="14">
        <f>200-SUM(Table3[[#This Row],[D - LIGHT]:[D - VIGOROUS]])</f>
        <v>79.432000000000002</v>
      </c>
      <c r="M597" s="14">
        <f>'PIVOT TABLES'!$I$26</f>
        <v>65.603999999999999</v>
      </c>
      <c r="N597" s="14">
        <f>'PIVOT TABLES'!$I$27-'PIVOT TABLES'!$I$26</f>
        <v>32.802000000000007</v>
      </c>
      <c r="O597" s="14">
        <f>'PIVOT TABLES'!$I$28-'PIVOT TABLES'!$I$27</f>
        <v>32.801999999999992</v>
      </c>
      <c r="P597" s="14">
        <f>200-SUM(Table3[[#This Row],[M - LIGHT]:[M - VIGOROUS]])</f>
        <v>68.792000000000002</v>
      </c>
      <c r="Q597" s="14">
        <f>'PIVOT TABLES'!$P$26</f>
        <v>62.64</v>
      </c>
      <c r="R597" s="14">
        <f>'PIVOT TABLES'!$P$27-'PIVOT TABLES'!$P$26</f>
        <v>31.320000000000007</v>
      </c>
      <c r="S597" s="14">
        <f>'PIVOT TABLES'!$P$28-'PIVOT TABLES'!$P$27</f>
        <v>31.319999999999993</v>
      </c>
      <c r="T597" s="14">
        <f>200-SUM(Table3[[#This Row],[W - LIGHT]:[W - VIGOROUS]])</f>
        <v>74.72</v>
      </c>
      <c r="U597" s="14">
        <f>'PIVOT TABLES'!$W$26</f>
        <v>55.895999999999994</v>
      </c>
      <c r="V597" s="14">
        <f>'PIVOT TABLES'!$W$27-'PIVOT TABLES'!$W$26</f>
        <v>27.948</v>
      </c>
      <c r="W597" s="14">
        <f>'PIVOT TABLES'!$W$28-'PIVOT TABLES'!$W$27</f>
        <v>27.947999999999993</v>
      </c>
      <c r="X597" s="14">
        <f>200-SUM(Table3[[#This Row],[S - LIGHT]:[S - VIGOROUS]])</f>
        <v>88.208000000000013</v>
      </c>
    </row>
    <row r="598" spans="1:24" x14ac:dyDescent="0.25">
      <c r="A598" s="17" t="s">
        <v>53</v>
      </c>
      <c r="B598" s="13" t="str">
        <f t="shared" si="9"/>
        <v>Midfielder</v>
      </c>
      <c r="C598" s="7">
        <v>45329.433125000003</v>
      </c>
      <c r="D598" s="14">
        <v>8217</v>
      </c>
      <c r="E598" s="14">
        <v>0</v>
      </c>
      <c r="F598" s="14">
        <v>21</v>
      </c>
      <c r="G598" s="14">
        <v>25</v>
      </c>
      <c r="H598" s="14">
        <v>83.51</v>
      </c>
      <c r="I598" s="14">
        <f>'PIVOT TABLES'!$B$26</f>
        <v>60.283999999999999</v>
      </c>
      <c r="J598" s="14">
        <f>'PIVOT TABLES'!$B$27-'PIVOT TABLES'!$B$26</f>
        <v>30.142000000000003</v>
      </c>
      <c r="K598" s="14">
        <f>'PIVOT TABLES'!$B$28-'PIVOT TABLES'!$B$27</f>
        <v>30.141999999999996</v>
      </c>
      <c r="L598" s="14">
        <f>200-SUM(Table3[[#This Row],[D - LIGHT]:[D - VIGOROUS]])</f>
        <v>79.432000000000002</v>
      </c>
      <c r="M598" s="14">
        <f>'PIVOT TABLES'!$I$26</f>
        <v>65.603999999999999</v>
      </c>
      <c r="N598" s="14">
        <f>'PIVOT TABLES'!$I$27-'PIVOT TABLES'!$I$26</f>
        <v>32.802000000000007</v>
      </c>
      <c r="O598" s="14">
        <f>'PIVOT TABLES'!$I$28-'PIVOT TABLES'!$I$27</f>
        <v>32.801999999999992</v>
      </c>
      <c r="P598" s="14">
        <f>200-SUM(Table3[[#This Row],[M - LIGHT]:[M - VIGOROUS]])</f>
        <v>68.792000000000002</v>
      </c>
      <c r="Q598" s="14">
        <f>'PIVOT TABLES'!$P$26</f>
        <v>62.64</v>
      </c>
      <c r="R598" s="14">
        <f>'PIVOT TABLES'!$P$27-'PIVOT TABLES'!$P$26</f>
        <v>31.320000000000007</v>
      </c>
      <c r="S598" s="14">
        <f>'PIVOT TABLES'!$P$28-'PIVOT TABLES'!$P$27</f>
        <v>31.319999999999993</v>
      </c>
      <c r="T598" s="14">
        <f>200-SUM(Table3[[#This Row],[W - LIGHT]:[W - VIGOROUS]])</f>
        <v>74.72</v>
      </c>
      <c r="U598" s="14">
        <f>'PIVOT TABLES'!$W$26</f>
        <v>55.895999999999994</v>
      </c>
      <c r="V598" s="14">
        <f>'PIVOT TABLES'!$W$27-'PIVOT TABLES'!$W$26</f>
        <v>27.948</v>
      </c>
      <c r="W598" s="14">
        <f>'PIVOT TABLES'!$W$28-'PIVOT TABLES'!$W$27</f>
        <v>27.947999999999993</v>
      </c>
      <c r="X598" s="14">
        <f>200-SUM(Table3[[#This Row],[S - LIGHT]:[S - VIGOROUS]])</f>
        <v>88.208000000000013</v>
      </c>
    </row>
    <row r="599" spans="1:24" x14ac:dyDescent="0.25">
      <c r="A599" s="17" t="s">
        <v>54</v>
      </c>
      <c r="B599" s="13" t="str">
        <f t="shared" si="9"/>
        <v>Striker</v>
      </c>
      <c r="C599" s="7">
        <v>45329.433125000003</v>
      </c>
      <c r="D599" s="14">
        <v>7767</v>
      </c>
      <c r="E599" s="14">
        <v>15</v>
      </c>
      <c r="F599" s="14">
        <v>12</v>
      </c>
      <c r="G599" s="14">
        <v>14</v>
      </c>
      <c r="H599" s="14">
        <v>78.88</v>
      </c>
      <c r="I599" s="14">
        <f>'PIVOT TABLES'!$B$26</f>
        <v>60.283999999999999</v>
      </c>
      <c r="J599" s="14">
        <f>'PIVOT TABLES'!$B$27-'PIVOT TABLES'!$B$26</f>
        <v>30.142000000000003</v>
      </c>
      <c r="K599" s="14">
        <f>'PIVOT TABLES'!$B$28-'PIVOT TABLES'!$B$27</f>
        <v>30.141999999999996</v>
      </c>
      <c r="L599" s="14">
        <f>200-SUM(Table3[[#This Row],[D - LIGHT]:[D - VIGOROUS]])</f>
        <v>79.432000000000002</v>
      </c>
      <c r="M599" s="14">
        <f>'PIVOT TABLES'!$I$26</f>
        <v>65.603999999999999</v>
      </c>
      <c r="N599" s="14">
        <f>'PIVOT TABLES'!$I$27-'PIVOT TABLES'!$I$26</f>
        <v>32.802000000000007</v>
      </c>
      <c r="O599" s="14">
        <f>'PIVOT TABLES'!$I$28-'PIVOT TABLES'!$I$27</f>
        <v>32.801999999999992</v>
      </c>
      <c r="P599" s="14">
        <f>200-SUM(Table3[[#This Row],[M - LIGHT]:[M - VIGOROUS]])</f>
        <v>68.792000000000002</v>
      </c>
      <c r="Q599" s="14">
        <f>'PIVOT TABLES'!$P$26</f>
        <v>62.64</v>
      </c>
      <c r="R599" s="14">
        <f>'PIVOT TABLES'!$P$27-'PIVOT TABLES'!$P$26</f>
        <v>31.320000000000007</v>
      </c>
      <c r="S599" s="14">
        <f>'PIVOT TABLES'!$P$28-'PIVOT TABLES'!$P$27</f>
        <v>31.319999999999993</v>
      </c>
      <c r="T599" s="14">
        <f>200-SUM(Table3[[#This Row],[W - LIGHT]:[W - VIGOROUS]])</f>
        <v>74.72</v>
      </c>
      <c r="U599" s="14">
        <f>'PIVOT TABLES'!$W$26</f>
        <v>55.895999999999994</v>
      </c>
      <c r="V599" s="14">
        <f>'PIVOT TABLES'!$W$27-'PIVOT TABLES'!$W$26</f>
        <v>27.948</v>
      </c>
      <c r="W599" s="14">
        <f>'PIVOT TABLES'!$W$28-'PIVOT TABLES'!$W$27</f>
        <v>27.947999999999993</v>
      </c>
      <c r="X599" s="14">
        <f>200-SUM(Table3[[#This Row],[S - LIGHT]:[S - VIGOROUS]])</f>
        <v>88.208000000000013</v>
      </c>
    </row>
    <row r="600" spans="1:24" x14ac:dyDescent="0.25">
      <c r="A600" s="17" t="s">
        <v>55</v>
      </c>
      <c r="B600" s="13" t="str">
        <f t="shared" si="9"/>
        <v>Striker</v>
      </c>
      <c r="C600" s="7">
        <v>45329.433125000003</v>
      </c>
      <c r="D600" s="14">
        <v>8281</v>
      </c>
      <c r="E600" s="14">
        <v>20</v>
      </c>
      <c r="F600" s="14">
        <v>31</v>
      </c>
      <c r="G600" s="14">
        <v>21</v>
      </c>
      <c r="H600" s="14">
        <v>85.07</v>
      </c>
      <c r="I600" s="14">
        <f>'PIVOT TABLES'!$B$26</f>
        <v>60.283999999999999</v>
      </c>
      <c r="J600" s="14">
        <f>'PIVOT TABLES'!$B$27-'PIVOT TABLES'!$B$26</f>
        <v>30.142000000000003</v>
      </c>
      <c r="K600" s="14">
        <f>'PIVOT TABLES'!$B$28-'PIVOT TABLES'!$B$27</f>
        <v>30.141999999999996</v>
      </c>
      <c r="L600" s="14">
        <f>200-SUM(Table3[[#This Row],[D - LIGHT]:[D - VIGOROUS]])</f>
        <v>79.432000000000002</v>
      </c>
      <c r="M600" s="14">
        <f>'PIVOT TABLES'!$I$26</f>
        <v>65.603999999999999</v>
      </c>
      <c r="N600" s="14">
        <f>'PIVOT TABLES'!$I$27-'PIVOT TABLES'!$I$26</f>
        <v>32.802000000000007</v>
      </c>
      <c r="O600" s="14">
        <f>'PIVOT TABLES'!$I$28-'PIVOT TABLES'!$I$27</f>
        <v>32.801999999999992</v>
      </c>
      <c r="P600" s="14">
        <f>200-SUM(Table3[[#This Row],[M - LIGHT]:[M - VIGOROUS]])</f>
        <v>68.792000000000002</v>
      </c>
      <c r="Q600" s="14">
        <f>'PIVOT TABLES'!$P$26</f>
        <v>62.64</v>
      </c>
      <c r="R600" s="14">
        <f>'PIVOT TABLES'!$P$27-'PIVOT TABLES'!$P$26</f>
        <v>31.320000000000007</v>
      </c>
      <c r="S600" s="14">
        <f>'PIVOT TABLES'!$P$28-'PIVOT TABLES'!$P$27</f>
        <v>31.319999999999993</v>
      </c>
      <c r="T600" s="14">
        <f>200-SUM(Table3[[#This Row],[W - LIGHT]:[W - VIGOROUS]])</f>
        <v>74.72</v>
      </c>
      <c r="U600" s="14">
        <f>'PIVOT TABLES'!$W$26</f>
        <v>55.895999999999994</v>
      </c>
      <c r="V600" s="14">
        <f>'PIVOT TABLES'!$W$27-'PIVOT TABLES'!$W$26</f>
        <v>27.948</v>
      </c>
      <c r="W600" s="14">
        <f>'PIVOT TABLES'!$W$28-'PIVOT TABLES'!$W$27</f>
        <v>27.947999999999993</v>
      </c>
      <c r="X600" s="14">
        <f>200-SUM(Table3[[#This Row],[S - LIGHT]:[S - VIGOROUS]])</f>
        <v>88.208000000000013</v>
      </c>
    </row>
    <row r="601" spans="1:24" x14ac:dyDescent="0.25">
      <c r="A601" s="17" t="s">
        <v>1</v>
      </c>
      <c r="B601" s="13" t="str">
        <f t="shared" si="9"/>
        <v>Defender</v>
      </c>
      <c r="C601" s="7">
        <v>45329.433125000003</v>
      </c>
      <c r="D601" s="14">
        <v>6924</v>
      </c>
      <c r="E601" s="14">
        <v>0</v>
      </c>
      <c r="F601" s="14">
        <v>21</v>
      </c>
      <c r="G601" s="14">
        <v>8</v>
      </c>
      <c r="H601" s="14">
        <v>70.239999999999995</v>
      </c>
      <c r="I601" s="14">
        <f>'PIVOT TABLES'!$B$26</f>
        <v>60.283999999999999</v>
      </c>
      <c r="J601" s="14">
        <f>'PIVOT TABLES'!$B$27-'PIVOT TABLES'!$B$26</f>
        <v>30.142000000000003</v>
      </c>
      <c r="K601" s="14">
        <f>'PIVOT TABLES'!$B$28-'PIVOT TABLES'!$B$27</f>
        <v>30.141999999999996</v>
      </c>
      <c r="L601" s="14">
        <f>200-SUM(Table3[[#This Row],[D - LIGHT]:[D - VIGOROUS]])</f>
        <v>79.432000000000002</v>
      </c>
      <c r="M601" s="14">
        <f>'PIVOT TABLES'!$I$26</f>
        <v>65.603999999999999</v>
      </c>
      <c r="N601" s="14">
        <f>'PIVOT TABLES'!$I$27-'PIVOT TABLES'!$I$26</f>
        <v>32.802000000000007</v>
      </c>
      <c r="O601" s="14">
        <f>'PIVOT TABLES'!$I$28-'PIVOT TABLES'!$I$27</f>
        <v>32.801999999999992</v>
      </c>
      <c r="P601" s="14">
        <f>200-SUM(Table3[[#This Row],[M - LIGHT]:[M - VIGOROUS]])</f>
        <v>68.792000000000002</v>
      </c>
      <c r="Q601" s="14">
        <f>'PIVOT TABLES'!$P$26</f>
        <v>62.64</v>
      </c>
      <c r="R601" s="14">
        <f>'PIVOT TABLES'!$P$27-'PIVOT TABLES'!$P$26</f>
        <v>31.320000000000007</v>
      </c>
      <c r="S601" s="14">
        <f>'PIVOT TABLES'!$P$28-'PIVOT TABLES'!$P$27</f>
        <v>31.319999999999993</v>
      </c>
      <c r="T601" s="14">
        <f>200-SUM(Table3[[#This Row],[W - LIGHT]:[W - VIGOROUS]])</f>
        <v>74.72</v>
      </c>
      <c r="U601" s="14">
        <f>'PIVOT TABLES'!$W$26</f>
        <v>55.895999999999994</v>
      </c>
      <c r="V601" s="14">
        <f>'PIVOT TABLES'!$W$27-'PIVOT TABLES'!$W$26</f>
        <v>27.948</v>
      </c>
      <c r="W601" s="14">
        <f>'PIVOT TABLES'!$W$28-'PIVOT TABLES'!$W$27</f>
        <v>27.947999999999993</v>
      </c>
      <c r="X601" s="14">
        <f>200-SUM(Table3[[#This Row],[S - LIGHT]:[S - VIGOROUS]])</f>
        <v>88.208000000000013</v>
      </c>
    </row>
    <row r="602" spans="1:24" x14ac:dyDescent="0.25">
      <c r="A602" s="17" t="s">
        <v>56</v>
      </c>
      <c r="B602" s="13" t="str">
        <f t="shared" si="9"/>
        <v>Midfielder</v>
      </c>
      <c r="C602" s="7">
        <v>45329.433125000003</v>
      </c>
      <c r="D602" s="14">
        <v>8379</v>
      </c>
      <c r="E602" s="14">
        <v>7</v>
      </c>
      <c r="F602" s="14">
        <v>32</v>
      </c>
      <c r="G602" s="14">
        <v>25</v>
      </c>
      <c r="H602" s="14">
        <v>85.78</v>
      </c>
      <c r="I602" s="14">
        <f>'PIVOT TABLES'!$B$26</f>
        <v>60.283999999999999</v>
      </c>
      <c r="J602" s="14">
        <f>'PIVOT TABLES'!$B$27-'PIVOT TABLES'!$B$26</f>
        <v>30.142000000000003</v>
      </c>
      <c r="K602" s="14">
        <f>'PIVOT TABLES'!$B$28-'PIVOT TABLES'!$B$27</f>
        <v>30.141999999999996</v>
      </c>
      <c r="L602" s="14">
        <f>200-SUM(Table3[[#This Row],[D - LIGHT]:[D - VIGOROUS]])</f>
        <v>79.432000000000002</v>
      </c>
      <c r="M602" s="14">
        <f>'PIVOT TABLES'!$I$26</f>
        <v>65.603999999999999</v>
      </c>
      <c r="N602" s="14">
        <f>'PIVOT TABLES'!$I$27-'PIVOT TABLES'!$I$26</f>
        <v>32.802000000000007</v>
      </c>
      <c r="O602" s="14">
        <f>'PIVOT TABLES'!$I$28-'PIVOT TABLES'!$I$27</f>
        <v>32.801999999999992</v>
      </c>
      <c r="P602" s="14">
        <f>200-SUM(Table3[[#This Row],[M - LIGHT]:[M - VIGOROUS]])</f>
        <v>68.792000000000002</v>
      </c>
      <c r="Q602" s="14">
        <f>'PIVOT TABLES'!$P$26</f>
        <v>62.64</v>
      </c>
      <c r="R602" s="14">
        <f>'PIVOT TABLES'!$P$27-'PIVOT TABLES'!$P$26</f>
        <v>31.320000000000007</v>
      </c>
      <c r="S602" s="14">
        <f>'PIVOT TABLES'!$P$28-'PIVOT TABLES'!$P$27</f>
        <v>31.319999999999993</v>
      </c>
      <c r="T602" s="14">
        <f>200-SUM(Table3[[#This Row],[W - LIGHT]:[W - VIGOROUS]])</f>
        <v>74.72</v>
      </c>
      <c r="U602" s="14">
        <f>'PIVOT TABLES'!$W$26</f>
        <v>55.895999999999994</v>
      </c>
      <c r="V602" s="14">
        <f>'PIVOT TABLES'!$W$27-'PIVOT TABLES'!$W$26</f>
        <v>27.948</v>
      </c>
      <c r="W602" s="14">
        <f>'PIVOT TABLES'!$W$28-'PIVOT TABLES'!$W$27</f>
        <v>27.947999999999993</v>
      </c>
      <c r="X602" s="14">
        <f>200-SUM(Table3[[#This Row],[S - LIGHT]:[S - VIGOROUS]])</f>
        <v>88.208000000000013</v>
      </c>
    </row>
    <row r="603" spans="1:24" x14ac:dyDescent="0.25">
      <c r="A603" s="17" t="s">
        <v>2</v>
      </c>
      <c r="B603" s="13" t="str">
        <f t="shared" si="9"/>
        <v>Defender</v>
      </c>
      <c r="C603" s="7">
        <v>45329.433125000003</v>
      </c>
      <c r="D603" s="14">
        <v>7461</v>
      </c>
      <c r="E603" s="14">
        <v>92</v>
      </c>
      <c r="F603" s="14">
        <v>53</v>
      </c>
      <c r="G603" s="14">
        <v>36</v>
      </c>
      <c r="H603" s="14">
        <v>80.209999999999994</v>
      </c>
      <c r="I603" s="14">
        <f>'PIVOT TABLES'!$B$26</f>
        <v>60.283999999999999</v>
      </c>
      <c r="J603" s="14">
        <f>'PIVOT TABLES'!$B$27-'PIVOT TABLES'!$B$26</f>
        <v>30.142000000000003</v>
      </c>
      <c r="K603" s="14">
        <f>'PIVOT TABLES'!$B$28-'PIVOT TABLES'!$B$27</f>
        <v>30.141999999999996</v>
      </c>
      <c r="L603" s="14">
        <f>200-SUM(Table3[[#This Row],[D - LIGHT]:[D - VIGOROUS]])</f>
        <v>79.432000000000002</v>
      </c>
      <c r="M603" s="14">
        <f>'PIVOT TABLES'!$I$26</f>
        <v>65.603999999999999</v>
      </c>
      <c r="N603" s="14">
        <f>'PIVOT TABLES'!$I$27-'PIVOT TABLES'!$I$26</f>
        <v>32.802000000000007</v>
      </c>
      <c r="O603" s="14">
        <f>'PIVOT TABLES'!$I$28-'PIVOT TABLES'!$I$27</f>
        <v>32.801999999999992</v>
      </c>
      <c r="P603" s="14">
        <f>200-SUM(Table3[[#This Row],[M - LIGHT]:[M - VIGOROUS]])</f>
        <v>68.792000000000002</v>
      </c>
      <c r="Q603" s="14">
        <f>'PIVOT TABLES'!$P$26</f>
        <v>62.64</v>
      </c>
      <c r="R603" s="14">
        <f>'PIVOT TABLES'!$P$27-'PIVOT TABLES'!$P$26</f>
        <v>31.320000000000007</v>
      </c>
      <c r="S603" s="14">
        <f>'PIVOT TABLES'!$P$28-'PIVOT TABLES'!$P$27</f>
        <v>31.319999999999993</v>
      </c>
      <c r="T603" s="14">
        <f>200-SUM(Table3[[#This Row],[W - LIGHT]:[W - VIGOROUS]])</f>
        <v>74.72</v>
      </c>
      <c r="U603" s="14">
        <f>'PIVOT TABLES'!$W$26</f>
        <v>55.895999999999994</v>
      </c>
      <c r="V603" s="14">
        <f>'PIVOT TABLES'!$W$27-'PIVOT TABLES'!$W$26</f>
        <v>27.948</v>
      </c>
      <c r="W603" s="14">
        <f>'PIVOT TABLES'!$W$28-'PIVOT TABLES'!$W$27</f>
        <v>27.947999999999993</v>
      </c>
      <c r="X603" s="14">
        <f>200-SUM(Table3[[#This Row],[S - LIGHT]:[S - VIGOROUS]])</f>
        <v>88.208000000000013</v>
      </c>
    </row>
    <row r="604" spans="1:24" x14ac:dyDescent="0.25">
      <c r="A604" s="17" t="s">
        <v>58</v>
      </c>
      <c r="B604" s="13" t="str">
        <f t="shared" si="9"/>
        <v>Defender</v>
      </c>
      <c r="C604" s="7">
        <v>45329.433125000003</v>
      </c>
      <c r="D604" s="14">
        <v>7375</v>
      </c>
      <c r="E604" s="14">
        <v>48</v>
      </c>
      <c r="F604" s="14">
        <v>25</v>
      </c>
      <c r="G604" s="14">
        <v>16</v>
      </c>
      <c r="H604" s="14">
        <v>76.510000000000005</v>
      </c>
      <c r="I604" s="14">
        <f>'PIVOT TABLES'!$B$26</f>
        <v>60.283999999999999</v>
      </c>
      <c r="J604" s="14">
        <f>'PIVOT TABLES'!$B$27-'PIVOT TABLES'!$B$26</f>
        <v>30.142000000000003</v>
      </c>
      <c r="K604" s="14">
        <f>'PIVOT TABLES'!$B$28-'PIVOT TABLES'!$B$27</f>
        <v>30.141999999999996</v>
      </c>
      <c r="L604" s="14">
        <f>200-SUM(Table3[[#This Row],[D - LIGHT]:[D - VIGOROUS]])</f>
        <v>79.432000000000002</v>
      </c>
      <c r="M604" s="14">
        <f>'PIVOT TABLES'!$I$26</f>
        <v>65.603999999999999</v>
      </c>
      <c r="N604" s="14">
        <f>'PIVOT TABLES'!$I$27-'PIVOT TABLES'!$I$26</f>
        <v>32.802000000000007</v>
      </c>
      <c r="O604" s="14">
        <f>'PIVOT TABLES'!$I$28-'PIVOT TABLES'!$I$27</f>
        <v>32.801999999999992</v>
      </c>
      <c r="P604" s="14">
        <f>200-SUM(Table3[[#This Row],[M - LIGHT]:[M - VIGOROUS]])</f>
        <v>68.792000000000002</v>
      </c>
      <c r="Q604" s="14">
        <f>'PIVOT TABLES'!$P$26</f>
        <v>62.64</v>
      </c>
      <c r="R604" s="14">
        <f>'PIVOT TABLES'!$P$27-'PIVOT TABLES'!$P$26</f>
        <v>31.320000000000007</v>
      </c>
      <c r="S604" s="14">
        <f>'PIVOT TABLES'!$P$28-'PIVOT TABLES'!$P$27</f>
        <v>31.319999999999993</v>
      </c>
      <c r="T604" s="14">
        <f>200-SUM(Table3[[#This Row],[W - LIGHT]:[W - VIGOROUS]])</f>
        <v>74.72</v>
      </c>
      <c r="U604" s="14">
        <f>'PIVOT TABLES'!$W$26</f>
        <v>55.895999999999994</v>
      </c>
      <c r="V604" s="14">
        <f>'PIVOT TABLES'!$W$27-'PIVOT TABLES'!$W$26</f>
        <v>27.948</v>
      </c>
      <c r="W604" s="14">
        <f>'PIVOT TABLES'!$W$28-'PIVOT TABLES'!$W$27</f>
        <v>27.947999999999993</v>
      </c>
      <c r="X604" s="14">
        <f>200-SUM(Table3[[#This Row],[S - LIGHT]:[S - VIGOROUS]])</f>
        <v>88.208000000000013</v>
      </c>
    </row>
    <row r="605" spans="1:24" x14ac:dyDescent="0.25">
      <c r="A605" s="17" t="s">
        <v>3</v>
      </c>
      <c r="B605" s="13" t="str">
        <f t="shared" si="9"/>
        <v>Defender</v>
      </c>
      <c r="C605" s="7">
        <v>45329.433125000003</v>
      </c>
      <c r="D605" s="14">
        <v>7767</v>
      </c>
      <c r="E605" s="14">
        <v>37</v>
      </c>
      <c r="F605" s="14">
        <v>20</v>
      </c>
      <c r="G605" s="14">
        <v>31</v>
      </c>
      <c r="H605" s="14">
        <v>80.2</v>
      </c>
      <c r="I605" s="14">
        <f>'PIVOT TABLES'!$B$26</f>
        <v>60.283999999999999</v>
      </c>
      <c r="J605" s="14">
        <f>'PIVOT TABLES'!$B$27-'PIVOT TABLES'!$B$26</f>
        <v>30.142000000000003</v>
      </c>
      <c r="K605" s="14">
        <f>'PIVOT TABLES'!$B$28-'PIVOT TABLES'!$B$27</f>
        <v>30.141999999999996</v>
      </c>
      <c r="L605" s="14">
        <f>200-SUM(Table3[[#This Row],[D - LIGHT]:[D - VIGOROUS]])</f>
        <v>79.432000000000002</v>
      </c>
      <c r="M605" s="14">
        <f>'PIVOT TABLES'!$I$26</f>
        <v>65.603999999999999</v>
      </c>
      <c r="N605" s="14">
        <f>'PIVOT TABLES'!$I$27-'PIVOT TABLES'!$I$26</f>
        <v>32.802000000000007</v>
      </c>
      <c r="O605" s="14">
        <f>'PIVOT TABLES'!$I$28-'PIVOT TABLES'!$I$27</f>
        <v>32.801999999999992</v>
      </c>
      <c r="P605" s="14">
        <f>200-SUM(Table3[[#This Row],[M - LIGHT]:[M - VIGOROUS]])</f>
        <v>68.792000000000002</v>
      </c>
      <c r="Q605" s="14">
        <f>'PIVOT TABLES'!$P$26</f>
        <v>62.64</v>
      </c>
      <c r="R605" s="14">
        <f>'PIVOT TABLES'!$P$27-'PIVOT TABLES'!$P$26</f>
        <v>31.320000000000007</v>
      </c>
      <c r="S605" s="14">
        <f>'PIVOT TABLES'!$P$28-'PIVOT TABLES'!$P$27</f>
        <v>31.319999999999993</v>
      </c>
      <c r="T605" s="14">
        <f>200-SUM(Table3[[#This Row],[W - LIGHT]:[W - VIGOROUS]])</f>
        <v>74.72</v>
      </c>
      <c r="U605" s="14">
        <f>'PIVOT TABLES'!$W$26</f>
        <v>55.895999999999994</v>
      </c>
      <c r="V605" s="14">
        <f>'PIVOT TABLES'!$W$27-'PIVOT TABLES'!$W$26</f>
        <v>27.948</v>
      </c>
      <c r="W605" s="14">
        <f>'PIVOT TABLES'!$W$28-'PIVOT TABLES'!$W$27</f>
        <v>27.947999999999993</v>
      </c>
      <c r="X605" s="14">
        <f>200-SUM(Table3[[#This Row],[S - LIGHT]:[S - VIGOROUS]])</f>
        <v>88.208000000000013</v>
      </c>
    </row>
    <row r="606" spans="1:24" x14ac:dyDescent="0.25">
      <c r="A606" s="17" t="s">
        <v>59</v>
      </c>
      <c r="B606" s="13" t="str">
        <f t="shared" si="9"/>
        <v>Striker</v>
      </c>
      <c r="C606" s="7">
        <v>45329.433125000003</v>
      </c>
      <c r="D606" s="14">
        <v>8165</v>
      </c>
      <c r="E606" s="14">
        <v>14</v>
      </c>
      <c r="F606" s="14">
        <v>26</v>
      </c>
      <c r="G606" s="14">
        <v>28</v>
      </c>
      <c r="H606" s="14">
        <v>83.67</v>
      </c>
      <c r="I606" s="14">
        <f>'PIVOT TABLES'!$B$26</f>
        <v>60.283999999999999</v>
      </c>
      <c r="J606" s="14">
        <f>'PIVOT TABLES'!$B$27-'PIVOT TABLES'!$B$26</f>
        <v>30.142000000000003</v>
      </c>
      <c r="K606" s="14">
        <f>'PIVOT TABLES'!$B$28-'PIVOT TABLES'!$B$27</f>
        <v>30.141999999999996</v>
      </c>
      <c r="L606" s="14">
        <f>200-SUM(Table3[[#This Row],[D - LIGHT]:[D - VIGOROUS]])</f>
        <v>79.432000000000002</v>
      </c>
      <c r="M606" s="14">
        <f>'PIVOT TABLES'!$I$26</f>
        <v>65.603999999999999</v>
      </c>
      <c r="N606" s="14">
        <f>'PIVOT TABLES'!$I$27-'PIVOT TABLES'!$I$26</f>
        <v>32.802000000000007</v>
      </c>
      <c r="O606" s="14">
        <f>'PIVOT TABLES'!$I$28-'PIVOT TABLES'!$I$27</f>
        <v>32.801999999999992</v>
      </c>
      <c r="P606" s="14">
        <f>200-SUM(Table3[[#This Row],[M - LIGHT]:[M - VIGOROUS]])</f>
        <v>68.792000000000002</v>
      </c>
      <c r="Q606" s="14">
        <f>'PIVOT TABLES'!$P$26</f>
        <v>62.64</v>
      </c>
      <c r="R606" s="14">
        <f>'PIVOT TABLES'!$P$27-'PIVOT TABLES'!$P$26</f>
        <v>31.320000000000007</v>
      </c>
      <c r="S606" s="14">
        <f>'PIVOT TABLES'!$P$28-'PIVOT TABLES'!$P$27</f>
        <v>31.319999999999993</v>
      </c>
      <c r="T606" s="14">
        <f>200-SUM(Table3[[#This Row],[W - LIGHT]:[W - VIGOROUS]])</f>
        <v>74.72</v>
      </c>
      <c r="U606" s="14">
        <f>'PIVOT TABLES'!$W$26</f>
        <v>55.895999999999994</v>
      </c>
      <c r="V606" s="14">
        <f>'PIVOT TABLES'!$W$27-'PIVOT TABLES'!$W$26</f>
        <v>27.948</v>
      </c>
      <c r="W606" s="14">
        <f>'PIVOT TABLES'!$W$28-'PIVOT TABLES'!$W$27</f>
        <v>27.947999999999993</v>
      </c>
      <c r="X606" s="14">
        <f>200-SUM(Table3[[#This Row],[S - LIGHT]:[S - VIGOROUS]])</f>
        <v>88.208000000000013</v>
      </c>
    </row>
    <row r="607" spans="1:24" x14ac:dyDescent="0.25">
      <c r="A607" s="17" t="s">
        <v>4</v>
      </c>
      <c r="B607" s="13" t="str">
        <f t="shared" si="9"/>
        <v>Midfielder</v>
      </c>
      <c r="C607" s="7">
        <v>45329.433125000003</v>
      </c>
      <c r="D607" s="14">
        <v>7208</v>
      </c>
      <c r="E607" s="14">
        <v>25</v>
      </c>
      <c r="F607" s="14">
        <v>22</v>
      </c>
      <c r="G607" s="14">
        <v>28</v>
      </c>
      <c r="H607" s="14">
        <v>74.27</v>
      </c>
      <c r="I607" s="14">
        <f>'PIVOT TABLES'!$B$26</f>
        <v>60.283999999999999</v>
      </c>
      <c r="J607" s="14">
        <f>'PIVOT TABLES'!$B$27-'PIVOT TABLES'!$B$26</f>
        <v>30.142000000000003</v>
      </c>
      <c r="K607" s="14">
        <f>'PIVOT TABLES'!$B$28-'PIVOT TABLES'!$B$27</f>
        <v>30.141999999999996</v>
      </c>
      <c r="L607" s="14">
        <f>200-SUM(Table3[[#This Row],[D - LIGHT]:[D - VIGOROUS]])</f>
        <v>79.432000000000002</v>
      </c>
      <c r="M607" s="14">
        <f>'PIVOT TABLES'!$I$26</f>
        <v>65.603999999999999</v>
      </c>
      <c r="N607" s="14">
        <f>'PIVOT TABLES'!$I$27-'PIVOT TABLES'!$I$26</f>
        <v>32.802000000000007</v>
      </c>
      <c r="O607" s="14">
        <f>'PIVOT TABLES'!$I$28-'PIVOT TABLES'!$I$27</f>
        <v>32.801999999999992</v>
      </c>
      <c r="P607" s="14">
        <f>200-SUM(Table3[[#This Row],[M - LIGHT]:[M - VIGOROUS]])</f>
        <v>68.792000000000002</v>
      </c>
      <c r="Q607" s="14">
        <f>'PIVOT TABLES'!$P$26</f>
        <v>62.64</v>
      </c>
      <c r="R607" s="14">
        <f>'PIVOT TABLES'!$P$27-'PIVOT TABLES'!$P$26</f>
        <v>31.320000000000007</v>
      </c>
      <c r="S607" s="14">
        <f>'PIVOT TABLES'!$P$28-'PIVOT TABLES'!$P$27</f>
        <v>31.319999999999993</v>
      </c>
      <c r="T607" s="14">
        <f>200-SUM(Table3[[#This Row],[W - LIGHT]:[W - VIGOROUS]])</f>
        <v>74.72</v>
      </c>
      <c r="U607" s="14">
        <f>'PIVOT TABLES'!$W$26</f>
        <v>55.895999999999994</v>
      </c>
      <c r="V607" s="14">
        <f>'PIVOT TABLES'!$W$27-'PIVOT TABLES'!$W$26</f>
        <v>27.948</v>
      </c>
      <c r="W607" s="14">
        <f>'PIVOT TABLES'!$W$28-'PIVOT TABLES'!$W$27</f>
        <v>27.947999999999993</v>
      </c>
      <c r="X607" s="14">
        <f>200-SUM(Table3[[#This Row],[S - LIGHT]:[S - VIGOROUS]])</f>
        <v>88.208000000000013</v>
      </c>
    </row>
    <row r="608" spans="1:24" x14ac:dyDescent="0.25">
      <c r="A608" s="17" t="s">
        <v>60</v>
      </c>
      <c r="B608" s="13" t="str">
        <f t="shared" si="9"/>
        <v>Winger</v>
      </c>
      <c r="C608" s="7">
        <v>45329.433125000003</v>
      </c>
      <c r="D608" s="14">
        <v>8755</v>
      </c>
      <c r="E608" s="14">
        <v>120</v>
      </c>
      <c r="F608" s="14">
        <v>35</v>
      </c>
      <c r="G608" s="14">
        <v>24</v>
      </c>
      <c r="H608" s="14">
        <v>93.03</v>
      </c>
      <c r="I608" s="14">
        <f>'PIVOT TABLES'!$B$26</f>
        <v>60.283999999999999</v>
      </c>
      <c r="J608" s="14">
        <f>'PIVOT TABLES'!$B$27-'PIVOT TABLES'!$B$26</f>
        <v>30.142000000000003</v>
      </c>
      <c r="K608" s="14">
        <f>'PIVOT TABLES'!$B$28-'PIVOT TABLES'!$B$27</f>
        <v>30.141999999999996</v>
      </c>
      <c r="L608" s="14">
        <f>200-SUM(Table3[[#This Row],[D - LIGHT]:[D - VIGOROUS]])</f>
        <v>79.432000000000002</v>
      </c>
      <c r="M608" s="14">
        <f>'PIVOT TABLES'!$I$26</f>
        <v>65.603999999999999</v>
      </c>
      <c r="N608" s="14">
        <f>'PIVOT TABLES'!$I$27-'PIVOT TABLES'!$I$26</f>
        <v>32.802000000000007</v>
      </c>
      <c r="O608" s="14">
        <f>'PIVOT TABLES'!$I$28-'PIVOT TABLES'!$I$27</f>
        <v>32.801999999999992</v>
      </c>
      <c r="P608" s="14">
        <f>200-SUM(Table3[[#This Row],[M - LIGHT]:[M - VIGOROUS]])</f>
        <v>68.792000000000002</v>
      </c>
      <c r="Q608" s="14">
        <f>'PIVOT TABLES'!$P$26</f>
        <v>62.64</v>
      </c>
      <c r="R608" s="14">
        <f>'PIVOT TABLES'!$P$27-'PIVOT TABLES'!$P$26</f>
        <v>31.320000000000007</v>
      </c>
      <c r="S608" s="14">
        <f>'PIVOT TABLES'!$P$28-'PIVOT TABLES'!$P$27</f>
        <v>31.319999999999993</v>
      </c>
      <c r="T608" s="14">
        <f>200-SUM(Table3[[#This Row],[W - LIGHT]:[W - VIGOROUS]])</f>
        <v>74.72</v>
      </c>
      <c r="U608" s="14">
        <f>'PIVOT TABLES'!$W$26</f>
        <v>55.895999999999994</v>
      </c>
      <c r="V608" s="14">
        <f>'PIVOT TABLES'!$W$27-'PIVOT TABLES'!$W$26</f>
        <v>27.948</v>
      </c>
      <c r="W608" s="14">
        <f>'PIVOT TABLES'!$W$28-'PIVOT TABLES'!$W$27</f>
        <v>27.947999999999993</v>
      </c>
      <c r="X608" s="14">
        <f>200-SUM(Table3[[#This Row],[S - LIGHT]:[S - VIGOROUS]])</f>
        <v>88.208000000000013</v>
      </c>
    </row>
    <row r="609" spans="1:24" x14ac:dyDescent="0.25">
      <c r="A609" s="17" t="s">
        <v>71</v>
      </c>
      <c r="B609" s="13" t="str">
        <f t="shared" si="9"/>
        <v>Midfielder</v>
      </c>
      <c r="C609" s="7">
        <v>45329.433125000003</v>
      </c>
      <c r="D609" s="14">
        <v>8838</v>
      </c>
      <c r="E609" s="14">
        <v>67</v>
      </c>
      <c r="F609" s="14">
        <v>32</v>
      </c>
      <c r="G609" s="14">
        <v>24</v>
      </c>
      <c r="H609" s="14">
        <v>92.15</v>
      </c>
      <c r="I609" s="14">
        <f>'PIVOT TABLES'!$B$26</f>
        <v>60.283999999999999</v>
      </c>
      <c r="J609" s="14">
        <f>'PIVOT TABLES'!$B$27-'PIVOT TABLES'!$B$26</f>
        <v>30.142000000000003</v>
      </c>
      <c r="K609" s="14">
        <f>'PIVOT TABLES'!$B$28-'PIVOT TABLES'!$B$27</f>
        <v>30.141999999999996</v>
      </c>
      <c r="L609" s="14">
        <f>200-SUM(Table3[[#This Row],[D - LIGHT]:[D - VIGOROUS]])</f>
        <v>79.432000000000002</v>
      </c>
      <c r="M609" s="14">
        <f>'PIVOT TABLES'!$I$26</f>
        <v>65.603999999999999</v>
      </c>
      <c r="N609" s="14">
        <f>'PIVOT TABLES'!$I$27-'PIVOT TABLES'!$I$26</f>
        <v>32.802000000000007</v>
      </c>
      <c r="O609" s="14">
        <f>'PIVOT TABLES'!$I$28-'PIVOT TABLES'!$I$27</f>
        <v>32.801999999999992</v>
      </c>
      <c r="P609" s="14">
        <f>200-SUM(Table3[[#This Row],[M - LIGHT]:[M - VIGOROUS]])</f>
        <v>68.792000000000002</v>
      </c>
      <c r="Q609" s="14">
        <f>'PIVOT TABLES'!$P$26</f>
        <v>62.64</v>
      </c>
      <c r="R609" s="14">
        <f>'PIVOT TABLES'!$P$27-'PIVOT TABLES'!$P$26</f>
        <v>31.320000000000007</v>
      </c>
      <c r="S609" s="14">
        <f>'PIVOT TABLES'!$P$28-'PIVOT TABLES'!$P$27</f>
        <v>31.319999999999993</v>
      </c>
      <c r="T609" s="14">
        <f>200-SUM(Table3[[#This Row],[W - LIGHT]:[W - VIGOROUS]])</f>
        <v>74.72</v>
      </c>
      <c r="U609" s="14">
        <f>'PIVOT TABLES'!$W$26</f>
        <v>55.895999999999994</v>
      </c>
      <c r="V609" s="14">
        <f>'PIVOT TABLES'!$W$27-'PIVOT TABLES'!$W$26</f>
        <v>27.948</v>
      </c>
      <c r="W609" s="14">
        <f>'PIVOT TABLES'!$W$28-'PIVOT TABLES'!$W$27</f>
        <v>27.947999999999993</v>
      </c>
      <c r="X609" s="14">
        <f>200-SUM(Table3[[#This Row],[S - LIGHT]:[S - VIGOROUS]])</f>
        <v>88.208000000000013</v>
      </c>
    </row>
    <row r="610" spans="1:24" x14ac:dyDescent="0.25">
      <c r="A610" s="17" t="s">
        <v>6</v>
      </c>
      <c r="B610" s="13" t="str">
        <f t="shared" si="9"/>
        <v>Midfielder</v>
      </c>
      <c r="C610" s="7">
        <v>45329.433125000003</v>
      </c>
      <c r="D610" s="14">
        <v>8951</v>
      </c>
      <c r="E610" s="14">
        <v>123</v>
      </c>
      <c r="F610" s="14">
        <v>33</v>
      </c>
      <c r="G610" s="14">
        <v>30</v>
      </c>
      <c r="H610" s="14">
        <v>95.12</v>
      </c>
      <c r="I610" s="14">
        <f>'PIVOT TABLES'!$B$26</f>
        <v>60.283999999999999</v>
      </c>
      <c r="J610" s="14">
        <f>'PIVOT TABLES'!$B$27-'PIVOT TABLES'!$B$26</f>
        <v>30.142000000000003</v>
      </c>
      <c r="K610" s="14">
        <f>'PIVOT TABLES'!$B$28-'PIVOT TABLES'!$B$27</f>
        <v>30.141999999999996</v>
      </c>
      <c r="L610" s="14">
        <f>200-SUM(Table3[[#This Row],[D - LIGHT]:[D - VIGOROUS]])</f>
        <v>79.432000000000002</v>
      </c>
      <c r="M610" s="14">
        <f>'PIVOT TABLES'!$I$26</f>
        <v>65.603999999999999</v>
      </c>
      <c r="N610" s="14">
        <f>'PIVOT TABLES'!$I$27-'PIVOT TABLES'!$I$26</f>
        <v>32.802000000000007</v>
      </c>
      <c r="O610" s="14">
        <f>'PIVOT TABLES'!$I$28-'PIVOT TABLES'!$I$27</f>
        <v>32.801999999999992</v>
      </c>
      <c r="P610" s="14">
        <f>200-SUM(Table3[[#This Row],[M - LIGHT]:[M - VIGOROUS]])</f>
        <v>68.792000000000002</v>
      </c>
      <c r="Q610" s="14">
        <f>'PIVOT TABLES'!$P$26</f>
        <v>62.64</v>
      </c>
      <c r="R610" s="14">
        <f>'PIVOT TABLES'!$P$27-'PIVOT TABLES'!$P$26</f>
        <v>31.320000000000007</v>
      </c>
      <c r="S610" s="14">
        <f>'PIVOT TABLES'!$P$28-'PIVOT TABLES'!$P$27</f>
        <v>31.319999999999993</v>
      </c>
      <c r="T610" s="14">
        <f>200-SUM(Table3[[#This Row],[W - LIGHT]:[W - VIGOROUS]])</f>
        <v>74.72</v>
      </c>
      <c r="U610" s="14">
        <f>'PIVOT TABLES'!$W$26</f>
        <v>55.895999999999994</v>
      </c>
      <c r="V610" s="14">
        <f>'PIVOT TABLES'!$W$27-'PIVOT TABLES'!$W$26</f>
        <v>27.948</v>
      </c>
      <c r="W610" s="14">
        <f>'PIVOT TABLES'!$W$28-'PIVOT TABLES'!$W$27</f>
        <v>27.947999999999993</v>
      </c>
      <c r="X610" s="14">
        <f>200-SUM(Table3[[#This Row],[S - LIGHT]:[S - VIGOROUS]])</f>
        <v>88.208000000000013</v>
      </c>
    </row>
    <row r="611" spans="1:24" x14ac:dyDescent="0.25">
      <c r="A611" s="17" t="s">
        <v>62</v>
      </c>
      <c r="B611" s="13" t="str">
        <f t="shared" si="9"/>
        <v>Midfielder</v>
      </c>
      <c r="C611" s="7">
        <v>45329.433125000003</v>
      </c>
      <c r="D611" s="14">
        <v>7366</v>
      </c>
      <c r="E611" s="14">
        <v>18</v>
      </c>
      <c r="F611" s="14">
        <v>21</v>
      </c>
      <c r="G611" s="14">
        <v>11</v>
      </c>
      <c r="H611" s="14">
        <v>75.260000000000005</v>
      </c>
      <c r="I611" s="14">
        <f>'PIVOT TABLES'!$B$26</f>
        <v>60.283999999999999</v>
      </c>
      <c r="J611" s="14">
        <f>'PIVOT TABLES'!$B$27-'PIVOT TABLES'!$B$26</f>
        <v>30.142000000000003</v>
      </c>
      <c r="K611" s="14">
        <f>'PIVOT TABLES'!$B$28-'PIVOT TABLES'!$B$27</f>
        <v>30.141999999999996</v>
      </c>
      <c r="L611" s="14">
        <f>200-SUM(Table3[[#This Row],[D - LIGHT]:[D - VIGOROUS]])</f>
        <v>79.432000000000002</v>
      </c>
      <c r="M611" s="14">
        <f>'PIVOT TABLES'!$I$26</f>
        <v>65.603999999999999</v>
      </c>
      <c r="N611" s="14">
        <f>'PIVOT TABLES'!$I$27-'PIVOT TABLES'!$I$26</f>
        <v>32.802000000000007</v>
      </c>
      <c r="O611" s="14">
        <f>'PIVOT TABLES'!$I$28-'PIVOT TABLES'!$I$27</f>
        <v>32.801999999999992</v>
      </c>
      <c r="P611" s="14">
        <f>200-SUM(Table3[[#This Row],[M - LIGHT]:[M - VIGOROUS]])</f>
        <v>68.792000000000002</v>
      </c>
      <c r="Q611" s="14">
        <f>'PIVOT TABLES'!$P$26</f>
        <v>62.64</v>
      </c>
      <c r="R611" s="14">
        <f>'PIVOT TABLES'!$P$27-'PIVOT TABLES'!$P$26</f>
        <v>31.320000000000007</v>
      </c>
      <c r="S611" s="14">
        <f>'PIVOT TABLES'!$P$28-'PIVOT TABLES'!$P$27</f>
        <v>31.319999999999993</v>
      </c>
      <c r="T611" s="14">
        <f>200-SUM(Table3[[#This Row],[W - LIGHT]:[W - VIGOROUS]])</f>
        <v>74.72</v>
      </c>
      <c r="U611" s="14">
        <f>'PIVOT TABLES'!$W$26</f>
        <v>55.895999999999994</v>
      </c>
      <c r="V611" s="14">
        <f>'PIVOT TABLES'!$W$27-'PIVOT TABLES'!$W$26</f>
        <v>27.948</v>
      </c>
      <c r="W611" s="14">
        <f>'PIVOT TABLES'!$W$28-'PIVOT TABLES'!$W$27</f>
        <v>27.947999999999993</v>
      </c>
      <c r="X611" s="14">
        <f>200-SUM(Table3[[#This Row],[S - LIGHT]:[S - VIGOROUS]])</f>
        <v>88.208000000000013</v>
      </c>
    </row>
    <row r="612" spans="1:24" x14ac:dyDescent="0.25">
      <c r="A612" s="17" t="s">
        <v>63</v>
      </c>
      <c r="B612" s="13" t="str">
        <f t="shared" si="9"/>
        <v>Winger</v>
      </c>
      <c r="C612" s="7">
        <v>45329.433125000003</v>
      </c>
      <c r="D612" s="14">
        <v>8193</v>
      </c>
      <c r="E612" s="14">
        <v>80</v>
      </c>
      <c r="F612" s="14">
        <v>24</v>
      </c>
      <c r="G612" s="14">
        <v>13</v>
      </c>
      <c r="H612" s="14">
        <v>85.55</v>
      </c>
      <c r="I612" s="14">
        <f>'PIVOT TABLES'!$B$26</f>
        <v>60.283999999999999</v>
      </c>
      <c r="J612" s="14">
        <f>'PIVOT TABLES'!$B$27-'PIVOT TABLES'!$B$26</f>
        <v>30.142000000000003</v>
      </c>
      <c r="K612" s="14">
        <f>'PIVOT TABLES'!$B$28-'PIVOT TABLES'!$B$27</f>
        <v>30.141999999999996</v>
      </c>
      <c r="L612" s="14">
        <f>200-SUM(Table3[[#This Row],[D - LIGHT]:[D - VIGOROUS]])</f>
        <v>79.432000000000002</v>
      </c>
      <c r="M612" s="14">
        <f>'PIVOT TABLES'!$I$26</f>
        <v>65.603999999999999</v>
      </c>
      <c r="N612" s="14">
        <f>'PIVOT TABLES'!$I$27-'PIVOT TABLES'!$I$26</f>
        <v>32.802000000000007</v>
      </c>
      <c r="O612" s="14">
        <f>'PIVOT TABLES'!$I$28-'PIVOT TABLES'!$I$27</f>
        <v>32.801999999999992</v>
      </c>
      <c r="P612" s="14">
        <f>200-SUM(Table3[[#This Row],[M - LIGHT]:[M - VIGOROUS]])</f>
        <v>68.792000000000002</v>
      </c>
      <c r="Q612" s="14">
        <f>'PIVOT TABLES'!$P$26</f>
        <v>62.64</v>
      </c>
      <c r="R612" s="14">
        <f>'PIVOT TABLES'!$P$27-'PIVOT TABLES'!$P$26</f>
        <v>31.320000000000007</v>
      </c>
      <c r="S612" s="14">
        <f>'PIVOT TABLES'!$P$28-'PIVOT TABLES'!$P$27</f>
        <v>31.319999999999993</v>
      </c>
      <c r="T612" s="14">
        <f>200-SUM(Table3[[#This Row],[W - LIGHT]:[W - VIGOROUS]])</f>
        <v>74.72</v>
      </c>
      <c r="U612" s="14">
        <f>'PIVOT TABLES'!$W$26</f>
        <v>55.895999999999994</v>
      </c>
      <c r="V612" s="14">
        <f>'PIVOT TABLES'!$W$27-'PIVOT TABLES'!$W$26</f>
        <v>27.948</v>
      </c>
      <c r="W612" s="14">
        <f>'PIVOT TABLES'!$W$28-'PIVOT TABLES'!$W$27</f>
        <v>27.947999999999993</v>
      </c>
      <c r="X612" s="14">
        <f>200-SUM(Table3[[#This Row],[S - LIGHT]:[S - VIGOROUS]])</f>
        <v>88.208000000000013</v>
      </c>
    </row>
    <row r="613" spans="1:24" x14ac:dyDescent="0.25">
      <c r="A613" s="17" t="s">
        <v>64</v>
      </c>
      <c r="B613" s="13" t="str">
        <f t="shared" si="9"/>
        <v>Midfielder</v>
      </c>
      <c r="C613" s="7">
        <v>45329.433125000003</v>
      </c>
      <c r="D613" s="14">
        <v>9292</v>
      </c>
      <c r="E613" s="14">
        <v>6</v>
      </c>
      <c r="F613" s="14">
        <v>38</v>
      </c>
      <c r="G613" s="14">
        <v>36</v>
      </c>
      <c r="H613" s="14">
        <v>95.34</v>
      </c>
      <c r="I613" s="14">
        <f>'PIVOT TABLES'!$B$26</f>
        <v>60.283999999999999</v>
      </c>
      <c r="J613" s="14">
        <f>'PIVOT TABLES'!$B$27-'PIVOT TABLES'!$B$26</f>
        <v>30.142000000000003</v>
      </c>
      <c r="K613" s="14">
        <f>'PIVOT TABLES'!$B$28-'PIVOT TABLES'!$B$27</f>
        <v>30.141999999999996</v>
      </c>
      <c r="L613" s="14">
        <f>200-SUM(Table3[[#This Row],[D - LIGHT]:[D - VIGOROUS]])</f>
        <v>79.432000000000002</v>
      </c>
      <c r="M613" s="14">
        <f>'PIVOT TABLES'!$I$26</f>
        <v>65.603999999999999</v>
      </c>
      <c r="N613" s="14">
        <f>'PIVOT TABLES'!$I$27-'PIVOT TABLES'!$I$26</f>
        <v>32.802000000000007</v>
      </c>
      <c r="O613" s="14">
        <f>'PIVOT TABLES'!$I$28-'PIVOT TABLES'!$I$27</f>
        <v>32.801999999999992</v>
      </c>
      <c r="P613" s="14">
        <f>200-SUM(Table3[[#This Row],[M - LIGHT]:[M - VIGOROUS]])</f>
        <v>68.792000000000002</v>
      </c>
      <c r="Q613" s="14">
        <f>'PIVOT TABLES'!$P$26</f>
        <v>62.64</v>
      </c>
      <c r="R613" s="14">
        <f>'PIVOT TABLES'!$P$27-'PIVOT TABLES'!$P$26</f>
        <v>31.320000000000007</v>
      </c>
      <c r="S613" s="14">
        <f>'PIVOT TABLES'!$P$28-'PIVOT TABLES'!$P$27</f>
        <v>31.319999999999993</v>
      </c>
      <c r="T613" s="14">
        <f>200-SUM(Table3[[#This Row],[W - LIGHT]:[W - VIGOROUS]])</f>
        <v>74.72</v>
      </c>
      <c r="U613" s="14">
        <f>'PIVOT TABLES'!$W$26</f>
        <v>55.895999999999994</v>
      </c>
      <c r="V613" s="14">
        <f>'PIVOT TABLES'!$W$27-'PIVOT TABLES'!$W$26</f>
        <v>27.948</v>
      </c>
      <c r="W613" s="14">
        <f>'PIVOT TABLES'!$W$28-'PIVOT TABLES'!$W$27</f>
        <v>27.947999999999993</v>
      </c>
      <c r="X613" s="14">
        <f>200-SUM(Table3[[#This Row],[S - LIGHT]:[S - VIGOROUS]])</f>
        <v>88.208000000000013</v>
      </c>
    </row>
    <row r="614" spans="1:24" x14ac:dyDescent="0.25">
      <c r="A614" s="17" t="s">
        <v>65</v>
      </c>
      <c r="B614" s="13" t="str">
        <f t="shared" si="9"/>
        <v>Winger</v>
      </c>
      <c r="C614" s="7">
        <v>45329.433125000003</v>
      </c>
      <c r="D614" s="14">
        <v>7563</v>
      </c>
      <c r="E614" s="14">
        <v>66</v>
      </c>
      <c r="F614" s="14">
        <v>32</v>
      </c>
      <c r="G614" s="14">
        <v>27</v>
      </c>
      <c r="H614" s="14">
        <v>79.430000000000007</v>
      </c>
      <c r="I614" s="14">
        <f>'PIVOT TABLES'!$B$26</f>
        <v>60.283999999999999</v>
      </c>
      <c r="J614" s="14">
        <f>'PIVOT TABLES'!$B$27-'PIVOT TABLES'!$B$26</f>
        <v>30.142000000000003</v>
      </c>
      <c r="K614" s="14">
        <f>'PIVOT TABLES'!$B$28-'PIVOT TABLES'!$B$27</f>
        <v>30.141999999999996</v>
      </c>
      <c r="L614" s="14">
        <f>200-SUM(Table3[[#This Row],[D - LIGHT]:[D - VIGOROUS]])</f>
        <v>79.432000000000002</v>
      </c>
      <c r="M614" s="14">
        <f>'PIVOT TABLES'!$I$26</f>
        <v>65.603999999999999</v>
      </c>
      <c r="N614" s="14">
        <f>'PIVOT TABLES'!$I$27-'PIVOT TABLES'!$I$26</f>
        <v>32.802000000000007</v>
      </c>
      <c r="O614" s="14">
        <f>'PIVOT TABLES'!$I$28-'PIVOT TABLES'!$I$27</f>
        <v>32.801999999999992</v>
      </c>
      <c r="P614" s="14">
        <f>200-SUM(Table3[[#This Row],[M - LIGHT]:[M - VIGOROUS]])</f>
        <v>68.792000000000002</v>
      </c>
      <c r="Q614" s="14">
        <f>'PIVOT TABLES'!$P$26</f>
        <v>62.64</v>
      </c>
      <c r="R614" s="14">
        <f>'PIVOT TABLES'!$P$27-'PIVOT TABLES'!$P$26</f>
        <v>31.320000000000007</v>
      </c>
      <c r="S614" s="14">
        <f>'PIVOT TABLES'!$P$28-'PIVOT TABLES'!$P$27</f>
        <v>31.319999999999993</v>
      </c>
      <c r="T614" s="14">
        <f>200-SUM(Table3[[#This Row],[W - LIGHT]:[W - VIGOROUS]])</f>
        <v>74.72</v>
      </c>
      <c r="U614" s="14">
        <f>'PIVOT TABLES'!$W$26</f>
        <v>55.895999999999994</v>
      </c>
      <c r="V614" s="14">
        <f>'PIVOT TABLES'!$W$27-'PIVOT TABLES'!$W$26</f>
        <v>27.948</v>
      </c>
      <c r="W614" s="14">
        <f>'PIVOT TABLES'!$W$28-'PIVOT TABLES'!$W$27</f>
        <v>27.947999999999993</v>
      </c>
      <c r="X614" s="14">
        <f>200-SUM(Table3[[#This Row],[S - LIGHT]:[S - VIGOROUS]])</f>
        <v>88.208000000000013</v>
      </c>
    </row>
    <row r="615" spans="1:24" x14ac:dyDescent="0.25">
      <c r="A615" s="17" t="s">
        <v>66</v>
      </c>
      <c r="B615" s="13" t="str">
        <f t="shared" si="9"/>
        <v>Striker</v>
      </c>
      <c r="C615" s="7">
        <v>45329.433125000003</v>
      </c>
      <c r="D615" s="14">
        <v>8179</v>
      </c>
      <c r="E615" s="14">
        <v>71</v>
      </c>
      <c r="F615" s="14">
        <v>37</v>
      </c>
      <c r="G615" s="14">
        <v>25</v>
      </c>
      <c r="H615" s="14">
        <v>85.9</v>
      </c>
      <c r="I615" s="14">
        <f>'PIVOT TABLES'!$B$26</f>
        <v>60.283999999999999</v>
      </c>
      <c r="J615" s="14">
        <f>'PIVOT TABLES'!$B$27-'PIVOT TABLES'!$B$26</f>
        <v>30.142000000000003</v>
      </c>
      <c r="K615" s="14">
        <f>'PIVOT TABLES'!$B$28-'PIVOT TABLES'!$B$27</f>
        <v>30.141999999999996</v>
      </c>
      <c r="L615" s="14">
        <f>200-SUM(Table3[[#This Row],[D - LIGHT]:[D - VIGOROUS]])</f>
        <v>79.432000000000002</v>
      </c>
      <c r="M615" s="14">
        <f>'PIVOT TABLES'!$I$26</f>
        <v>65.603999999999999</v>
      </c>
      <c r="N615" s="14">
        <f>'PIVOT TABLES'!$I$27-'PIVOT TABLES'!$I$26</f>
        <v>32.802000000000007</v>
      </c>
      <c r="O615" s="14">
        <f>'PIVOT TABLES'!$I$28-'PIVOT TABLES'!$I$27</f>
        <v>32.801999999999992</v>
      </c>
      <c r="P615" s="14">
        <f>200-SUM(Table3[[#This Row],[M - LIGHT]:[M - VIGOROUS]])</f>
        <v>68.792000000000002</v>
      </c>
      <c r="Q615" s="14">
        <f>'PIVOT TABLES'!$P$26</f>
        <v>62.64</v>
      </c>
      <c r="R615" s="14">
        <f>'PIVOT TABLES'!$P$27-'PIVOT TABLES'!$P$26</f>
        <v>31.320000000000007</v>
      </c>
      <c r="S615" s="14">
        <f>'PIVOT TABLES'!$P$28-'PIVOT TABLES'!$P$27</f>
        <v>31.319999999999993</v>
      </c>
      <c r="T615" s="14">
        <f>200-SUM(Table3[[#This Row],[W - LIGHT]:[W - VIGOROUS]])</f>
        <v>74.72</v>
      </c>
      <c r="U615" s="14">
        <f>'PIVOT TABLES'!$W$26</f>
        <v>55.895999999999994</v>
      </c>
      <c r="V615" s="14">
        <f>'PIVOT TABLES'!$W$27-'PIVOT TABLES'!$W$26</f>
        <v>27.948</v>
      </c>
      <c r="W615" s="14">
        <f>'PIVOT TABLES'!$W$28-'PIVOT TABLES'!$W$27</f>
        <v>27.947999999999993</v>
      </c>
      <c r="X615" s="14">
        <f>200-SUM(Table3[[#This Row],[S - LIGHT]:[S - VIGOROUS]])</f>
        <v>88.208000000000013</v>
      </c>
    </row>
    <row r="616" spans="1:24" x14ac:dyDescent="0.25">
      <c r="A616" s="17" t="s">
        <v>78</v>
      </c>
      <c r="B616" s="13" t="str">
        <f t="shared" si="9"/>
        <v>Defender</v>
      </c>
      <c r="C616" s="7">
        <v>45329.433125000003</v>
      </c>
      <c r="D616" s="14">
        <v>8368</v>
      </c>
      <c r="E616" s="14">
        <v>72</v>
      </c>
      <c r="F616" s="14">
        <v>24</v>
      </c>
      <c r="G616" s="14">
        <v>21</v>
      </c>
      <c r="H616" s="14">
        <v>87.22</v>
      </c>
      <c r="I616" s="14">
        <f>'PIVOT TABLES'!$B$26</f>
        <v>60.283999999999999</v>
      </c>
      <c r="J616" s="14">
        <f>'PIVOT TABLES'!$B$27-'PIVOT TABLES'!$B$26</f>
        <v>30.142000000000003</v>
      </c>
      <c r="K616" s="14">
        <f>'PIVOT TABLES'!$B$28-'PIVOT TABLES'!$B$27</f>
        <v>30.141999999999996</v>
      </c>
      <c r="L616" s="14">
        <f>200-SUM(Table3[[#This Row],[D - LIGHT]:[D - VIGOROUS]])</f>
        <v>79.432000000000002</v>
      </c>
      <c r="M616" s="14">
        <f>'PIVOT TABLES'!$I$26</f>
        <v>65.603999999999999</v>
      </c>
      <c r="N616" s="14">
        <f>'PIVOT TABLES'!$I$27-'PIVOT TABLES'!$I$26</f>
        <v>32.802000000000007</v>
      </c>
      <c r="O616" s="14">
        <f>'PIVOT TABLES'!$I$28-'PIVOT TABLES'!$I$27</f>
        <v>32.801999999999992</v>
      </c>
      <c r="P616" s="14">
        <f>200-SUM(Table3[[#This Row],[M - LIGHT]:[M - VIGOROUS]])</f>
        <v>68.792000000000002</v>
      </c>
      <c r="Q616" s="14">
        <f>'PIVOT TABLES'!$P$26</f>
        <v>62.64</v>
      </c>
      <c r="R616" s="14">
        <f>'PIVOT TABLES'!$P$27-'PIVOT TABLES'!$P$26</f>
        <v>31.320000000000007</v>
      </c>
      <c r="S616" s="14">
        <f>'PIVOT TABLES'!$P$28-'PIVOT TABLES'!$P$27</f>
        <v>31.319999999999993</v>
      </c>
      <c r="T616" s="14">
        <f>200-SUM(Table3[[#This Row],[W - LIGHT]:[W - VIGOROUS]])</f>
        <v>74.72</v>
      </c>
      <c r="U616" s="14">
        <f>'PIVOT TABLES'!$W$26</f>
        <v>55.895999999999994</v>
      </c>
      <c r="V616" s="14">
        <f>'PIVOT TABLES'!$W$27-'PIVOT TABLES'!$W$26</f>
        <v>27.948</v>
      </c>
      <c r="W616" s="14">
        <f>'PIVOT TABLES'!$W$28-'PIVOT TABLES'!$W$27</f>
        <v>27.947999999999993</v>
      </c>
      <c r="X616" s="14">
        <f>200-SUM(Table3[[#This Row],[S - LIGHT]:[S - VIGOROUS]])</f>
        <v>88.208000000000013</v>
      </c>
    </row>
    <row r="617" spans="1:24" x14ac:dyDescent="0.25">
      <c r="A617" s="17" t="s">
        <v>7</v>
      </c>
      <c r="B617" s="13" t="str">
        <f t="shared" si="9"/>
        <v>Winger</v>
      </c>
      <c r="C617" s="7">
        <v>45329.433125000003</v>
      </c>
      <c r="D617" s="14">
        <v>9198</v>
      </c>
      <c r="E617" s="14">
        <v>53</v>
      </c>
      <c r="F617" s="14">
        <v>31</v>
      </c>
      <c r="G617" s="14">
        <v>26</v>
      </c>
      <c r="H617" s="14">
        <v>95.33</v>
      </c>
      <c r="I617" s="14">
        <f>'PIVOT TABLES'!$B$26</f>
        <v>60.283999999999999</v>
      </c>
      <c r="J617" s="14">
        <f>'PIVOT TABLES'!$B$27-'PIVOT TABLES'!$B$26</f>
        <v>30.142000000000003</v>
      </c>
      <c r="K617" s="14">
        <f>'PIVOT TABLES'!$B$28-'PIVOT TABLES'!$B$27</f>
        <v>30.141999999999996</v>
      </c>
      <c r="L617" s="14">
        <f>200-SUM(Table3[[#This Row],[D - LIGHT]:[D - VIGOROUS]])</f>
        <v>79.432000000000002</v>
      </c>
      <c r="M617" s="14">
        <f>'PIVOT TABLES'!$I$26</f>
        <v>65.603999999999999</v>
      </c>
      <c r="N617" s="14">
        <f>'PIVOT TABLES'!$I$27-'PIVOT TABLES'!$I$26</f>
        <v>32.802000000000007</v>
      </c>
      <c r="O617" s="14">
        <f>'PIVOT TABLES'!$I$28-'PIVOT TABLES'!$I$27</f>
        <v>32.801999999999992</v>
      </c>
      <c r="P617" s="14">
        <f>200-SUM(Table3[[#This Row],[M - LIGHT]:[M - VIGOROUS]])</f>
        <v>68.792000000000002</v>
      </c>
      <c r="Q617" s="14">
        <f>'PIVOT TABLES'!$P$26</f>
        <v>62.64</v>
      </c>
      <c r="R617" s="14">
        <f>'PIVOT TABLES'!$P$27-'PIVOT TABLES'!$P$26</f>
        <v>31.320000000000007</v>
      </c>
      <c r="S617" s="14">
        <f>'PIVOT TABLES'!$P$28-'PIVOT TABLES'!$P$27</f>
        <v>31.319999999999993</v>
      </c>
      <c r="T617" s="14">
        <f>200-SUM(Table3[[#This Row],[W - LIGHT]:[W - VIGOROUS]])</f>
        <v>74.72</v>
      </c>
      <c r="U617" s="14">
        <f>'PIVOT TABLES'!$W$26</f>
        <v>55.895999999999994</v>
      </c>
      <c r="V617" s="14">
        <f>'PIVOT TABLES'!$W$27-'PIVOT TABLES'!$W$26</f>
        <v>27.948</v>
      </c>
      <c r="W617" s="14">
        <f>'PIVOT TABLES'!$W$28-'PIVOT TABLES'!$W$27</f>
        <v>27.947999999999993</v>
      </c>
      <c r="X617" s="14">
        <f>200-SUM(Table3[[#This Row],[S - LIGHT]:[S - VIGOROUS]])</f>
        <v>88.208000000000013</v>
      </c>
    </row>
    <row r="618" spans="1:24" x14ac:dyDescent="0.25">
      <c r="A618" s="17" t="s">
        <v>95</v>
      </c>
      <c r="B618" s="13" t="str">
        <f t="shared" si="9"/>
        <v>Winger</v>
      </c>
      <c r="C618" s="7">
        <v>45329.433125000003</v>
      </c>
      <c r="D618" s="14">
        <v>7291</v>
      </c>
      <c r="E618" s="14">
        <v>107</v>
      </c>
      <c r="F618" s="14">
        <v>23</v>
      </c>
      <c r="G618" s="14">
        <v>18</v>
      </c>
      <c r="H618" s="14">
        <v>77.400000000000006</v>
      </c>
      <c r="I618" s="14">
        <f>'PIVOT TABLES'!$B$26</f>
        <v>60.283999999999999</v>
      </c>
      <c r="J618" s="14">
        <f>'PIVOT TABLES'!$B$27-'PIVOT TABLES'!$B$26</f>
        <v>30.142000000000003</v>
      </c>
      <c r="K618" s="14">
        <f>'PIVOT TABLES'!$B$28-'PIVOT TABLES'!$B$27</f>
        <v>30.141999999999996</v>
      </c>
      <c r="L618" s="14">
        <f>200-SUM(Table3[[#This Row],[D - LIGHT]:[D - VIGOROUS]])</f>
        <v>79.432000000000002</v>
      </c>
      <c r="M618" s="14">
        <f>'PIVOT TABLES'!$I$26</f>
        <v>65.603999999999999</v>
      </c>
      <c r="N618" s="14">
        <f>'PIVOT TABLES'!$I$27-'PIVOT TABLES'!$I$26</f>
        <v>32.802000000000007</v>
      </c>
      <c r="O618" s="14">
        <f>'PIVOT TABLES'!$I$28-'PIVOT TABLES'!$I$27</f>
        <v>32.801999999999992</v>
      </c>
      <c r="P618" s="14">
        <f>200-SUM(Table3[[#This Row],[M - LIGHT]:[M - VIGOROUS]])</f>
        <v>68.792000000000002</v>
      </c>
      <c r="Q618" s="14">
        <f>'PIVOT TABLES'!$P$26</f>
        <v>62.64</v>
      </c>
      <c r="R618" s="14">
        <f>'PIVOT TABLES'!$P$27-'PIVOT TABLES'!$P$26</f>
        <v>31.320000000000007</v>
      </c>
      <c r="S618" s="14">
        <f>'PIVOT TABLES'!$P$28-'PIVOT TABLES'!$P$27</f>
        <v>31.319999999999993</v>
      </c>
      <c r="T618" s="14">
        <f>200-SUM(Table3[[#This Row],[W - LIGHT]:[W - VIGOROUS]])</f>
        <v>74.72</v>
      </c>
      <c r="U618" s="14">
        <f>'PIVOT TABLES'!$W$26</f>
        <v>55.895999999999994</v>
      </c>
      <c r="V618" s="14">
        <f>'PIVOT TABLES'!$W$27-'PIVOT TABLES'!$W$26</f>
        <v>27.948</v>
      </c>
      <c r="W618" s="14">
        <f>'PIVOT TABLES'!$W$28-'PIVOT TABLES'!$W$27</f>
        <v>27.947999999999993</v>
      </c>
      <c r="X618" s="14">
        <f>200-SUM(Table3[[#This Row],[S - LIGHT]:[S - VIGOROUS]])</f>
        <v>88.208000000000013</v>
      </c>
    </row>
    <row r="619" spans="1:24" x14ac:dyDescent="0.25">
      <c r="A619" s="17" t="s">
        <v>96</v>
      </c>
      <c r="B619" s="13" t="str">
        <f t="shared" si="9"/>
        <v>Winger</v>
      </c>
      <c r="C619" s="7">
        <v>45329.433125000003</v>
      </c>
      <c r="D619" s="14">
        <v>6957</v>
      </c>
      <c r="E619" s="14">
        <v>34</v>
      </c>
      <c r="F619" s="14">
        <v>25</v>
      </c>
      <c r="G619" s="14">
        <v>13</v>
      </c>
      <c r="H619" s="14">
        <v>71.849999999999994</v>
      </c>
      <c r="I619" s="14">
        <f>'PIVOT TABLES'!$B$26</f>
        <v>60.283999999999999</v>
      </c>
      <c r="J619" s="14">
        <f>'PIVOT TABLES'!$B$27-'PIVOT TABLES'!$B$26</f>
        <v>30.142000000000003</v>
      </c>
      <c r="K619" s="14">
        <f>'PIVOT TABLES'!$B$28-'PIVOT TABLES'!$B$27</f>
        <v>30.141999999999996</v>
      </c>
      <c r="L619" s="14">
        <f>200-SUM(Table3[[#This Row],[D - LIGHT]:[D - VIGOROUS]])</f>
        <v>79.432000000000002</v>
      </c>
      <c r="M619" s="14">
        <f>'PIVOT TABLES'!$I$26</f>
        <v>65.603999999999999</v>
      </c>
      <c r="N619" s="14">
        <f>'PIVOT TABLES'!$I$27-'PIVOT TABLES'!$I$26</f>
        <v>32.802000000000007</v>
      </c>
      <c r="O619" s="14">
        <f>'PIVOT TABLES'!$I$28-'PIVOT TABLES'!$I$27</f>
        <v>32.801999999999992</v>
      </c>
      <c r="P619" s="14">
        <f>200-SUM(Table3[[#This Row],[M - LIGHT]:[M - VIGOROUS]])</f>
        <v>68.792000000000002</v>
      </c>
      <c r="Q619" s="14">
        <f>'PIVOT TABLES'!$P$26</f>
        <v>62.64</v>
      </c>
      <c r="R619" s="14">
        <f>'PIVOT TABLES'!$P$27-'PIVOT TABLES'!$P$26</f>
        <v>31.320000000000007</v>
      </c>
      <c r="S619" s="14">
        <f>'PIVOT TABLES'!$P$28-'PIVOT TABLES'!$P$27</f>
        <v>31.319999999999993</v>
      </c>
      <c r="T619" s="14">
        <f>200-SUM(Table3[[#This Row],[W - LIGHT]:[W - VIGOROUS]])</f>
        <v>74.72</v>
      </c>
      <c r="U619" s="14">
        <f>'PIVOT TABLES'!$W$26</f>
        <v>55.895999999999994</v>
      </c>
      <c r="V619" s="14">
        <f>'PIVOT TABLES'!$W$27-'PIVOT TABLES'!$W$26</f>
        <v>27.948</v>
      </c>
      <c r="W619" s="14">
        <f>'PIVOT TABLES'!$W$28-'PIVOT TABLES'!$W$27</f>
        <v>27.947999999999993</v>
      </c>
      <c r="X619" s="14">
        <f>200-SUM(Table3[[#This Row],[S - LIGHT]:[S - VIGOROUS]])</f>
        <v>88.208000000000013</v>
      </c>
    </row>
    <row r="620" spans="1:24" x14ac:dyDescent="0.25">
      <c r="A620" s="17" t="s">
        <v>67</v>
      </c>
      <c r="B620" s="13" t="str">
        <f t="shared" si="9"/>
        <v>Midfielder</v>
      </c>
      <c r="C620" s="7">
        <v>45329.433125000003</v>
      </c>
      <c r="D620" s="14">
        <v>8177</v>
      </c>
      <c r="E620" s="14">
        <v>22</v>
      </c>
      <c r="F620" s="14">
        <v>33</v>
      </c>
      <c r="G620" s="14">
        <v>25</v>
      </c>
      <c r="H620" s="14">
        <v>84.25</v>
      </c>
      <c r="I620" s="14">
        <f>'PIVOT TABLES'!$B$26</f>
        <v>60.283999999999999</v>
      </c>
      <c r="J620" s="14">
        <f>'PIVOT TABLES'!$B$27-'PIVOT TABLES'!$B$26</f>
        <v>30.142000000000003</v>
      </c>
      <c r="K620" s="14">
        <f>'PIVOT TABLES'!$B$28-'PIVOT TABLES'!$B$27</f>
        <v>30.141999999999996</v>
      </c>
      <c r="L620" s="14">
        <f>200-SUM(Table3[[#This Row],[D - LIGHT]:[D - VIGOROUS]])</f>
        <v>79.432000000000002</v>
      </c>
      <c r="M620" s="14">
        <f>'PIVOT TABLES'!$I$26</f>
        <v>65.603999999999999</v>
      </c>
      <c r="N620" s="14">
        <f>'PIVOT TABLES'!$I$27-'PIVOT TABLES'!$I$26</f>
        <v>32.802000000000007</v>
      </c>
      <c r="O620" s="14">
        <f>'PIVOT TABLES'!$I$28-'PIVOT TABLES'!$I$27</f>
        <v>32.801999999999992</v>
      </c>
      <c r="P620" s="14">
        <f>200-SUM(Table3[[#This Row],[M - LIGHT]:[M - VIGOROUS]])</f>
        <v>68.792000000000002</v>
      </c>
      <c r="Q620" s="14">
        <f>'PIVOT TABLES'!$P$26</f>
        <v>62.64</v>
      </c>
      <c r="R620" s="14">
        <f>'PIVOT TABLES'!$P$27-'PIVOT TABLES'!$P$26</f>
        <v>31.320000000000007</v>
      </c>
      <c r="S620" s="14">
        <f>'PIVOT TABLES'!$P$28-'PIVOT TABLES'!$P$27</f>
        <v>31.319999999999993</v>
      </c>
      <c r="T620" s="14">
        <f>200-SUM(Table3[[#This Row],[W - LIGHT]:[W - VIGOROUS]])</f>
        <v>74.72</v>
      </c>
      <c r="U620" s="14">
        <f>'PIVOT TABLES'!$W$26</f>
        <v>55.895999999999994</v>
      </c>
      <c r="V620" s="14">
        <f>'PIVOT TABLES'!$W$27-'PIVOT TABLES'!$W$26</f>
        <v>27.948</v>
      </c>
      <c r="W620" s="14">
        <f>'PIVOT TABLES'!$W$28-'PIVOT TABLES'!$W$27</f>
        <v>27.947999999999993</v>
      </c>
      <c r="X620" s="14">
        <f>200-SUM(Table3[[#This Row],[S - LIGHT]:[S - VIGOROUS]])</f>
        <v>88.208000000000013</v>
      </c>
    </row>
    <row r="621" spans="1:24" x14ac:dyDescent="0.25">
      <c r="A621" s="17" t="s">
        <v>69</v>
      </c>
      <c r="B621" s="13" t="str">
        <f t="shared" si="9"/>
        <v>Midfielder</v>
      </c>
      <c r="C621" s="7">
        <v>45329.433125000003</v>
      </c>
      <c r="D621" s="14">
        <v>8620</v>
      </c>
      <c r="E621" s="14">
        <v>117</v>
      </c>
      <c r="F621" s="14">
        <v>38</v>
      </c>
      <c r="G621" s="14">
        <v>36</v>
      </c>
      <c r="H621" s="14">
        <v>91.95</v>
      </c>
      <c r="I621" s="14">
        <f>'PIVOT TABLES'!$B$26</f>
        <v>60.283999999999999</v>
      </c>
      <c r="J621" s="14">
        <f>'PIVOT TABLES'!$B$27-'PIVOT TABLES'!$B$26</f>
        <v>30.142000000000003</v>
      </c>
      <c r="K621" s="14">
        <f>'PIVOT TABLES'!$B$28-'PIVOT TABLES'!$B$27</f>
        <v>30.141999999999996</v>
      </c>
      <c r="L621" s="14">
        <f>200-SUM(Table3[[#This Row],[D - LIGHT]:[D - VIGOROUS]])</f>
        <v>79.432000000000002</v>
      </c>
      <c r="M621" s="14">
        <f>'PIVOT TABLES'!$I$26</f>
        <v>65.603999999999999</v>
      </c>
      <c r="N621" s="14">
        <f>'PIVOT TABLES'!$I$27-'PIVOT TABLES'!$I$26</f>
        <v>32.802000000000007</v>
      </c>
      <c r="O621" s="14">
        <f>'PIVOT TABLES'!$I$28-'PIVOT TABLES'!$I$27</f>
        <v>32.801999999999992</v>
      </c>
      <c r="P621" s="14">
        <f>200-SUM(Table3[[#This Row],[M - LIGHT]:[M - VIGOROUS]])</f>
        <v>68.792000000000002</v>
      </c>
      <c r="Q621" s="14">
        <f>'PIVOT TABLES'!$P$26</f>
        <v>62.64</v>
      </c>
      <c r="R621" s="14">
        <f>'PIVOT TABLES'!$P$27-'PIVOT TABLES'!$P$26</f>
        <v>31.320000000000007</v>
      </c>
      <c r="S621" s="14">
        <f>'PIVOT TABLES'!$P$28-'PIVOT TABLES'!$P$27</f>
        <v>31.319999999999993</v>
      </c>
      <c r="T621" s="14">
        <f>200-SUM(Table3[[#This Row],[W - LIGHT]:[W - VIGOROUS]])</f>
        <v>74.72</v>
      </c>
      <c r="U621" s="14">
        <f>'PIVOT TABLES'!$W$26</f>
        <v>55.895999999999994</v>
      </c>
      <c r="V621" s="14">
        <f>'PIVOT TABLES'!$W$27-'PIVOT TABLES'!$W$26</f>
        <v>27.948</v>
      </c>
      <c r="W621" s="14">
        <f>'PIVOT TABLES'!$W$28-'PIVOT TABLES'!$W$27</f>
        <v>27.947999999999993</v>
      </c>
      <c r="X621" s="14">
        <f>200-SUM(Table3[[#This Row],[S - LIGHT]:[S - VIGOROUS]])</f>
        <v>88.208000000000013</v>
      </c>
    </row>
    <row r="622" spans="1:24" x14ac:dyDescent="0.25">
      <c r="A622" s="17" t="s">
        <v>70</v>
      </c>
      <c r="B622" s="13" t="str">
        <f t="shared" si="9"/>
        <v>Winger</v>
      </c>
      <c r="C622" s="7">
        <v>45337.422453703701</v>
      </c>
      <c r="D622" s="14">
        <v>2993</v>
      </c>
      <c r="E622" s="14">
        <v>0</v>
      </c>
      <c r="F622" s="14">
        <v>7</v>
      </c>
      <c r="G622" s="14">
        <v>2</v>
      </c>
      <c r="H622" s="14">
        <v>30.25</v>
      </c>
      <c r="I622" s="14">
        <f>'PIVOT TABLES'!$B$26</f>
        <v>60.283999999999999</v>
      </c>
      <c r="J622" s="14">
        <f>'PIVOT TABLES'!$B$27-'PIVOT TABLES'!$B$26</f>
        <v>30.142000000000003</v>
      </c>
      <c r="K622" s="14">
        <f>'PIVOT TABLES'!$B$28-'PIVOT TABLES'!$B$27</f>
        <v>30.141999999999996</v>
      </c>
      <c r="L622" s="14">
        <f>200-SUM(Table3[[#This Row],[D - LIGHT]:[D - VIGOROUS]])</f>
        <v>79.432000000000002</v>
      </c>
      <c r="M622" s="14">
        <f>'PIVOT TABLES'!$I$26</f>
        <v>65.603999999999999</v>
      </c>
      <c r="N622" s="14">
        <f>'PIVOT TABLES'!$I$27-'PIVOT TABLES'!$I$26</f>
        <v>32.802000000000007</v>
      </c>
      <c r="O622" s="14">
        <f>'PIVOT TABLES'!$I$28-'PIVOT TABLES'!$I$27</f>
        <v>32.801999999999992</v>
      </c>
      <c r="P622" s="14">
        <f>200-SUM(Table3[[#This Row],[M - LIGHT]:[M - VIGOROUS]])</f>
        <v>68.792000000000002</v>
      </c>
      <c r="Q622" s="14">
        <f>'PIVOT TABLES'!$P$26</f>
        <v>62.64</v>
      </c>
      <c r="R622" s="14">
        <f>'PIVOT TABLES'!$P$27-'PIVOT TABLES'!$P$26</f>
        <v>31.320000000000007</v>
      </c>
      <c r="S622" s="14">
        <f>'PIVOT TABLES'!$P$28-'PIVOT TABLES'!$P$27</f>
        <v>31.319999999999993</v>
      </c>
      <c r="T622" s="14">
        <f>200-SUM(Table3[[#This Row],[W - LIGHT]:[W - VIGOROUS]])</f>
        <v>74.72</v>
      </c>
      <c r="U622" s="14">
        <f>'PIVOT TABLES'!$W$26</f>
        <v>55.895999999999994</v>
      </c>
      <c r="V622" s="14">
        <f>'PIVOT TABLES'!$W$27-'PIVOT TABLES'!$W$26</f>
        <v>27.948</v>
      </c>
      <c r="W622" s="14">
        <f>'PIVOT TABLES'!$W$28-'PIVOT TABLES'!$W$27</f>
        <v>27.947999999999993</v>
      </c>
      <c r="X622" s="14">
        <f>200-SUM(Table3[[#This Row],[S - LIGHT]:[S - VIGOROUS]])</f>
        <v>88.208000000000013</v>
      </c>
    </row>
    <row r="623" spans="1:24" x14ac:dyDescent="0.25">
      <c r="A623" s="17" t="s">
        <v>53</v>
      </c>
      <c r="B623" s="13" t="str">
        <f t="shared" si="9"/>
        <v>Midfielder</v>
      </c>
      <c r="C623" s="7">
        <v>45337.422453703701</v>
      </c>
      <c r="D623" s="14">
        <v>4262</v>
      </c>
      <c r="E623" s="14">
        <v>0</v>
      </c>
      <c r="F623" s="14">
        <v>4</v>
      </c>
      <c r="G623" s="14">
        <v>14</v>
      </c>
      <c r="H623" s="14">
        <v>43.06</v>
      </c>
      <c r="I623" s="14">
        <f>'PIVOT TABLES'!$B$26</f>
        <v>60.283999999999999</v>
      </c>
      <c r="J623" s="14">
        <f>'PIVOT TABLES'!$B$27-'PIVOT TABLES'!$B$26</f>
        <v>30.142000000000003</v>
      </c>
      <c r="K623" s="14">
        <f>'PIVOT TABLES'!$B$28-'PIVOT TABLES'!$B$27</f>
        <v>30.141999999999996</v>
      </c>
      <c r="L623" s="14">
        <f>200-SUM(Table3[[#This Row],[D - LIGHT]:[D - VIGOROUS]])</f>
        <v>79.432000000000002</v>
      </c>
      <c r="M623" s="14">
        <f>'PIVOT TABLES'!$I$26</f>
        <v>65.603999999999999</v>
      </c>
      <c r="N623" s="14">
        <f>'PIVOT TABLES'!$I$27-'PIVOT TABLES'!$I$26</f>
        <v>32.802000000000007</v>
      </c>
      <c r="O623" s="14">
        <f>'PIVOT TABLES'!$I$28-'PIVOT TABLES'!$I$27</f>
        <v>32.801999999999992</v>
      </c>
      <c r="P623" s="14">
        <f>200-SUM(Table3[[#This Row],[M - LIGHT]:[M - VIGOROUS]])</f>
        <v>68.792000000000002</v>
      </c>
      <c r="Q623" s="14">
        <f>'PIVOT TABLES'!$P$26</f>
        <v>62.64</v>
      </c>
      <c r="R623" s="14">
        <f>'PIVOT TABLES'!$P$27-'PIVOT TABLES'!$P$26</f>
        <v>31.320000000000007</v>
      </c>
      <c r="S623" s="14">
        <f>'PIVOT TABLES'!$P$28-'PIVOT TABLES'!$P$27</f>
        <v>31.319999999999993</v>
      </c>
      <c r="T623" s="14">
        <f>200-SUM(Table3[[#This Row],[W - LIGHT]:[W - VIGOROUS]])</f>
        <v>74.72</v>
      </c>
      <c r="U623" s="14">
        <f>'PIVOT TABLES'!$W$26</f>
        <v>55.895999999999994</v>
      </c>
      <c r="V623" s="14">
        <f>'PIVOT TABLES'!$W$27-'PIVOT TABLES'!$W$26</f>
        <v>27.948</v>
      </c>
      <c r="W623" s="14">
        <f>'PIVOT TABLES'!$W$28-'PIVOT TABLES'!$W$27</f>
        <v>27.947999999999993</v>
      </c>
      <c r="X623" s="14">
        <f>200-SUM(Table3[[#This Row],[S - LIGHT]:[S - VIGOROUS]])</f>
        <v>88.208000000000013</v>
      </c>
    </row>
    <row r="624" spans="1:24" x14ac:dyDescent="0.25">
      <c r="A624" s="17" t="s">
        <v>54</v>
      </c>
      <c r="B624" s="13" t="str">
        <f t="shared" si="9"/>
        <v>Striker</v>
      </c>
      <c r="C624" s="7">
        <v>45337.422453703701</v>
      </c>
      <c r="D624" s="14">
        <v>3143</v>
      </c>
      <c r="E624" s="14">
        <v>29</v>
      </c>
      <c r="F624" s="14">
        <v>8</v>
      </c>
      <c r="G624" s="14">
        <v>4</v>
      </c>
      <c r="H624" s="14">
        <v>32.700000000000003</v>
      </c>
      <c r="I624" s="14">
        <f>'PIVOT TABLES'!$B$26</f>
        <v>60.283999999999999</v>
      </c>
      <c r="J624" s="14">
        <f>'PIVOT TABLES'!$B$27-'PIVOT TABLES'!$B$26</f>
        <v>30.142000000000003</v>
      </c>
      <c r="K624" s="14">
        <f>'PIVOT TABLES'!$B$28-'PIVOT TABLES'!$B$27</f>
        <v>30.141999999999996</v>
      </c>
      <c r="L624" s="14">
        <f>200-SUM(Table3[[#This Row],[D - LIGHT]:[D - VIGOROUS]])</f>
        <v>79.432000000000002</v>
      </c>
      <c r="M624" s="14">
        <f>'PIVOT TABLES'!$I$26</f>
        <v>65.603999999999999</v>
      </c>
      <c r="N624" s="14">
        <f>'PIVOT TABLES'!$I$27-'PIVOT TABLES'!$I$26</f>
        <v>32.802000000000007</v>
      </c>
      <c r="O624" s="14">
        <f>'PIVOT TABLES'!$I$28-'PIVOT TABLES'!$I$27</f>
        <v>32.801999999999992</v>
      </c>
      <c r="P624" s="14">
        <f>200-SUM(Table3[[#This Row],[M - LIGHT]:[M - VIGOROUS]])</f>
        <v>68.792000000000002</v>
      </c>
      <c r="Q624" s="14">
        <f>'PIVOT TABLES'!$P$26</f>
        <v>62.64</v>
      </c>
      <c r="R624" s="14">
        <f>'PIVOT TABLES'!$P$27-'PIVOT TABLES'!$P$26</f>
        <v>31.320000000000007</v>
      </c>
      <c r="S624" s="14">
        <f>'PIVOT TABLES'!$P$28-'PIVOT TABLES'!$P$27</f>
        <v>31.319999999999993</v>
      </c>
      <c r="T624" s="14">
        <f>200-SUM(Table3[[#This Row],[W - LIGHT]:[W - VIGOROUS]])</f>
        <v>74.72</v>
      </c>
      <c r="U624" s="14">
        <f>'PIVOT TABLES'!$W$26</f>
        <v>55.895999999999994</v>
      </c>
      <c r="V624" s="14">
        <f>'PIVOT TABLES'!$W$27-'PIVOT TABLES'!$W$26</f>
        <v>27.948</v>
      </c>
      <c r="W624" s="14">
        <f>'PIVOT TABLES'!$W$28-'PIVOT TABLES'!$W$27</f>
        <v>27.947999999999993</v>
      </c>
      <c r="X624" s="14">
        <f>200-SUM(Table3[[#This Row],[S - LIGHT]:[S - VIGOROUS]])</f>
        <v>88.208000000000013</v>
      </c>
    </row>
    <row r="625" spans="1:24" x14ac:dyDescent="0.25">
      <c r="A625" s="17" t="s">
        <v>1</v>
      </c>
      <c r="B625" s="13" t="str">
        <f t="shared" si="9"/>
        <v>Defender</v>
      </c>
      <c r="C625" s="7">
        <v>45337.422453703701</v>
      </c>
      <c r="D625" s="14">
        <v>3109</v>
      </c>
      <c r="E625" s="14">
        <v>39</v>
      </c>
      <c r="F625" s="14">
        <v>4</v>
      </c>
      <c r="G625" s="14">
        <v>10</v>
      </c>
      <c r="H625" s="14">
        <v>32.619999999999997</v>
      </c>
      <c r="I625" s="14">
        <f>'PIVOT TABLES'!$B$26</f>
        <v>60.283999999999999</v>
      </c>
      <c r="J625" s="14">
        <f>'PIVOT TABLES'!$B$27-'PIVOT TABLES'!$B$26</f>
        <v>30.142000000000003</v>
      </c>
      <c r="K625" s="14">
        <f>'PIVOT TABLES'!$B$28-'PIVOT TABLES'!$B$27</f>
        <v>30.141999999999996</v>
      </c>
      <c r="L625" s="14">
        <f>200-SUM(Table3[[#This Row],[D - LIGHT]:[D - VIGOROUS]])</f>
        <v>79.432000000000002</v>
      </c>
      <c r="M625" s="14">
        <f>'PIVOT TABLES'!$I$26</f>
        <v>65.603999999999999</v>
      </c>
      <c r="N625" s="14">
        <f>'PIVOT TABLES'!$I$27-'PIVOT TABLES'!$I$26</f>
        <v>32.802000000000007</v>
      </c>
      <c r="O625" s="14">
        <f>'PIVOT TABLES'!$I$28-'PIVOT TABLES'!$I$27</f>
        <v>32.801999999999992</v>
      </c>
      <c r="P625" s="14">
        <f>200-SUM(Table3[[#This Row],[M - LIGHT]:[M - VIGOROUS]])</f>
        <v>68.792000000000002</v>
      </c>
      <c r="Q625" s="14">
        <f>'PIVOT TABLES'!$P$26</f>
        <v>62.64</v>
      </c>
      <c r="R625" s="14">
        <f>'PIVOT TABLES'!$P$27-'PIVOT TABLES'!$P$26</f>
        <v>31.320000000000007</v>
      </c>
      <c r="S625" s="14">
        <f>'PIVOT TABLES'!$P$28-'PIVOT TABLES'!$P$27</f>
        <v>31.319999999999993</v>
      </c>
      <c r="T625" s="14">
        <f>200-SUM(Table3[[#This Row],[W - LIGHT]:[W - VIGOROUS]])</f>
        <v>74.72</v>
      </c>
      <c r="U625" s="14">
        <f>'PIVOT TABLES'!$W$26</f>
        <v>55.895999999999994</v>
      </c>
      <c r="V625" s="14">
        <f>'PIVOT TABLES'!$W$27-'PIVOT TABLES'!$W$26</f>
        <v>27.948</v>
      </c>
      <c r="W625" s="14">
        <f>'PIVOT TABLES'!$W$28-'PIVOT TABLES'!$W$27</f>
        <v>27.947999999999993</v>
      </c>
      <c r="X625" s="14">
        <f>200-SUM(Table3[[#This Row],[S - LIGHT]:[S - VIGOROUS]])</f>
        <v>88.208000000000013</v>
      </c>
    </row>
    <row r="626" spans="1:24" x14ac:dyDescent="0.25">
      <c r="A626" s="17" t="s">
        <v>56</v>
      </c>
      <c r="B626" s="13" t="str">
        <f t="shared" si="9"/>
        <v>Midfielder</v>
      </c>
      <c r="C626" s="7">
        <v>45337.422453703701</v>
      </c>
      <c r="D626" s="14">
        <v>3690</v>
      </c>
      <c r="E626" s="14">
        <v>0</v>
      </c>
      <c r="F626" s="14">
        <v>6</v>
      </c>
      <c r="G626" s="14">
        <v>6</v>
      </c>
      <c r="H626" s="14">
        <v>37.26</v>
      </c>
      <c r="I626" s="14">
        <f>'PIVOT TABLES'!$B$26</f>
        <v>60.283999999999999</v>
      </c>
      <c r="J626" s="14">
        <f>'PIVOT TABLES'!$B$27-'PIVOT TABLES'!$B$26</f>
        <v>30.142000000000003</v>
      </c>
      <c r="K626" s="14">
        <f>'PIVOT TABLES'!$B$28-'PIVOT TABLES'!$B$27</f>
        <v>30.141999999999996</v>
      </c>
      <c r="L626" s="14">
        <f>200-SUM(Table3[[#This Row],[D - LIGHT]:[D - VIGOROUS]])</f>
        <v>79.432000000000002</v>
      </c>
      <c r="M626" s="14">
        <f>'PIVOT TABLES'!$I$26</f>
        <v>65.603999999999999</v>
      </c>
      <c r="N626" s="14">
        <f>'PIVOT TABLES'!$I$27-'PIVOT TABLES'!$I$26</f>
        <v>32.802000000000007</v>
      </c>
      <c r="O626" s="14">
        <f>'PIVOT TABLES'!$I$28-'PIVOT TABLES'!$I$27</f>
        <v>32.801999999999992</v>
      </c>
      <c r="P626" s="14">
        <f>200-SUM(Table3[[#This Row],[M - LIGHT]:[M - VIGOROUS]])</f>
        <v>68.792000000000002</v>
      </c>
      <c r="Q626" s="14">
        <f>'PIVOT TABLES'!$P$26</f>
        <v>62.64</v>
      </c>
      <c r="R626" s="14">
        <f>'PIVOT TABLES'!$P$27-'PIVOT TABLES'!$P$26</f>
        <v>31.320000000000007</v>
      </c>
      <c r="S626" s="14">
        <f>'PIVOT TABLES'!$P$28-'PIVOT TABLES'!$P$27</f>
        <v>31.319999999999993</v>
      </c>
      <c r="T626" s="14">
        <f>200-SUM(Table3[[#This Row],[W - LIGHT]:[W - VIGOROUS]])</f>
        <v>74.72</v>
      </c>
      <c r="U626" s="14">
        <f>'PIVOT TABLES'!$W$26</f>
        <v>55.895999999999994</v>
      </c>
      <c r="V626" s="14">
        <f>'PIVOT TABLES'!$W$27-'PIVOT TABLES'!$W$26</f>
        <v>27.948</v>
      </c>
      <c r="W626" s="14">
        <f>'PIVOT TABLES'!$W$28-'PIVOT TABLES'!$W$27</f>
        <v>27.947999999999993</v>
      </c>
      <c r="X626" s="14">
        <f>200-SUM(Table3[[#This Row],[S - LIGHT]:[S - VIGOROUS]])</f>
        <v>88.208000000000013</v>
      </c>
    </row>
    <row r="627" spans="1:24" x14ac:dyDescent="0.25">
      <c r="A627" s="17" t="s">
        <v>2</v>
      </c>
      <c r="B627" s="13" t="str">
        <f t="shared" si="9"/>
        <v>Defender</v>
      </c>
      <c r="C627" s="7">
        <v>45337.422453703701</v>
      </c>
      <c r="D627" s="14">
        <v>4570</v>
      </c>
      <c r="E627" s="14">
        <v>137</v>
      </c>
      <c r="F627" s="14">
        <v>28</v>
      </c>
      <c r="G627" s="14">
        <v>11</v>
      </c>
      <c r="H627" s="14">
        <v>51.15</v>
      </c>
      <c r="I627" s="14">
        <f>'PIVOT TABLES'!$B$26</f>
        <v>60.283999999999999</v>
      </c>
      <c r="J627" s="14">
        <f>'PIVOT TABLES'!$B$27-'PIVOT TABLES'!$B$26</f>
        <v>30.142000000000003</v>
      </c>
      <c r="K627" s="14">
        <f>'PIVOT TABLES'!$B$28-'PIVOT TABLES'!$B$27</f>
        <v>30.141999999999996</v>
      </c>
      <c r="L627" s="14">
        <f>200-SUM(Table3[[#This Row],[D - LIGHT]:[D - VIGOROUS]])</f>
        <v>79.432000000000002</v>
      </c>
      <c r="M627" s="14">
        <f>'PIVOT TABLES'!$I$26</f>
        <v>65.603999999999999</v>
      </c>
      <c r="N627" s="14">
        <f>'PIVOT TABLES'!$I$27-'PIVOT TABLES'!$I$26</f>
        <v>32.802000000000007</v>
      </c>
      <c r="O627" s="14">
        <f>'PIVOT TABLES'!$I$28-'PIVOT TABLES'!$I$27</f>
        <v>32.801999999999992</v>
      </c>
      <c r="P627" s="14">
        <f>200-SUM(Table3[[#This Row],[M - LIGHT]:[M - VIGOROUS]])</f>
        <v>68.792000000000002</v>
      </c>
      <c r="Q627" s="14">
        <f>'PIVOT TABLES'!$P$26</f>
        <v>62.64</v>
      </c>
      <c r="R627" s="14">
        <f>'PIVOT TABLES'!$P$27-'PIVOT TABLES'!$P$26</f>
        <v>31.320000000000007</v>
      </c>
      <c r="S627" s="14">
        <f>'PIVOT TABLES'!$P$28-'PIVOT TABLES'!$P$27</f>
        <v>31.319999999999993</v>
      </c>
      <c r="T627" s="14">
        <f>200-SUM(Table3[[#This Row],[W - LIGHT]:[W - VIGOROUS]])</f>
        <v>74.72</v>
      </c>
      <c r="U627" s="14">
        <f>'PIVOT TABLES'!$W$26</f>
        <v>55.895999999999994</v>
      </c>
      <c r="V627" s="14">
        <f>'PIVOT TABLES'!$W$27-'PIVOT TABLES'!$W$26</f>
        <v>27.948</v>
      </c>
      <c r="W627" s="14">
        <f>'PIVOT TABLES'!$W$28-'PIVOT TABLES'!$W$27</f>
        <v>27.947999999999993</v>
      </c>
      <c r="X627" s="14">
        <f>200-SUM(Table3[[#This Row],[S - LIGHT]:[S - VIGOROUS]])</f>
        <v>88.208000000000013</v>
      </c>
    </row>
    <row r="628" spans="1:24" x14ac:dyDescent="0.25">
      <c r="A628" s="17" t="s">
        <v>58</v>
      </c>
      <c r="B628" s="13" t="str">
        <f t="shared" si="9"/>
        <v>Defender</v>
      </c>
      <c r="C628" s="7">
        <v>45337.422453703701</v>
      </c>
      <c r="D628" s="14">
        <v>4064</v>
      </c>
      <c r="E628" s="14">
        <v>19</v>
      </c>
      <c r="F628" s="14">
        <v>7</v>
      </c>
      <c r="G628" s="14">
        <v>10</v>
      </c>
      <c r="H628" s="14">
        <v>41.69</v>
      </c>
      <c r="I628" s="14">
        <f>'PIVOT TABLES'!$B$26</f>
        <v>60.283999999999999</v>
      </c>
      <c r="J628" s="14">
        <f>'PIVOT TABLES'!$B$27-'PIVOT TABLES'!$B$26</f>
        <v>30.142000000000003</v>
      </c>
      <c r="K628" s="14">
        <f>'PIVOT TABLES'!$B$28-'PIVOT TABLES'!$B$27</f>
        <v>30.141999999999996</v>
      </c>
      <c r="L628" s="14">
        <f>200-SUM(Table3[[#This Row],[D - LIGHT]:[D - VIGOROUS]])</f>
        <v>79.432000000000002</v>
      </c>
      <c r="M628" s="14">
        <f>'PIVOT TABLES'!$I$26</f>
        <v>65.603999999999999</v>
      </c>
      <c r="N628" s="14">
        <f>'PIVOT TABLES'!$I$27-'PIVOT TABLES'!$I$26</f>
        <v>32.802000000000007</v>
      </c>
      <c r="O628" s="14">
        <f>'PIVOT TABLES'!$I$28-'PIVOT TABLES'!$I$27</f>
        <v>32.801999999999992</v>
      </c>
      <c r="P628" s="14">
        <f>200-SUM(Table3[[#This Row],[M - LIGHT]:[M - VIGOROUS]])</f>
        <v>68.792000000000002</v>
      </c>
      <c r="Q628" s="14">
        <f>'PIVOT TABLES'!$P$26</f>
        <v>62.64</v>
      </c>
      <c r="R628" s="14">
        <f>'PIVOT TABLES'!$P$27-'PIVOT TABLES'!$P$26</f>
        <v>31.320000000000007</v>
      </c>
      <c r="S628" s="14">
        <f>'PIVOT TABLES'!$P$28-'PIVOT TABLES'!$P$27</f>
        <v>31.319999999999993</v>
      </c>
      <c r="T628" s="14">
        <f>200-SUM(Table3[[#This Row],[W - LIGHT]:[W - VIGOROUS]])</f>
        <v>74.72</v>
      </c>
      <c r="U628" s="14">
        <f>'PIVOT TABLES'!$W$26</f>
        <v>55.895999999999994</v>
      </c>
      <c r="V628" s="14">
        <f>'PIVOT TABLES'!$W$27-'PIVOT TABLES'!$W$26</f>
        <v>27.948</v>
      </c>
      <c r="W628" s="14">
        <f>'PIVOT TABLES'!$W$28-'PIVOT TABLES'!$W$27</f>
        <v>27.947999999999993</v>
      </c>
      <c r="X628" s="14">
        <f>200-SUM(Table3[[#This Row],[S - LIGHT]:[S - VIGOROUS]])</f>
        <v>88.208000000000013</v>
      </c>
    </row>
    <row r="629" spans="1:24" x14ac:dyDescent="0.25">
      <c r="A629" s="17" t="s">
        <v>94</v>
      </c>
      <c r="B629" s="13" t="str">
        <f t="shared" si="9"/>
        <v>Defender</v>
      </c>
      <c r="C629" s="7">
        <v>45337.422453703701</v>
      </c>
      <c r="D629" s="14">
        <v>3556</v>
      </c>
      <c r="E629" s="14">
        <v>0</v>
      </c>
      <c r="F629" s="14">
        <v>0</v>
      </c>
      <c r="G629" s="14">
        <v>2</v>
      </c>
      <c r="H629" s="14">
        <v>35.6</v>
      </c>
      <c r="I629" s="14">
        <f>'PIVOT TABLES'!$B$26</f>
        <v>60.283999999999999</v>
      </c>
      <c r="J629" s="14">
        <f>'PIVOT TABLES'!$B$27-'PIVOT TABLES'!$B$26</f>
        <v>30.142000000000003</v>
      </c>
      <c r="K629" s="14">
        <f>'PIVOT TABLES'!$B$28-'PIVOT TABLES'!$B$27</f>
        <v>30.141999999999996</v>
      </c>
      <c r="L629" s="14">
        <f>200-SUM(Table3[[#This Row],[D - LIGHT]:[D - VIGOROUS]])</f>
        <v>79.432000000000002</v>
      </c>
      <c r="M629" s="14">
        <f>'PIVOT TABLES'!$I$26</f>
        <v>65.603999999999999</v>
      </c>
      <c r="N629" s="14">
        <f>'PIVOT TABLES'!$I$27-'PIVOT TABLES'!$I$26</f>
        <v>32.802000000000007</v>
      </c>
      <c r="O629" s="14">
        <f>'PIVOT TABLES'!$I$28-'PIVOT TABLES'!$I$27</f>
        <v>32.801999999999992</v>
      </c>
      <c r="P629" s="14">
        <f>200-SUM(Table3[[#This Row],[M - LIGHT]:[M - VIGOROUS]])</f>
        <v>68.792000000000002</v>
      </c>
      <c r="Q629" s="14">
        <f>'PIVOT TABLES'!$P$26</f>
        <v>62.64</v>
      </c>
      <c r="R629" s="14">
        <f>'PIVOT TABLES'!$P$27-'PIVOT TABLES'!$P$26</f>
        <v>31.320000000000007</v>
      </c>
      <c r="S629" s="14">
        <f>'PIVOT TABLES'!$P$28-'PIVOT TABLES'!$P$27</f>
        <v>31.319999999999993</v>
      </c>
      <c r="T629" s="14">
        <f>200-SUM(Table3[[#This Row],[W - LIGHT]:[W - VIGOROUS]])</f>
        <v>74.72</v>
      </c>
      <c r="U629" s="14">
        <f>'PIVOT TABLES'!$W$26</f>
        <v>55.895999999999994</v>
      </c>
      <c r="V629" s="14">
        <f>'PIVOT TABLES'!$W$27-'PIVOT TABLES'!$W$26</f>
        <v>27.948</v>
      </c>
      <c r="W629" s="14">
        <f>'PIVOT TABLES'!$W$28-'PIVOT TABLES'!$W$27</f>
        <v>27.947999999999993</v>
      </c>
      <c r="X629" s="14">
        <f>200-SUM(Table3[[#This Row],[S - LIGHT]:[S - VIGOROUS]])</f>
        <v>88.208000000000013</v>
      </c>
    </row>
    <row r="630" spans="1:24" x14ac:dyDescent="0.25">
      <c r="A630" s="17" t="s">
        <v>3</v>
      </c>
      <c r="B630" s="13" t="str">
        <f t="shared" si="9"/>
        <v>Defender</v>
      </c>
      <c r="C630" s="7">
        <v>45337.422453703701</v>
      </c>
      <c r="D630" s="14">
        <v>4163</v>
      </c>
      <c r="E630" s="14">
        <v>3</v>
      </c>
      <c r="F630" s="14">
        <v>6</v>
      </c>
      <c r="G630" s="14">
        <v>12</v>
      </c>
      <c r="H630" s="14">
        <v>42.2</v>
      </c>
      <c r="I630" s="14">
        <f>'PIVOT TABLES'!$B$26</f>
        <v>60.283999999999999</v>
      </c>
      <c r="J630" s="14">
        <f>'PIVOT TABLES'!$B$27-'PIVOT TABLES'!$B$26</f>
        <v>30.142000000000003</v>
      </c>
      <c r="K630" s="14">
        <f>'PIVOT TABLES'!$B$28-'PIVOT TABLES'!$B$27</f>
        <v>30.141999999999996</v>
      </c>
      <c r="L630" s="14">
        <f>200-SUM(Table3[[#This Row],[D - LIGHT]:[D - VIGOROUS]])</f>
        <v>79.432000000000002</v>
      </c>
      <c r="M630" s="14">
        <f>'PIVOT TABLES'!$I$26</f>
        <v>65.603999999999999</v>
      </c>
      <c r="N630" s="14">
        <f>'PIVOT TABLES'!$I$27-'PIVOT TABLES'!$I$26</f>
        <v>32.802000000000007</v>
      </c>
      <c r="O630" s="14">
        <f>'PIVOT TABLES'!$I$28-'PIVOT TABLES'!$I$27</f>
        <v>32.801999999999992</v>
      </c>
      <c r="P630" s="14">
        <f>200-SUM(Table3[[#This Row],[M - LIGHT]:[M - VIGOROUS]])</f>
        <v>68.792000000000002</v>
      </c>
      <c r="Q630" s="14">
        <f>'PIVOT TABLES'!$P$26</f>
        <v>62.64</v>
      </c>
      <c r="R630" s="14">
        <f>'PIVOT TABLES'!$P$27-'PIVOT TABLES'!$P$26</f>
        <v>31.320000000000007</v>
      </c>
      <c r="S630" s="14">
        <f>'PIVOT TABLES'!$P$28-'PIVOT TABLES'!$P$27</f>
        <v>31.319999999999993</v>
      </c>
      <c r="T630" s="14">
        <f>200-SUM(Table3[[#This Row],[W - LIGHT]:[W - VIGOROUS]])</f>
        <v>74.72</v>
      </c>
      <c r="U630" s="14">
        <f>'PIVOT TABLES'!$W$26</f>
        <v>55.895999999999994</v>
      </c>
      <c r="V630" s="14">
        <f>'PIVOT TABLES'!$W$27-'PIVOT TABLES'!$W$26</f>
        <v>27.948</v>
      </c>
      <c r="W630" s="14">
        <f>'PIVOT TABLES'!$W$28-'PIVOT TABLES'!$W$27</f>
        <v>27.947999999999993</v>
      </c>
      <c r="X630" s="14">
        <f>200-SUM(Table3[[#This Row],[S - LIGHT]:[S - VIGOROUS]])</f>
        <v>88.208000000000013</v>
      </c>
    </row>
    <row r="631" spans="1:24" x14ac:dyDescent="0.25">
      <c r="A631" s="17" t="s">
        <v>59</v>
      </c>
      <c r="B631" s="13" t="str">
        <f t="shared" si="9"/>
        <v>Striker</v>
      </c>
      <c r="C631" s="7">
        <v>45337.422453703701</v>
      </c>
      <c r="D631" s="14">
        <v>4128</v>
      </c>
      <c r="E631" s="14">
        <v>34</v>
      </c>
      <c r="F631" s="14">
        <v>21</v>
      </c>
      <c r="G631" s="14">
        <v>7</v>
      </c>
      <c r="H631" s="14">
        <v>43.28</v>
      </c>
      <c r="I631" s="14">
        <f>'PIVOT TABLES'!$B$26</f>
        <v>60.283999999999999</v>
      </c>
      <c r="J631" s="14">
        <f>'PIVOT TABLES'!$B$27-'PIVOT TABLES'!$B$26</f>
        <v>30.142000000000003</v>
      </c>
      <c r="K631" s="14">
        <f>'PIVOT TABLES'!$B$28-'PIVOT TABLES'!$B$27</f>
        <v>30.141999999999996</v>
      </c>
      <c r="L631" s="14">
        <f>200-SUM(Table3[[#This Row],[D - LIGHT]:[D - VIGOROUS]])</f>
        <v>79.432000000000002</v>
      </c>
      <c r="M631" s="14">
        <f>'PIVOT TABLES'!$I$26</f>
        <v>65.603999999999999</v>
      </c>
      <c r="N631" s="14">
        <f>'PIVOT TABLES'!$I$27-'PIVOT TABLES'!$I$26</f>
        <v>32.802000000000007</v>
      </c>
      <c r="O631" s="14">
        <f>'PIVOT TABLES'!$I$28-'PIVOT TABLES'!$I$27</f>
        <v>32.801999999999992</v>
      </c>
      <c r="P631" s="14">
        <f>200-SUM(Table3[[#This Row],[M - LIGHT]:[M - VIGOROUS]])</f>
        <v>68.792000000000002</v>
      </c>
      <c r="Q631" s="14">
        <f>'PIVOT TABLES'!$P$26</f>
        <v>62.64</v>
      </c>
      <c r="R631" s="14">
        <f>'PIVOT TABLES'!$P$27-'PIVOT TABLES'!$P$26</f>
        <v>31.320000000000007</v>
      </c>
      <c r="S631" s="14">
        <f>'PIVOT TABLES'!$P$28-'PIVOT TABLES'!$P$27</f>
        <v>31.319999999999993</v>
      </c>
      <c r="T631" s="14">
        <f>200-SUM(Table3[[#This Row],[W - LIGHT]:[W - VIGOROUS]])</f>
        <v>74.72</v>
      </c>
      <c r="U631" s="14">
        <f>'PIVOT TABLES'!$W$26</f>
        <v>55.895999999999994</v>
      </c>
      <c r="V631" s="14">
        <f>'PIVOT TABLES'!$W$27-'PIVOT TABLES'!$W$26</f>
        <v>27.948</v>
      </c>
      <c r="W631" s="14">
        <f>'PIVOT TABLES'!$W$28-'PIVOT TABLES'!$W$27</f>
        <v>27.947999999999993</v>
      </c>
      <c r="X631" s="14">
        <f>200-SUM(Table3[[#This Row],[S - LIGHT]:[S - VIGOROUS]])</f>
        <v>88.208000000000013</v>
      </c>
    </row>
    <row r="632" spans="1:24" x14ac:dyDescent="0.25">
      <c r="A632" s="17" t="s">
        <v>4</v>
      </c>
      <c r="B632" s="13" t="str">
        <f t="shared" si="9"/>
        <v>Midfielder</v>
      </c>
      <c r="C632" s="7">
        <v>45337.422453703701</v>
      </c>
      <c r="D632" s="14">
        <v>3287</v>
      </c>
      <c r="E632" s="14">
        <v>51</v>
      </c>
      <c r="F632" s="14">
        <v>10</v>
      </c>
      <c r="G632" s="14">
        <v>7</v>
      </c>
      <c r="H632" s="14">
        <v>34.94</v>
      </c>
      <c r="I632" s="14">
        <f>'PIVOT TABLES'!$B$26</f>
        <v>60.283999999999999</v>
      </c>
      <c r="J632" s="14">
        <f>'PIVOT TABLES'!$B$27-'PIVOT TABLES'!$B$26</f>
        <v>30.142000000000003</v>
      </c>
      <c r="K632" s="14">
        <f>'PIVOT TABLES'!$B$28-'PIVOT TABLES'!$B$27</f>
        <v>30.141999999999996</v>
      </c>
      <c r="L632" s="14">
        <f>200-SUM(Table3[[#This Row],[D - LIGHT]:[D - VIGOROUS]])</f>
        <v>79.432000000000002</v>
      </c>
      <c r="M632" s="14">
        <f>'PIVOT TABLES'!$I$26</f>
        <v>65.603999999999999</v>
      </c>
      <c r="N632" s="14">
        <f>'PIVOT TABLES'!$I$27-'PIVOT TABLES'!$I$26</f>
        <v>32.802000000000007</v>
      </c>
      <c r="O632" s="14">
        <f>'PIVOT TABLES'!$I$28-'PIVOT TABLES'!$I$27</f>
        <v>32.801999999999992</v>
      </c>
      <c r="P632" s="14">
        <f>200-SUM(Table3[[#This Row],[M - LIGHT]:[M - VIGOROUS]])</f>
        <v>68.792000000000002</v>
      </c>
      <c r="Q632" s="14">
        <f>'PIVOT TABLES'!$P$26</f>
        <v>62.64</v>
      </c>
      <c r="R632" s="14">
        <f>'PIVOT TABLES'!$P$27-'PIVOT TABLES'!$P$26</f>
        <v>31.320000000000007</v>
      </c>
      <c r="S632" s="14">
        <f>'PIVOT TABLES'!$P$28-'PIVOT TABLES'!$P$27</f>
        <v>31.319999999999993</v>
      </c>
      <c r="T632" s="14">
        <f>200-SUM(Table3[[#This Row],[W - LIGHT]:[W - VIGOROUS]])</f>
        <v>74.72</v>
      </c>
      <c r="U632" s="14">
        <f>'PIVOT TABLES'!$W$26</f>
        <v>55.895999999999994</v>
      </c>
      <c r="V632" s="14">
        <f>'PIVOT TABLES'!$W$27-'PIVOT TABLES'!$W$26</f>
        <v>27.948</v>
      </c>
      <c r="W632" s="14">
        <f>'PIVOT TABLES'!$W$28-'PIVOT TABLES'!$W$27</f>
        <v>27.947999999999993</v>
      </c>
      <c r="X632" s="14">
        <f>200-SUM(Table3[[#This Row],[S - LIGHT]:[S - VIGOROUS]])</f>
        <v>88.208000000000013</v>
      </c>
    </row>
    <row r="633" spans="1:24" x14ac:dyDescent="0.25">
      <c r="A633" s="17" t="s">
        <v>60</v>
      </c>
      <c r="B633" s="13" t="str">
        <f t="shared" si="9"/>
        <v>Winger</v>
      </c>
      <c r="C633" s="7">
        <v>45337.422453703701</v>
      </c>
      <c r="D633" s="14">
        <v>3287</v>
      </c>
      <c r="E633" s="14">
        <v>98</v>
      </c>
      <c r="F633" s="14">
        <v>12</v>
      </c>
      <c r="G633" s="14">
        <v>6</v>
      </c>
      <c r="H633" s="14">
        <v>36.409999999999997</v>
      </c>
      <c r="I633" s="14">
        <f>'PIVOT TABLES'!$B$26</f>
        <v>60.283999999999999</v>
      </c>
      <c r="J633" s="14">
        <f>'PIVOT TABLES'!$B$27-'PIVOT TABLES'!$B$26</f>
        <v>30.142000000000003</v>
      </c>
      <c r="K633" s="14">
        <f>'PIVOT TABLES'!$B$28-'PIVOT TABLES'!$B$27</f>
        <v>30.141999999999996</v>
      </c>
      <c r="L633" s="14">
        <f>200-SUM(Table3[[#This Row],[D - LIGHT]:[D - VIGOROUS]])</f>
        <v>79.432000000000002</v>
      </c>
      <c r="M633" s="14">
        <f>'PIVOT TABLES'!$I$26</f>
        <v>65.603999999999999</v>
      </c>
      <c r="N633" s="14">
        <f>'PIVOT TABLES'!$I$27-'PIVOT TABLES'!$I$26</f>
        <v>32.802000000000007</v>
      </c>
      <c r="O633" s="14">
        <f>'PIVOT TABLES'!$I$28-'PIVOT TABLES'!$I$27</f>
        <v>32.801999999999992</v>
      </c>
      <c r="P633" s="14">
        <f>200-SUM(Table3[[#This Row],[M - LIGHT]:[M - VIGOROUS]])</f>
        <v>68.792000000000002</v>
      </c>
      <c r="Q633" s="14">
        <f>'PIVOT TABLES'!$P$26</f>
        <v>62.64</v>
      </c>
      <c r="R633" s="14">
        <f>'PIVOT TABLES'!$P$27-'PIVOT TABLES'!$P$26</f>
        <v>31.320000000000007</v>
      </c>
      <c r="S633" s="14">
        <f>'PIVOT TABLES'!$P$28-'PIVOT TABLES'!$P$27</f>
        <v>31.319999999999993</v>
      </c>
      <c r="T633" s="14">
        <f>200-SUM(Table3[[#This Row],[W - LIGHT]:[W - VIGOROUS]])</f>
        <v>74.72</v>
      </c>
      <c r="U633" s="14">
        <f>'PIVOT TABLES'!$W$26</f>
        <v>55.895999999999994</v>
      </c>
      <c r="V633" s="14">
        <f>'PIVOT TABLES'!$W$27-'PIVOT TABLES'!$W$26</f>
        <v>27.948</v>
      </c>
      <c r="W633" s="14">
        <f>'PIVOT TABLES'!$W$28-'PIVOT TABLES'!$W$27</f>
        <v>27.947999999999993</v>
      </c>
      <c r="X633" s="14">
        <f>200-SUM(Table3[[#This Row],[S - LIGHT]:[S - VIGOROUS]])</f>
        <v>88.208000000000013</v>
      </c>
    </row>
    <row r="634" spans="1:24" x14ac:dyDescent="0.25">
      <c r="A634" s="17" t="s">
        <v>71</v>
      </c>
      <c r="B634" s="13" t="str">
        <f t="shared" si="9"/>
        <v>Midfielder</v>
      </c>
      <c r="C634" s="7">
        <v>45337.422453703701</v>
      </c>
      <c r="D634" s="14">
        <v>3010</v>
      </c>
      <c r="E634" s="14">
        <v>0</v>
      </c>
      <c r="F634" s="14">
        <v>0</v>
      </c>
      <c r="G634" s="14">
        <v>3</v>
      </c>
      <c r="H634" s="14">
        <v>30.16</v>
      </c>
      <c r="I634" s="14">
        <f>'PIVOT TABLES'!$B$26</f>
        <v>60.283999999999999</v>
      </c>
      <c r="J634" s="14">
        <f>'PIVOT TABLES'!$B$27-'PIVOT TABLES'!$B$26</f>
        <v>30.142000000000003</v>
      </c>
      <c r="K634" s="14">
        <f>'PIVOT TABLES'!$B$28-'PIVOT TABLES'!$B$27</f>
        <v>30.141999999999996</v>
      </c>
      <c r="L634" s="14">
        <f>200-SUM(Table3[[#This Row],[D - LIGHT]:[D - VIGOROUS]])</f>
        <v>79.432000000000002</v>
      </c>
      <c r="M634" s="14">
        <f>'PIVOT TABLES'!$I$26</f>
        <v>65.603999999999999</v>
      </c>
      <c r="N634" s="14">
        <f>'PIVOT TABLES'!$I$27-'PIVOT TABLES'!$I$26</f>
        <v>32.802000000000007</v>
      </c>
      <c r="O634" s="14">
        <f>'PIVOT TABLES'!$I$28-'PIVOT TABLES'!$I$27</f>
        <v>32.801999999999992</v>
      </c>
      <c r="P634" s="14">
        <f>200-SUM(Table3[[#This Row],[M - LIGHT]:[M - VIGOROUS]])</f>
        <v>68.792000000000002</v>
      </c>
      <c r="Q634" s="14">
        <f>'PIVOT TABLES'!$P$26</f>
        <v>62.64</v>
      </c>
      <c r="R634" s="14">
        <f>'PIVOT TABLES'!$P$27-'PIVOT TABLES'!$P$26</f>
        <v>31.320000000000007</v>
      </c>
      <c r="S634" s="14">
        <f>'PIVOT TABLES'!$P$28-'PIVOT TABLES'!$P$27</f>
        <v>31.319999999999993</v>
      </c>
      <c r="T634" s="14">
        <f>200-SUM(Table3[[#This Row],[W - LIGHT]:[W - VIGOROUS]])</f>
        <v>74.72</v>
      </c>
      <c r="U634" s="14">
        <f>'PIVOT TABLES'!$W$26</f>
        <v>55.895999999999994</v>
      </c>
      <c r="V634" s="14">
        <f>'PIVOT TABLES'!$W$27-'PIVOT TABLES'!$W$26</f>
        <v>27.948</v>
      </c>
      <c r="W634" s="14">
        <f>'PIVOT TABLES'!$W$28-'PIVOT TABLES'!$W$27</f>
        <v>27.947999999999993</v>
      </c>
      <c r="X634" s="14">
        <f>200-SUM(Table3[[#This Row],[S - LIGHT]:[S - VIGOROUS]])</f>
        <v>88.208000000000013</v>
      </c>
    </row>
    <row r="635" spans="1:24" x14ac:dyDescent="0.25">
      <c r="A635" s="17" t="s">
        <v>5</v>
      </c>
      <c r="B635" s="13" t="str">
        <f t="shared" si="9"/>
        <v>Midfielder</v>
      </c>
      <c r="C635" s="7">
        <v>45337.422453703701</v>
      </c>
      <c r="D635" s="14">
        <v>3112</v>
      </c>
      <c r="E635" s="14">
        <v>50</v>
      </c>
      <c r="F635" s="14">
        <v>7</v>
      </c>
      <c r="G635" s="14">
        <v>9</v>
      </c>
      <c r="H635" s="14">
        <v>33.08</v>
      </c>
      <c r="I635" s="14">
        <f>'PIVOT TABLES'!$B$26</f>
        <v>60.283999999999999</v>
      </c>
      <c r="J635" s="14">
        <f>'PIVOT TABLES'!$B$27-'PIVOT TABLES'!$B$26</f>
        <v>30.142000000000003</v>
      </c>
      <c r="K635" s="14">
        <f>'PIVOT TABLES'!$B$28-'PIVOT TABLES'!$B$27</f>
        <v>30.141999999999996</v>
      </c>
      <c r="L635" s="14">
        <f>200-SUM(Table3[[#This Row],[D - LIGHT]:[D - VIGOROUS]])</f>
        <v>79.432000000000002</v>
      </c>
      <c r="M635" s="14">
        <f>'PIVOT TABLES'!$I$26</f>
        <v>65.603999999999999</v>
      </c>
      <c r="N635" s="14">
        <f>'PIVOT TABLES'!$I$27-'PIVOT TABLES'!$I$26</f>
        <v>32.802000000000007</v>
      </c>
      <c r="O635" s="14">
        <f>'PIVOT TABLES'!$I$28-'PIVOT TABLES'!$I$27</f>
        <v>32.801999999999992</v>
      </c>
      <c r="P635" s="14">
        <f>200-SUM(Table3[[#This Row],[M - LIGHT]:[M - VIGOROUS]])</f>
        <v>68.792000000000002</v>
      </c>
      <c r="Q635" s="14">
        <f>'PIVOT TABLES'!$P$26</f>
        <v>62.64</v>
      </c>
      <c r="R635" s="14">
        <f>'PIVOT TABLES'!$P$27-'PIVOT TABLES'!$P$26</f>
        <v>31.320000000000007</v>
      </c>
      <c r="S635" s="14">
        <f>'PIVOT TABLES'!$P$28-'PIVOT TABLES'!$P$27</f>
        <v>31.319999999999993</v>
      </c>
      <c r="T635" s="14">
        <f>200-SUM(Table3[[#This Row],[W - LIGHT]:[W - VIGOROUS]])</f>
        <v>74.72</v>
      </c>
      <c r="U635" s="14">
        <f>'PIVOT TABLES'!$W$26</f>
        <v>55.895999999999994</v>
      </c>
      <c r="V635" s="14">
        <f>'PIVOT TABLES'!$W$27-'PIVOT TABLES'!$W$26</f>
        <v>27.948</v>
      </c>
      <c r="W635" s="14">
        <f>'PIVOT TABLES'!$W$28-'PIVOT TABLES'!$W$27</f>
        <v>27.947999999999993</v>
      </c>
      <c r="X635" s="14">
        <f>200-SUM(Table3[[#This Row],[S - LIGHT]:[S - VIGOROUS]])</f>
        <v>88.208000000000013</v>
      </c>
    </row>
    <row r="636" spans="1:24" x14ac:dyDescent="0.25">
      <c r="A636" s="17" t="s">
        <v>6</v>
      </c>
      <c r="B636" s="13" t="str">
        <f t="shared" si="9"/>
        <v>Midfielder</v>
      </c>
      <c r="C636" s="7">
        <v>45337.422453703701</v>
      </c>
      <c r="D636" s="14">
        <v>3163</v>
      </c>
      <c r="E636" s="14">
        <v>19</v>
      </c>
      <c r="F636" s="14">
        <v>1</v>
      </c>
      <c r="G636" s="14">
        <v>5</v>
      </c>
      <c r="H636" s="14">
        <v>32.340000000000003</v>
      </c>
      <c r="I636" s="14">
        <f>'PIVOT TABLES'!$B$26</f>
        <v>60.283999999999999</v>
      </c>
      <c r="J636" s="14">
        <f>'PIVOT TABLES'!$B$27-'PIVOT TABLES'!$B$26</f>
        <v>30.142000000000003</v>
      </c>
      <c r="K636" s="14">
        <f>'PIVOT TABLES'!$B$28-'PIVOT TABLES'!$B$27</f>
        <v>30.141999999999996</v>
      </c>
      <c r="L636" s="14">
        <f>200-SUM(Table3[[#This Row],[D - LIGHT]:[D - VIGOROUS]])</f>
        <v>79.432000000000002</v>
      </c>
      <c r="M636" s="14">
        <f>'PIVOT TABLES'!$I$26</f>
        <v>65.603999999999999</v>
      </c>
      <c r="N636" s="14">
        <f>'PIVOT TABLES'!$I$27-'PIVOT TABLES'!$I$26</f>
        <v>32.802000000000007</v>
      </c>
      <c r="O636" s="14">
        <f>'PIVOT TABLES'!$I$28-'PIVOT TABLES'!$I$27</f>
        <v>32.801999999999992</v>
      </c>
      <c r="P636" s="14">
        <f>200-SUM(Table3[[#This Row],[M - LIGHT]:[M - VIGOROUS]])</f>
        <v>68.792000000000002</v>
      </c>
      <c r="Q636" s="14">
        <f>'PIVOT TABLES'!$P$26</f>
        <v>62.64</v>
      </c>
      <c r="R636" s="14">
        <f>'PIVOT TABLES'!$P$27-'PIVOT TABLES'!$P$26</f>
        <v>31.320000000000007</v>
      </c>
      <c r="S636" s="14">
        <f>'PIVOT TABLES'!$P$28-'PIVOT TABLES'!$P$27</f>
        <v>31.319999999999993</v>
      </c>
      <c r="T636" s="14">
        <f>200-SUM(Table3[[#This Row],[W - LIGHT]:[W - VIGOROUS]])</f>
        <v>74.72</v>
      </c>
      <c r="U636" s="14">
        <f>'PIVOT TABLES'!$W$26</f>
        <v>55.895999999999994</v>
      </c>
      <c r="V636" s="14">
        <f>'PIVOT TABLES'!$W$27-'PIVOT TABLES'!$W$26</f>
        <v>27.948</v>
      </c>
      <c r="W636" s="14">
        <f>'PIVOT TABLES'!$W$28-'PIVOT TABLES'!$W$27</f>
        <v>27.947999999999993</v>
      </c>
      <c r="X636" s="14">
        <f>200-SUM(Table3[[#This Row],[S - LIGHT]:[S - VIGOROUS]])</f>
        <v>88.208000000000013</v>
      </c>
    </row>
    <row r="637" spans="1:24" x14ac:dyDescent="0.25">
      <c r="A637" s="17" t="s">
        <v>62</v>
      </c>
      <c r="B637" s="13" t="str">
        <f t="shared" si="9"/>
        <v>Midfielder</v>
      </c>
      <c r="C637" s="7">
        <v>45337.422453703701</v>
      </c>
      <c r="D637" s="14">
        <v>2519</v>
      </c>
      <c r="E637" s="14">
        <v>0</v>
      </c>
      <c r="F637" s="14">
        <v>1</v>
      </c>
      <c r="G637" s="14">
        <v>1</v>
      </c>
      <c r="H637" s="14">
        <v>25.25</v>
      </c>
      <c r="I637" s="14">
        <f>'PIVOT TABLES'!$B$26</f>
        <v>60.283999999999999</v>
      </c>
      <c r="J637" s="14">
        <f>'PIVOT TABLES'!$B$27-'PIVOT TABLES'!$B$26</f>
        <v>30.142000000000003</v>
      </c>
      <c r="K637" s="14">
        <f>'PIVOT TABLES'!$B$28-'PIVOT TABLES'!$B$27</f>
        <v>30.141999999999996</v>
      </c>
      <c r="L637" s="14">
        <f>200-SUM(Table3[[#This Row],[D - LIGHT]:[D - VIGOROUS]])</f>
        <v>79.432000000000002</v>
      </c>
      <c r="M637" s="14">
        <f>'PIVOT TABLES'!$I$26</f>
        <v>65.603999999999999</v>
      </c>
      <c r="N637" s="14">
        <f>'PIVOT TABLES'!$I$27-'PIVOT TABLES'!$I$26</f>
        <v>32.802000000000007</v>
      </c>
      <c r="O637" s="14">
        <f>'PIVOT TABLES'!$I$28-'PIVOT TABLES'!$I$27</f>
        <v>32.801999999999992</v>
      </c>
      <c r="P637" s="14">
        <f>200-SUM(Table3[[#This Row],[M - LIGHT]:[M - VIGOROUS]])</f>
        <v>68.792000000000002</v>
      </c>
      <c r="Q637" s="14">
        <f>'PIVOT TABLES'!$P$26</f>
        <v>62.64</v>
      </c>
      <c r="R637" s="14">
        <f>'PIVOT TABLES'!$P$27-'PIVOT TABLES'!$P$26</f>
        <v>31.320000000000007</v>
      </c>
      <c r="S637" s="14">
        <f>'PIVOT TABLES'!$P$28-'PIVOT TABLES'!$P$27</f>
        <v>31.319999999999993</v>
      </c>
      <c r="T637" s="14">
        <f>200-SUM(Table3[[#This Row],[W - LIGHT]:[W - VIGOROUS]])</f>
        <v>74.72</v>
      </c>
      <c r="U637" s="14">
        <f>'PIVOT TABLES'!$W$26</f>
        <v>55.895999999999994</v>
      </c>
      <c r="V637" s="14">
        <f>'PIVOT TABLES'!$W$27-'PIVOT TABLES'!$W$26</f>
        <v>27.948</v>
      </c>
      <c r="W637" s="14">
        <f>'PIVOT TABLES'!$W$28-'PIVOT TABLES'!$W$27</f>
        <v>27.947999999999993</v>
      </c>
      <c r="X637" s="14">
        <f>200-SUM(Table3[[#This Row],[S - LIGHT]:[S - VIGOROUS]])</f>
        <v>88.208000000000013</v>
      </c>
    </row>
    <row r="638" spans="1:24" x14ac:dyDescent="0.25">
      <c r="A638" s="17" t="s">
        <v>63</v>
      </c>
      <c r="B638" s="13" t="str">
        <f t="shared" si="9"/>
        <v>Winger</v>
      </c>
      <c r="C638" s="7">
        <v>45337.422453703701</v>
      </c>
      <c r="D638" s="14">
        <v>3389</v>
      </c>
      <c r="E638" s="14">
        <v>79</v>
      </c>
      <c r="F638" s="14">
        <v>10</v>
      </c>
      <c r="G638" s="14">
        <v>5</v>
      </c>
      <c r="H638" s="14">
        <v>36.76</v>
      </c>
      <c r="I638" s="14">
        <f>'PIVOT TABLES'!$B$26</f>
        <v>60.283999999999999</v>
      </c>
      <c r="J638" s="14">
        <f>'PIVOT TABLES'!$B$27-'PIVOT TABLES'!$B$26</f>
        <v>30.142000000000003</v>
      </c>
      <c r="K638" s="14">
        <f>'PIVOT TABLES'!$B$28-'PIVOT TABLES'!$B$27</f>
        <v>30.141999999999996</v>
      </c>
      <c r="L638" s="14">
        <f>200-SUM(Table3[[#This Row],[D - LIGHT]:[D - VIGOROUS]])</f>
        <v>79.432000000000002</v>
      </c>
      <c r="M638" s="14">
        <f>'PIVOT TABLES'!$I$26</f>
        <v>65.603999999999999</v>
      </c>
      <c r="N638" s="14">
        <f>'PIVOT TABLES'!$I$27-'PIVOT TABLES'!$I$26</f>
        <v>32.802000000000007</v>
      </c>
      <c r="O638" s="14">
        <f>'PIVOT TABLES'!$I$28-'PIVOT TABLES'!$I$27</f>
        <v>32.801999999999992</v>
      </c>
      <c r="P638" s="14">
        <f>200-SUM(Table3[[#This Row],[M - LIGHT]:[M - VIGOROUS]])</f>
        <v>68.792000000000002</v>
      </c>
      <c r="Q638" s="14">
        <f>'PIVOT TABLES'!$P$26</f>
        <v>62.64</v>
      </c>
      <c r="R638" s="14">
        <f>'PIVOT TABLES'!$P$27-'PIVOT TABLES'!$P$26</f>
        <v>31.320000000000007</v>
      </c>
      <c r="S638" s="14">
        <f>'PIVOT TABLES'!$P$28-'PIVOT TABLES'!$P$27</f>
        <v>31.319999999999993</v>
      </c>
      <c r="T638" s="14">
        <f>200-SUM(Table3[[#This Row],[W - LIGHT]:[W - VIGOROUS]])</f>
        <v>74.72</v>
      </c>
      <c r="U638" s="14">
        <f>'PIVOT TABLES'!$W$26</f>
        <v>55.895999999999994</v>
      </c>
      <c r="V638" s="14">
        <f>'PIVOT TABLES'!$W$27-'PIVOT TABLES'!$W$26</f>
        <v>27.948</v>
      </c>
      <c r="W638" s="14">
        <f>'PIVOT TABLES'!$W$28-'PIVOT TABLES'!$W$27</f>
        <v>27.947999999999993</v>
      </c>
      <c r="X638" s="14">
        <f>200-SUM(Table3[[#This Row],[S - LIGHT]:[S - VIGOROUS]])</f>
        <v>88.208000000000013</v>
      </c>
    </row>
    <row r="639" spans="1:24" x14ac:dyDescent="0.25">
      <c r="A639" s="17" t="s">
        <v>64</v>
      </c>
      <c r="B639" s="13" t="str">
        <f t="shared" si="9"/>
        <v>Midfielder</v>
      </c>
      <c r="C639" s="7">
        <v>45337.422453703701</v>
      </c>
      <c r="D639" s="14">
        <v>4253</v>
      </c>
      <c r="E639" s="14">
        <v>0</v>
      </c>
      <c r="F639" s="14">
        <v>2</v>
      </c>
      <c r="G639" s="14">
        <v>6</v>
      </c>
      <c r="H639" s="14">
        <v>42.73</v>
      </c>
      <c r="I639" s="14">
        <f>'PIVOT TABLES'!$B$26</f>
        <v>60.283999999999999</v>
      </c>
      <c r="J639" s="14">
        <f>'PIVOT TABLES'!$B$27-'PIVOT TABLES'!$B$26</f>
        <v>30.142000000000003</v>
      </c>
      <c r="K639" s="14">
        <f>'PIVOT TABLES'!$B$28-'PIVOT TABLES'!$B$27</f>
        <v>30.141999999999996</v>
      </c>
      <c r="L639" s="14">
        <f>200-SUM(Table3[[#This Row],[D - LIGHT]:[D - VIGOROUS]])</f>
        <v>79.432000000000002</v>
      </c>
      <c r="M639" s="14">
        <f>'PIVOT TABLES'!$I$26</f>
        <v>65.603999999999999</v>
      </c>
      <c r="N639" s="14">
        <f>'PIVOT TABLES'!$I$27-'PIVOT TABLES'!$I$26</f>
        <v>32.802000000000007</v>
      </c>
      <c r="O639" s="14">
        <f>'PIVOT TABLES'!$I$28-'PIVOT TABLES'!$I$27</f>
        <v>32.801999999999992</v>
      </c>
      <c r="P639" s="14">
        <f>200-SUM(Table3[[#This Row],[M - LIGHT]:[M - VIGOROUS]])</f>
        <v>68.792000000000002</v>
      </c>
      <c r="Q639" s="14">
        <f>'PIVOT TABLES'!$P$26</f>
        <v>62.64</v>
      </c>
      <c r="R639" s="14">
        <f>'PIVOT TABLES'!$P$27-'PIVOT TABLES'!$P$26</f>
        <v>31.320000000000007</v>
      </c>
      <c r="S639" s="14">
        <f>'PIVOT TABLES'!$P$28-'PIVOT TABLES'!$P$27</f>
        <v>31.319999999999993</v>
      </c>
      <c r="T639" s="14">
        <f>200-SUM(Table3[[#This Row],[W - LIGHT]:[W - VIGOROUS]])</f>
        <v>74.72</v>
      </c>
      <c r="U639" s="14">
        <f>'PIVOT TABLES'!$W$26</f>
        <v>55.895999999999994</v>
      </c>
      <c r="V639" s="14">
        <f>'PIVOT TABLES'!$W$27-'PIVOT TABLES'!$W$26</f>
        <v>27.948</v>
      </c>
      <c r="W639" s="14">
        <f>'PIVOT TABLES'!$W$28-'PIVOT TABLES'!$W$27</f>
        <v>27.947999999999993</v>
      </c>
      <c r="X639" s="14">
        <f>200-SUM(Table3[[#This Row],[S - LIGHT]:[S - VIGOROUS]])</f>
        <v>88.208000000000013</v>
      </c>
    </row>
    <row r="640" spans="1:24" x14ac:dyDescent="0.25">
      <c r="A640" s="17" t="s">
        <v>65</v>
      </c>
      <c r="B640" s="13" t="str">
        <f t="shared" si="9"/>
        <v>Winger</v>
      </c>
      <c r="C640" s="7">
        <v>45337.422453703701</v>
      </c>
      <c r="D640" s="14">
        <v>2541</v>
      </c>
      <c r="E640" s="14">
        <v>0</v>
      </c>
      <c r="F640" s="14">
        <v>4</v>
      </c>
      <c r="G640" s="14">
        <v>1</v>
      </c>
      <c r="H640" s="14">
        <v>25.59</v>
      </c>
      <c r="I640" s="14">
        <f>'PIVOT TABLES'!$B$26</f>
        <v>60.283999999999999</v>
      </c>
      <c r="J640" s="14">
        <f>'PIVOT TABLES'!$B$27-'PIVOT TABLES'!$B$26</f>
        <v>30.142000000000003</v>
      </c>
      <c r="K640" s="14">
        <f>'PIVOT TABLES'!$B$28-'PIVOT TABLES'!$B$27</f>
        <v>30.141999999999996</v>
      </c>
      <c r="L640" s="14">
        <f>200-SUM(Table3[[#This Row],[D - LIGHT]:[D - VIGOROUS]])</f>
        <v>79.432000000000002</v>
      </c>
      <c r="M640" s="14">
        <f>'PIVOT TABLES'!$I$26</f>
        <v>65.603999999999999</v>
      </c>
      <c r="N640" s="14">
        <f>'PIVOT TABLES'!$I$27-'PIVOT TABLES'!$I$26</f>
        <v>32.802000000000007</v>
      </c>
      <c r="O640" s="14">
        <f>'PIVOT TABLES'!$I$28-'PIVOT TABLES'!$I$27</f>
        <v>32.801999999999992</v>
      </c>
      <c r="P640" s="14">
        <f>200-SUM(Table3[[#This Row],[M - LIGHT]:[M - VIGOROUS]])</f>
        <v>68.792000000000002</v>
      </c>
      <c r="Q640" s="14">
        <f>'PIVOT TABLES'!$P$26</f>
        <v>62.64</v>
      </c>
      <c r="R640" s="14">
        <f>'PIVOT TABLES'!$P$27-'PIVOT TABLES'!$P$26</f>
        <v>31.320000000000007</v>
      </c>
      <c r="S640" s="14">
        <f>'PIVOT TABLES'!$P$28-'PIVOT TABLES'!$P$27</f>
        <v>31.319999999999993</v>
      </c>
      <c r="T640" s="14">
        <f>200-SUM(Table3[[#This Row],[W - LIGHT]:[W - VIGOROUS]])</f>
        <v>74.72</v>
      </c>
      <c r="U640" s="14">
        <f>'PIVOT TABLES'!$W$26</f>
        <v>55.895999999999994</v>
      </c>
      <c r="V640" s="14">
        <f>'PIVOT TABLES'!$W$27-'PIVOT TABLES'!$W$26</f>
        <v>27.948</v>
      </c>
      <c r="W640" s="14">
        <f>'PIVOT TABLES'!$W$28-'PIVOT TABLES'!$W$27</f>
        <v>27.947999999999993</v>
      </c>
      <c r="X640" s="14">
        <f>200-SUM(Table3[[#This Row],[S - LIGHT]:[S - VIGOROUS]])</f>
        <v>88.208000000000013</v>
      </c>
    </row>
    <row r="641" spans="1:24" x14ac:dyDescent="0.25">
      <c r="A641" s="17" t="s">
        <v>66</v>
      </c>
      <c r="B641" s="13" t="str">
        <f t="shared" si="9"/>
        <v>Striker</v>
      </c>
      <c r="C641" s="7">
        <v>45337.422453703701</v>
      </c>
      <c r="D641" s="14">
        <v>3449</v>
      </c>
      <c r="E641" s="14">
        <v>8</v>
      </c>
      <c r="F641" s="14">
        <v>9</v>
      </c>
      <c r="G641" s="14">
        <v>15</v>
      </c>
      <c r="H641" s="14">
        <v>35.39</v>
      </c>
      <c r="I641" s="14">
        <f>'PIVOT TABLES'!$B$26</f>
        <v>60.283999999999999</v>
      </c>
      <c r="J641" s="14">
        <f>'PIVOT TABLES'!$B$27-'PIVOT TABLES'!$B$26</f>
        <v>30.142000000000003</v>
      </c>
      <c r="K641" s="14">
        <f>'PIVOT TABLES'!$B$28-'PIVOT TABLES'!$B$27</f>
        <v>30.141999999999996</v>
      </c>
      <c r="L641" s="14">
        <f>200-SUM(Table3[[#This Row],[D - LIGHT]:[D - VIGOROUS]])</f>
        <v>79.432000000000002</v>
      </c>
      <c r="M641" s="14">
        <f>'PIVOT TABLES'!$I$26</f>
        <v>65.603999999999999</v>
      </c>
      <c r="N641" s="14">
        <f>'PIVOT TABLES'!$I$27-'PIVOT TABLES'!$I$26</f>
        <v>32.802000000000007</v>
      </c>
      <c r="O641" s="14">
        <f>'PIVOT TABLES'!$I$28-'PIVOT TABLES'!$I$27</f>
        <v>32.801999999999992</v>
      </c>
      <c r="P641" s="14">
        <f>200-SUM(Table3[[#This Row],[M - LIGHT]:[M - VIGOROUS]])</f>
        <v>68.792000000000002</v>
      </c>
      <c r="Q641" s="14">
        <f>'PIVOT TABLES'!$P$26</f>
        <v>62.64</v>
      </c>
      <c r="R641" s="14">
        <f>'PIVOT TABLES'!$P$27-'PIVOT TABLES'!$P$26</f>
        <v>31.320000000000007</v>
      </c>
      <c r="S641" s="14">
        <f>'PIVOT TABLES'!$P$28-'PIVOT TABLES'!$P$27</f>
        <v>31.319999999999993</v>
      </c>
      <c r="T641" s="14">
        <f>200-SUM(Table3[[#This Row],[W - LIGHT]:[W - VIGOROUS]])</f>
        <v>74.72</v>
      </c>
      <c r="U641" s="14">
        <f>'PIVOT TABLES'!$W$26</f>
        <v>55.895999999999994</v>
      </c>
      <c r="V641" s="14">
        <f>'PIVOT TABLES'!$W$27-'PIVOT TABLES'!$W$26</f>
        <v>27.948</v>
      </c>
      <c r="W641" s="14">
        <f>'PIVOT TABLES'!$W$28-'PIVOT TABLES'!$W$27</f>
        <v>27.947999999999993</v>
      </c>
      <c r="X641" s="14">
        <f>200-SUM(Table3[[#This Row],[S - LIGHT]:[S - VIGOROUS]])</f>
        <v>88.208000000000013</v>
      </c>
    </row>
    <row r="642" spans="1:24" x14ac:dyDescent="0.25">
      <c r="A642" s="17" t="s">
        <v>78</v>
      </c>
      <c r="B642" s="13" t="str">
        <f t="shared" si="9"/>
        <v>Defender</v>
      </c>
      <c r="C642" s="7">
        <v>45337.422453703701</v>
      </c>
      <c r="D642" s="14">
        <v>2878</v>
      </c>
      <c r="E642" s="14">
        <v>34</v>
      </c>
      <c r="F642" s="14">
        <v>3</v>
      </c>
      <c r="G642" s="14">
        <v>5</v>
      </c>
      <c r="H642" s="14">
        <v>30.02</v>
      </c>
      <c r="I642" s="14">
        <f>'PIVOT TABLES'!$B$26</f>
        <v>60.283999999999999</v>
      </c>
      <c r="J642" s="14">
        <f>'PIVOT TABLES'!$B$27-'PIVOT TABLES'!$B$26</f>
        <v>30.142000000000003</v>
      </c>
      <c r="K642" s="14">
        <f>'PIVOT TABLES'!$B$28-'PIVOT TABLES'!$B$27</f>
        <v>30.141999999999996</v>
      </c>
      <c r="L642" s="14">
        <f>200-SUM(Table3[[#This Row],[D - LIGHT]:[D - VIGOROUS]])</f>
        <v>79.432000000000002</v>
      </c>
      <c r="M642" s="14">
        <f>'PIVOT TABLES'!$I$26</f>
        <v>65.603999999999999</v>
      </c>
      <c r="N642" s="14">
        <f>'PIVOT TABLES'!$I$27-'PIVOT TABLES'!$I$26</f>
        <v>32.802000000000007</v>
      </c>
      <c r="O642" s="14">
        <f>'PIVOT TABLES'!$I$28-'PIVOT TABLES'!$I$27</f>
        <v>32.801999999999992</v>
      </c>
      <c r="P642" s="14">
        <f>200-SUM(Table3[[#This Row],[M - LIGHT]:[M - VIGOROUS]])</f>
        <v>68.792000000000002</v>
      </c>
      <c r="Q642" s="14">
        <f>'PIVOT TABLES'!$P$26</f>
        <v>62.64</v>
      </c>
      <c r="R642" s="14">
        <f>'PIVOT TABLES'!$P$27-'PIVOT TABLES'!$P$26</f>
        <v>31.320000000000007</v>
      </c>
      <c r="S642" s="14">
        <f>'PIVOT TABLES'!$P$28-'PIVOT TABLES'!$P$27</f>
        <v>31.319999999999993</v>
      </c>
      <c r="T642" s="14">
        <f>200-SUM(Table3[[#This Row],[W - LIGHT]:[W - VIGOROUS]])</f>
        <v>74.72</v>
      </c>
      <c r="U642" s="14">
        <f>'PIVOT TABLES'!$W$26</f>
        <v>55.895999999999994</v>
      </c>
      <c r="V642" s="14">
        <f>'PIVOT TABLES'!$W$27-'PIVOT TABLES'!$W$26</f>
        <v>27.948</v>
      </c>
      <c r="W642" s="14">
        <f>'PIVOT TABLES'!$W$28-'PIVOT TABLES'!$W$27</f>
        <v>27.947999999999993</v>
      </c>
      <c r="X642" s="14">
        <f>200-SUM(Table3[[#This Row],[S - LIGHT]:[S - VIGOROUS]])</f>
        <v>88.208000000000013</v>
      </c>
    </row>
    <row r="643" spans="1:24" x14ac:dyDescent="0.25">
      <c r="A643" s="17" t="s">
        <v>7</v>
      </c>
      <c r="B643" s="13" t="str">
        <f t="shared" ref="B643:B706" si="10">IF(A643="Sihle Gum","Defender",IF(A643="Kenny Langa","Defender",IF(A643="Tshepang Makara","Defender",IF(A643="Tshepiso Mahlangu","Defender",IF(A643="Neo Ramashala","Defender",IF(A643="Keabetswe Nkogatse","Defender",IF(A643="Kaketso Harold Majadibodu","Defender",IF(A643="Samuel Julies","Midfielder",IF(A643="Frank Mpedi","Midfielder",IF(A643="Sapholwethu Kelepu","Midfielder",IF(A643="Manelisi Sithole","Midfielder",IF(A643="Thabiso Mokoena","Midfielder",IF(A643="Khomotso Marebane","Midfielder",IF(A643="Tebogo Mohlamonyane","Midfielder",IF(A643="Thulani Zandamela","Midfielder",IF(A643="Mdevulana Camagu","Midfielder",IF(A643="Promise Mkhuma","Midfielder",IF(A643="Essien Makwarimba","Midfielder",IF(A643="Ayanda Mvambi","Winger",IF(A643="Delano Abrahams","Winger",IF(A643="Thokozani Sekotlong","Winger",IF(A643="Maselaelo Seanego","Winger",IF(A643="Lesedi Motha","Winger",IF(A643="Malekgene Mampuru","Winger",IF(A643="Matome Rangata","Winger",IF(A643="Thabang Sibanyoni","Striker",IF(A643="Tebogo Makungo","Striker",IF(A643="Neo Dikgale","Striker",IF(A643="Kamohelo Pheeane","Striker",IF(A643="Athenkosi Tonisi","Striker",IF(A643="Jesse Francis","Striker","####")))))))))))))))))))))))))))))))</f>
        <v>Winger</v>
      </c>
      <c r="C643" s="7">
        <v>45337.422453703701</v>
      </c>
      <c r="D643" s="14">
        <v>3375</v>
      </c>
      <c r="E643" s="14">
        <v>138</v>
      </c>
      <c r="F643" s="14">
        <v>6</v>
      </c>
      <c r="G643" s="14">
        <v>7</v>
      </c>
      <c r="H643" s="14">
        <v>38.270000000000003</v>
      </c>
      <c r="I643" s="14">
        <f>'PIVOT TABLES'!$B$26</f>
        <v>60.283999999999999</v>
      </c>
      <c r="J643" s="14">
        <f>'PIVOT TABLES'!$B$27-'PIVOT TABLES'!$B$26</f>
        <v>30.142000000000003</v>
      </c>
      <c r="K643" s="14">
        <f>'PIVOT TABLES'!$B$28-'PIVOT TABLES'!$B$27</f>
        <v>30.141999999999996</v>
      </c>
      <c r="L643" s="14">
        <f>200-SUM(Table3[[#This Row],[D - LIGHT]:[D - VIGOROUS]])</f>
        <v>79.432000000000002</v>
      </c>
      <c r="M643" s="14">
        <f>'PIVOT TABLES'!$I$26</f>
        <v>65.603999999999999</v>
      </c>
      <c r="N643" s="14">
        <f>'PIVOT TABLES'!$I$27-'PIVOT TABLES'!$I$26</f>
        <v>32.802000000000007</v>
      </c>
      <c r="O643" s="14">
        <f>'PIVOT TABLES'!$I$28-'PIVOT TABLES'!$I$27</f>
        <v>32.801999999999992</v>
      </c>
      <c r="P643" s="14">
        <f>200-SUM(Table3[[#This Row],[M - LIGHT]:[M - VIGOROUS]])</f>
        <v>68.792000000000002</v>
      </c>
      <c r="Q643" s="14">
        <f>'PIVOT TABLES'!$P$26</f>
        <v>62.64</v>
      </c>
      <c r="R643" s="14">
        <f>'PIVOT TABLES'!$P$27-'PIVOT TABLES'!$P$26</f>
        <v>31.320000000000007</v>
      </c>
      <c r="S643" s="14">
        <f>'PIVOT TABLES'!$P$28-'PIVOT TABLES'!$P$27</f>
        <v>31.319999999999993</v>
      </c>
      <c r="T643" s="14">
        <f>200-SUM(Table3[[#This Row],[W - LIGHT]:[W - VIGOROUS]])</f>
        <v>74.72</v>
      </c>
      <c r="U643" s="14">
        <f>'PIVOT TABLES'!$W$26</f>
        <v>55.895999999999994</v>
      </c>
      <c r="V643" s="14">
        <f>'PIVOT TABLES'!$W$27-'PIVOT TABLES'!$W$26</f>
        <v>27.948</v>
      </c>
      <c r="W643" s="14">
        <f>'PIVOT TABLES'!$W$28-'PIVOT TABLES'!$W$27</f>
        <v>27.947999999999993</v>
      </c>
      <c r="X643" s="14">
        <f>200-SUM(Table3[[#This Row],[S - LIGHT]:[S - VIGOROUS]])</f>
        <v>88.208000000000013</v>
      </c>
    </row>
    <row r="644" spans="1:24" x14ac:dyDescent="0.25">
      <c r="A644" s="17" t="s">
        <v>95</v>
      </c>
      <c r="B644" s="13" t="str">
        <f t="shared" si="10"/>
        <v>Winger</v>
      </c>
      <c r="C644" s="7">
        <v>45337.422453703701</v>
      </c>
      <c r="D644" s="14">
        <v>3388</v>
      </c>
      <c r="E644" s="14">
        <v>0</v>
      </c>
      <c r="F644" s="14">
        <v>5</v>
      </c>
      <c r="G644" s="14">
        <v>4</v>
      </c>
      <c r="H644" s="14">
        <v>34.159999999999997</v>
      </c>
      <c r="I644" s="14">
        <f>'PIVOT TABLES'!$B$26</f>
        <v>60.283999999999999</v>
      </c>
      <c r="J644" s="14">
        <f>'PIVOT TABLES'!$B$27-'PIVOT TABLES'!$B$26</f>
        <v>30.142000000000003</v>
      </c>
      <c r="K644" s="14">
        <f>'PIVOT TABLES'!$B$28-'PIVOT TABLES'!$B$27</f>
        <v>30.141999999999996</v>
      </c>
      <c r="L644" s="14">
        <f>200-SUM(Table3[[#This Row],[D - LIGHT]:[D - VIGOROUS]])</f>
        <v>79.432000000000002</v>
      </c>
      <c r="M644" s="14">
        <f>'PIVOT TABLES'!$I$26</f>
        <v>65.603999999999999</v>
      </c>
      <c r="N644" s="14">
        <f>'PIVOT TABLES'!$I$27-'PIVOT TABLES'!$I$26</f>
        <v>32.802000000000007</v>
      </c>
      <c r="O644" s="14">
        <f>'PIVOT TABLES'!$I$28-'PIVOT TABLES'!$I$27</f>
        <v>32.801999999999992</v>
      </c>
      <c r="P644" s="14">
        <f>200-SUM(Table3[[#This Row],[M - LIGHT]:[M - VIGOROUS]])</f>
        <v>68.792000000000002</v>
      </c>
      <c r="Q644" s="14">
        <f>'PIVOT TABLES'!$P$26</f>
        <v>62.64</v>
      </c>
      <c r="R644" s="14">
        <f>'PIVOT TABLES'!$P$27-'PIVOT TABLES'!$P$26</f>
        <v>31.320000000000007</v>
      </c>
      <c r="S644" s="14">
        <f>'PIVOT TABLES'!$P$28-'PIVOT TABLES'!$P$27</f>
        <v>31.319999999999993</v>
      </c>
      <c r="T644" s="14">
        <f>200-SUM(Table3[[#This Row],[W - LIGHT]:[W - VIGOROUS]])</f>
        <v>74.72</v>
      </c>
      <c r="U644" s="14">
        <f>'PIVOT TABLES'!$W$26</f>
        <v>55.895999999999994</v>
      </c>
      <c r="V644" s="14">
        <f>'PIVOT TABLES'!$W$27-'PIVOT TABLES'!$W$26</f>
        <v>27.948</v>
      </c>
      <c r="W644" s="14">
        <f>'PIVOT TABLES'!$W$28-'PIVOT TABLES'!$W$27</f>
        <v>27.947999999999993</v>
      </c>
      <c r="X644" s="14">
        <f>200-SUM(Table3[[#This Row],[S - LIGHT]:[S - VIGOROUS]])</f>
        <v>88.208000000000013</v>
      </c>
    </row>
    <row r="645" spans="1:24" x14ac:dyDescent="0.25">
      <c r="A645" s="17" t="s">
        <v>96</v>
      </c>
      <c r="B645" s="13" t="str">
        <f t="shared" si="10"/>
        <v>Winger</v>
      </c>
      <c r="C645" s="7">
        <v>45337.422453703701</v>
      </c>
      <c r="D645" s="14">
        <v>1144</v>
      </c>
      <c r="E645" s="14">
        <v>0</v>
      </c>
      <c r="F645" s="14">
        <v>0</v>
      </c>
      <c r="G645" s="14">
        <v>2</v>
      </c>
      <c r="H645" s="14">
        <v>11.48</v>
      </c>
      <c r="I645" s="14">
        <f>'PIVOT TABLES'!$B$26</f>
        <v>60.283999999999999</v>
      </c>
      <c r="J645" s="14">
        <f>'PIVOT TABLES'!$B$27-'PIVOT TABLES'!$B$26</f>
        <v>30.142000000000003</v>
      </c>
      <c r="K645" s="14">
        <f>'PIVOT TABLES'!$B$28-'PIVOT TABLES'!$B$27</f>
        <v>30.141999999999996</v>
      </c>
      <c r="L645" s="14">
        <f>200-SUM(Table3[[#This Row],[D - LIGHT]:[D - VIGOROUS]])</f>
        <v>79.432000000000002</v>
      </c>
      <c r="M645" s="14">
        <f>'PIVOT TABLES'!$I$26</f>
        <v>65.603999999999999</v>
      </c>
      <c r="N645" s="14">
        <f>'PIVOT TABLES'!$I$27-'PIVOT TABLES'!$I$26</f>
        <v>32.802000000000007</v>
      </c>
      <c r="O645" s="14">
        <f>'PIVOT TABLES'!$I$28-'PIVOT TABLES'!$I$27</f>
        <v>32.801999999999992</v>
      </c>
      <c r="P645" s="14">
        <f>200-SUM(Table3[[#This Row],[M - LIGHT]:[M - VIGOROUS]])</f>
        <v>68.792000000000002</v>
      </c>
      <c r="Q645" s="14">
        <f>'PIVOT TABLES'!$P$26</f>
        <v>62.64</v>
      </c>
      <c r="R645" s="14">
        <f>'PIVOT TABLES'!$P$27-'PIVOT TABLES'!$P$26</f>
        <v>31.320000000000007</v>
      </c>
      <c r="S645" s="14">
        <f>'PIVOT TABLES'!$P$28-'PIVOT TABLES'!$P$27</f>
        <v>31.319999999999993</v>
      </c>
      <c r="T645" s="14">
        <f>200-SUM(Table3[[#This Row],[W - LIGHT]:[W - VIGOROUS]])</f>
        <v>74.72</v>
      </c>
      <c r="U645" s="14">
        <f>'PIVOT TABLES'!$W$26</f>
        <v>55.895999999999994</v>
      </c>
      <c r="V645" s="14">
        <f>'PIVOT TABLES'!$W$27-'PIVOT TABLES'!$W$26</f>
        <v>27.948</v>
      </c>
      <c r="W645" s="14">
        <f>'PIVOT TABLES'!$W$28-'PIVOT TABLES'!$W$27</f>
        <v>27.947999999999993</v>
      </c>
      <c r="X645" s="14">
        <f>200-SUM(Table3[[#This Row],[S - LIGHT]:[S - VIGOROUS]])</f>
        <v>88.208000000000013</v>
      </c>
    </row>
    <row r="646" spans="1:24" x14ac:dyDescent="0.25">
      <c r="A646" s="17" t="s">
        <v>8</v>
      </c>
      <c r="B646" s="13" t="str">
        <f t="shared" si="10"/>
        <v>Striker</v>
      </c>
      <c r="C646" s="7">
        <v>45337.422453703701</v>
      </c>
      <c r="D646" s="14">
        <v>3692</v>
      </c>
      <c r="E646" s="14">
        <v>15</v>
      </c>
      <c r="F646" s="14">
        <v>7</v>
      </c>
      <c r="G646" s="14">
        <v>21</v>
      </c>
      <c r="H646" s="14">
        <v>38.07</v>
      </c>
      <c r="I646" s="14">
        <f>'PIVOT TABLES'!$B$26</f>
        <v>60.283999999999999</v>
      </c>
      <c r="J646" s="14">
        <f>'PIVOT TABLES'!$B$27-'PIVOT TABLES'!$B$26</f>
        <v>30.142000000000003</v>
      </c>
      <c r="K646" s="14">
        <f>'PIVOT TABLES'!$B$28-'PIVOT TABLES'!$B$27</f>
        <v>30.141999999999996</v>
      </c>
      <c r="L646" s="14">
        <f>200-SUM(Table3[[#This Row],[D - LIGHT]:[D - VIGOROUS]])</f>
        <v>79.432000000000002</v>
      </c>
      <c r="M646" s="14">
        <f>'PIVOT TABLES'!$I$26</f>
        <v>65.603999999999999</v>
      </c>
      <c r="N646" s="14">
        <f>'PIVOT TABLES'!$I$27-'PIVOT TABLES'!$I$26</f>
        <v>32.802000000000007</v>
      </c>
      <c r="O646" s="14">
        <f>'PIVOT TABLES'!$I$28-'PIVOT TABLES'!$I$27</f>
        <v>32.801999999999992</v>
      </c>
      <c r="P646" s="14">
        <f>200-SUM(Table3[[#This Row],[M - LIGHT]:[M - VIGOROUS]])</f>
        <v>68.792000000000002</v>
      </c>
      <c r="Q646" s="14">
        <f>'PIVOT TABLES'!$P$26</f>
        <v>62.64</v>
      </c>
      <c r="R646" s="14">
        <f>'PIVOT TABLES'!$P$27-'PIVOT TABLES'!$P$26</f>
        <v>31.320000000000007</v>
      </c>
      <c r="S646" s="14">
        <f>'PIVOT TABLES'!$P$28-'PIVOT TABLES'!$P$27</f>
        <v>31.319999999999993</v>
      </c>
      <c r="T646" s="14">
        <f>200-SUM(Table3[[#This Row],[W - LIGHT]:[W - VIGOROUS]])</f>
        <v>74.72</v>
      </c>
      <c r="U646" s="14">
        <f>'PIVOT TABLES'!$W$26</f>
        <v>55.895999999999994</v>
      </c>
      <c r="V646" s="14">
        <f>'PIVOT TABLES'!$W$27-'PIVOT TABLES'!$W$26</f>
        <v>27.948</v>
      </c>
      <c r="W646" s="14">
        <f>'PIVOT TABLES'!$W$28-'PIVOT TABLES'!$W$27</f>
        <v>27.947999999999993</v>
      </c>
      <c r="X646" s="14">
        <f>200-SUM(Table3[[#This Row],[S - LIGHT]:[S - VIGOROUS]])</f>
        <v>88.208000000000013</v>
      </c>
    </row>
    <row r="647" spans="1:24" x14ac:dyDescent="0.25">
      <c r="A647" s="17" t="s">
        <v>67</v>
      </c>
      <c r="B647" s="13" t="str">
        <f t="shared" si="10"/>
        <v>Midfielder</v>
      </c>
      <c r="C647" s="7">
        <v>45337.422453703701</v>
      </c>
      <c r="D647" s="14">
        <v>3462</v>
      </c>
      <c r="E647" s="14">
        <v>0</v>
      </c>
      <c r="F647" s="14">
        <v>10</v>
      </c>
      <c r="G647" s="14">
        <v>11</v>
      </c>
      <c r="H647" s="14">
        <v>35.24</v>
      </c>
      <c r="I647" s="14">
        <f>'PIVOT TABLES'!$B$26</f>
        <v>60.283999999999999</v>
      </c>
      <c r="J647" s="14">
        <f>'PIVOT TABLES'!$B$27-'PIVOT TABLES'!$B$26</f>
        <v>30.142000000000003</v>
      </c>
      <c r="K647" s="14">
        <f>'PIVOT TABLES'!$B$28-'PIVOT TABLES'!$B$27</f>
        <v>30.141999999999996</v>
      </c>
      <c r="L647" s="14">
        <f>200-SUM(Table3[[#This Row],[D - LIGHT]:[D - VIGOROUS]])</f>
        <v>79.432000000000002</v>
      </c>
      <c r="M647" s="14">
        <f>'PIVOT TABLES'!$I$26</f>
        <v>65.603999999999999</v>
      </c>
      <c r="N647" s="14">
        <f>'PIVOT TABLES'!$I$27-'PIVOT TABLES'!$I$26</f>
        <v>32.802000000000007</v>
      </c>
      <c r="O647" s="14">
        <f>'PIVOT TABLES'!$I$28-'PIVOT TABLES'!$I$27</f>
        <v>32.801999999999992</v>
      </c>
      <c r="P647" s="14">
        <f>200-SUM(Table3[[#This Row],[M - LIGHT]:[M - VIGOROUS]])</f>
        <v>68.792000000000002</v>
      </c>
      <c r="Q647" s="14">
        <f>'PIVOT TABLES'!$P$26</f>
        <v>62.64</v>
      </c>
      <c r="R647" s="14">
        <f>'PIVOT TABLES'!$P$27-'PIVOT TABLES'!$P$26</f>
        <v>31.320000000000007</v>
      </c>
      <c r="S647" s="14">
        <f>'PIVOT TABLES'!$P$28-'PIVOT TABLES'!$P$27</f>
        <v>31.319999999999993</v>
      </c>
      <c r="T647" s="14">
        <f>200-SUM(Table3[[#This Row],[W - LIGHT]:[W - VIGOROUS]])</f>
        <v>74.72</v>
      </c>
      <c r="U647" s="14">
        <f>'PIVOT TABLES'!$W$26</f>
        <v>55.895999999999994</v>
      </c>
      <c r="V647" s="14">
        <f>'PIVOT TABLES'!$W$27-'PIVOT TABLES'!$W$26</f>
        <v>27.948</v>
      </c>
      <c r="W647" s="14">
        <f>'PIVOT TABLES'!$W$28-'PIVOT TABLES'!$W$27</f>
        <v>27.947999999999993</v>
      </c>
      <c r="X647" s="14">
        <f>200-SUM(Table3[[#This Row],[S - LIGHT]:[S - VIGOROUS]])</f>
        <v>88.208000000000013</v>
      </c>
    </row>
    <row r="648" spans="1:24" x14ac:dyDescent="0.25">
      <c r="A648" s="17" t="s">
        <v>9</v>
      </c>
      <c r="B648" s="13" t="str">
        <f t="shared" si="10"/>
        <v>Striker</v>
      </c>
      <c r="C648" s="7">
        <v>45337.422453703701</v>
      </c>
      <c r="D648" s="14">
        <v>5402</v>
      </c>
      <c r="E648" s="14">
        <v>142</v>
      </c>
      <c r="F648" s="14">
        <v>12</v>
      </c>
      <c r="G648" s="14">
        <v>8</v>
      </c>
      <c r="H648" s="14">
        <v>58.92</v>
      </c>
      <c r="I648" s="14">
        <f>'PIVOT TABLES'!$B$26</f>
        <v>60.283999999999999</v>
      </c>
      <c r="J648" s="14">
        <f>'PIVOT TABLES'!$B$27-'PIVOT TABLES'!$B$26</f>
        <v>30.142000000000003</v>
      </c>
      <c r="K648" s="14">
        <f>'PIVOT TABLES'!$B$28-'PIVOT TABLES'!$B$27</f>
        <v>30.141999999999996</v>
      </c>
      <c r="L648" s="14">
        <f>200-SUM(Table3[[#This Row],[D - LIGHT]:[D - VIGOROUS]])</f>
        <v>79.432000000000002</v>
      </c>
      <c r="M648" s="14">
        <f>'PIVOT TABLES'!$I$26</f>
        <v>65.603999999999999</v>
      </c>
      <c r="N648" s="14">
        <f>'PIVOT TABLES'!$I$27-'PIVOT TABLES'!$I$26</f>
        <v>32.802000000000007</v>
      </c>
      <c r="O648" s="14">
        <f>'PIVOT TABLES'!$I$28-'PIVOT TABLES'!$I$27</f>
        <v>32.801999999999992</v>
      </c>
      <c r="P648" s="14">
        <f>200-SUM(Table3[[#This Row],[M - LIGHT]:[M - VIGOROUS]])</f>
        <v>68.792000000000002</v>
      </c>
      <c r="Q648" s="14">
        <f>'PIVOT TABLES'!$P$26</f>
        <v>62.64</v>
      </c>
      <c r="R648" s="14">
        <f>'PIVOT TABLES'!$P$27-'PIVOT TABLES'!$P$26</f>
        <v>31.320000000000007</v>
      </c>
      <c r="S648" s="14">
        <f>'PIVOT TABLES'!$P$28-'PIVOT TABLES'!$P$27</f>
        <v>31.319999999999993</v>
      </c>
      <c r="T648" s="14">
        <f>200-SUM(Table3[[#This Row],[W - LIGHT]:[W - VIGOROUS]])</f>
        <v>74.72</v>
      </c>
      <c r="U648" s="14">
        <f>'PIVOT TABLES'!$W$26</f>
        <v>55.895999999999994</v>
      </c>
      <c r="V648" s="14">
        <f>'PIVOT TABLES'!$W$27-'PIVOT TABLES'!$W$26</f>
        <v>27.948</v>
      </c>
      <c r="W648" s="14">
        <f>'PIVOT TABLES'!$W$28-'PIVOT TABLES'!$W$27</f>
        <v>27.947999999999993</v>
      </c>
      <c r="X648" s="14">
        <f>200-SUM(Table3[[#This Row],[S - LIGHT]:[S - VIGOROUS]])</f>
        <v>88.208000000000013</v>
      </c>
    </row>
    <row r="649" spans="1:24" x14ac:dyDescent="0.25">
      <c r="A649" s="17" t="s">
        <v>69</v>
      </c>
      <c r="B649" s="13" t="str">
        <f t="shared" si="10"/>
        <v>Midfielder</v>
      </c>
      <c r="C649" s="7">
        <v>45337.422453703701</v>
      </c>
      <c r="D649" s="14">
        <v>3406</v>
      </c>
      <c r="E649" s="14">
        <v>57</v>
      </c>
      <c r="F649" s="14">
        <v>5</v>
      </c>
      <c r="G649" s="14">
        <v>4</v>
      </c>
      <c r="H649" s="14">
        <v>36.049999999999997</v>
      </c>
      <c r="I649" s="14">
        <f>'PIVOT TABLES'!$B$26</f>
        <v>60.283999999999999</v>
      </c>
      <c r="J649" s="14">
        <f>'PIVOT TABLES'!$B$27-'PIVOT TABLES'!$B$26</f>
        <v>30.142000000000003</v>
      </c>
      <c r="K649" s="14">
        <f>'PIVOT TABLES'!$B$28-'PIVOT TABLES'!$B$27</f>
        <v>30.141999999999996</v>
      </c>
      <c r="L649" s="14">
        <f>200-SUM(Table3[[#This Row],[D - LIGHT]:[D - VIGOROUS]])</f>
        <v>79.432000000000002</v>
      </c>
      <c r="M649" s="14">
        <f>'PIVOT TABLES'!$I$26</f>
        <v>65.603999999999999</v>
      </c>
      <c r="N649" s="14">
        <f>'PIVOT TABLES'!$I$27-'PIVOT TABLES'!$I$26</f>
        <v>32.802000000000007</v>
      </c>
      <c r="O649" s="14">
        <f>'PIVOT TABLES'!$I$28-'PIVOT TABLES'!$I$27</f>
        <v>32.801999999999992</v>
      </c>
      <c r="P649" s="14">
        <f>200-SUM(Table3[[#This Row],[M - LIGHT]:[M - VIGOROUS]])</f>
        <v>68.792000000000002</v>
      </c>
      <c r="Q649" s="14">
        <f>'PIVOT TABLES'!$P$26</f>
        <v>62.64</v>
      </c>
      <c r="R649" s="14">
        <f>'PIVOT TABLES'!$P$27-'PIVOT TABLES'!$P$26</f>
        <v>31.320000000000007</v>
      </c>
      <c r="S649" s="14">
        <f>'PIVOT TABLES'!$P$28-'PIVOT TABLES'!$P$27</f>
        <v>31.319999999999993</v>
      </c>
      <c r="T649" s="14">
        <f>200-SUM(Table3[[#This Row],[W - LIGHT]:[W - VIGOROUS]])</f>
        <v>74.72</v>
      </c>
      <c r="U649" s="14">
        <f>'PIVOT TABLES'!$W$26</f>
        <v>55.895999999999994</v>
      </c>
      <c r="V649" s="14">
        <f>'PIVOT TABLES'!$W$27-'PIVOT TABLES'!$W$26</f>
        <v>27.948</v>
      </c>
      <c r="W649" s="14">
        <f>'PIVOT TABLES'!$W$28-'PIVOT TABLES'!$W$27</f>
        <v>27.947999999999993</v>
      </c>
      <c r="X649" s="14">
        <f>200-SUM(Table3[[#This Row],[S - LIGHT]:[S - VIGOROUS]])</f>
        <v>88.208000000000013</v>
      </c>
    </row>
    <row r="650" spans="1:24" x14ac:dyDescent="0.25">
      <c r="A650" s="17" t="s">
        <v>62</v>
      </c>
      <c r="B650" s="13" t="str">
        <f t="shared" si="10"/>
        <v>Midfielder</v>
      </c>
      <c r="C650" s="7">
        <v>45338.733182870368</v>
      </c>
      <c r="D650" s="14">
        <v>7780</v>
      </c>
      <c r="E650" s="14">
        <v>48</v>
      </c>
      <c r="F650" s="14">
        <v>22</v>
      </c>
      <c r="G650" s="14">
        <v>27</v>
      </c>
      <c r="H650" s="14">
        <v>80.66</v>
      </c>
      <c r="I650" s="14">
        <f>'PIVOT TABLES'!$B$26</f>
        <v>60.283999999999999</v>
      </c>
      <c r="J650" s="14">
        <f>'PIVOT TABLES'!$B$27-'PIVOT TABLES'!$B$26</f>
        <v>30.142000000000003</v>
      </c>
      <c r="K650" s="14">
        <f>'PIVOT TABLES'!$B$28-'PIVOT TABLES'!$B$27</f>
        <v>30.141999999999996</v>
      </c>
      <c r="L650" s="14">
        <f>200-SUM(Table3[[#This Row],[D - LIGHT]:[D - VIGOROUS]])</f>
        <v>79.432000000000002</v>
      </c>
      <c r="M650" s="14">
        <f>'PIVOT TABLES'!$I$26</f>
        <v>65.603999999999999</v>
      </c>
      <c r="N650" s="14">
        <f>'PIVOT TABLES'!$I$27-'PIVOT TABLES'!$I$26</f>
        <v>32.802000000000007</v>
      </c>
      <c r="O650" s="14">
        <f>'PIVOT TABLES'!$I$28-'PIVOT TABLES'!$I$27</f>
        <v>32.801999999999992</v>
      </c>
      <c r="P650" s="14">
        <f>200-SUM(Table3[[#This Row],[M - LIGHT]:[M - VIGOROUS]])</f>
        <v>68.792000000000002</v>
      </c>
      <c r="Q650" s="14">
        <f>'PIVOT TABLES'!$P$26</f>
        <v>62.64</v>
      </c>
      <c r="R650" s="14">
        <f>'PIVOT TABLES'!$P$27-'PIVOT TABLES'!$P$26</f>
        <v>31.320000000000007</v>
      </c>
      <c r="S650" s="14">
        <f>'PIVOT TABLES'!$P$28-'PIVOT TABLES'!$P$27</f>
        <v>31.319999999999993</v>
      </c>
      <c r="T650" s="14">
        <f>200-SUM(Table3[[#This Row],[W - LIGHT]:[W - VIGOROUS]])</f>
        <v>74.72</v>
      </c>
      <c r="U650" s="14">
        <f>'PIVOT TABLES'!$W$26</f>
        <v>55.895999999999994</v>
      </c>
      <c r="V650" s="14">
        <f>'PIVOT TABLES'!$W$27-'PIVOT TABLES'!$W$26</f>
        <v>27.948</v>
      </c>
      <c r="W650" s="14">
        <f>'PIVOT TABLES'!$W$28-'PIVOT TABLES'!$W$27</f>
        <v>27.947999999999993</v>
      </c>
      <c r="X650" s="14">
        <f>200-SUM(Table3[[#This Row],[S - LIGHT]:[S - VIGOROUS]])</f>
        <v>88.208000000000013</v>
      </c>
    </row>
    <row r="651" spans="1:24" x14ac:dyDescent="0.25">
      <c r="A651" s="17" t="s">
        <v>65</v>
      </c>
      <c r="B651" s="13" t="str">
        <f t="shared" si="10"/>
        <v>Winger</v>
      </c>
      <c r="C651" s="7">
        <v>45338.733182870368</v>
      </c>
      <c r="D651" s="14">
        <v>8996</v>
      </c>
      <c r="E651" s="14">
        <v>2</v>
      </c>
      <c r="F651" s="14">
        <v>23</v>
      </c>
      <c r="G651" s="14">
        <v>20</v>
      </c>
      <c r="H651" s="14">
        <v>76</v>
      </c>
      <c r="I651" s="14">
        <f>'PIVOT TABLES'!$B$26</f>
        <v>60.283999999999999</v>
      </c>
      <c r="J651" s="14">
        <f>'PIVOT TABLES'!$B$27-'PIVOT TABLES'!$B$26</f>
        <v>30.142000000000003</v>
      </c>
      <c r="K651" s="14">
        <f>'PIVOT TABLES'!$B$28-'PIVOT TABLES'!$B$27</f>
        <v>30.141999999999996</v>
      </c>
      <c r="L651" s="14">
        <f>200-SUM(Table3[[#This Row],[D - LIGHT]:[D - VIGOROUS]])</f>
        <v>79.432000000000002</v>
      </c>
      <c r="M651" s="14">
        <f>'PIVOT TABLES'!$I$26</f>
        <v>65.603999999999999</v>
      </c>
      <c r="N651" s="14">
        <f>'PIVOT TABLES'!$I$27-'PIVOT TABLES'!$I$26</f>
        <v>32.802000000000007</v>
      </c>
      <c r="O651" s="14">
        <f>'PIVOT TABLES'!$I$28-'PIVOT TABLES'!$I$27</f>
        <v>32.801999999999992</v>
      </c>
      <c r="P651" s="14">
        <f>200-SUM(Table3[[#This Row],[M - LIGHT]:[M - VIGOROUS]])</f>
        <v>68.792000000000002</v>
      </c>
      <c r="Q651" s="14">
        <f>'PIVOT TABLES'!$P$26</f>
        <v>62.64</v>
      </c>
      <c r="R651" s="14">
        <f>'PIVOT TABLES'!$P$27-'PIVOT TABLES'!$P$26</f>
        <v>31.320000000000007</v>
      </c>
      <c r="S651" s="14">
        <f>'PIVOT TABLES'!$P$28-'PIVOT TABLES'!$P$27</f>
        <v>31.319999999999993</v>
      </c>
      <c r="T651" s="14">
        <f>200-SUM(Table3[[#This Row],[W - LIGHT]:[W - VIGOROUS]])</f>
        <v>74.72</v>
      </c>
      <c r="U651" s="14">
        <f>'PIVOT TABLES'!$W$26</f>
        <v>55.895999999999994</v>
      </c>
      <c r="V651" s="14">
        <f>'PIVOT TABLES'!$W$27-'PIVOT TABLES'!$W$26</f>
        <v>27.948</v>
      </c>
      <c r="W651" s="14">
        <f>'PIVOT TABLES'!$W$28-'PIVOT TABLES'!$W$27</f>
        <v>27.947999999999993</v>
      </c>
      <c r="X651" s="14">
        <f>200-SUM(Table3[[#This Row],[S - LIGHT]:[S - VIGOROUS]])</f>
        <v>88.208000000000013</v>
      </c>
    </row>
    <row r="652" spans="1:24" x14ac:dyDescent="0.25">
      <c r="A652" s="17" t="s">
        <v>7</v>
      </c>
      <c r="B652" s="13" t="str">
        <f t="shared" si="10"/>
        <v>Winger</v>
      </c>
      <c r="C652" s="7">
        <v>45338.733182870368</v>
      </c>
      <c r="D652" s="14">
        <v>4917</v>
      </c>
      <c r="E652" s="14">
        <v>74</v>
      </c>
      <c r="F652" s="14">
        <v>23</v>
      </c>
      <c r="G652" s="14">
        <v>28</v>
      </c>
      <c r="H652" s="14">
        <v>75.87</v>
      </c>
      <c r="I652" s="14">
        <f>'PIVOT TABLES'!$B$26</f>
        <v>60.283999999999999</v>
      </c>
      <c r="J652" s="14">
        <f>'PIVOT TABLES'!$B$27-'PIVOT TABLES'!$B$26</f>
        <v>30.142000000000003</v>
      </c>
      <c r="K652" s="14">
        <f>'PIVOT TABLES'!$B$28-'PIVOT TABLES'!$B$27</f>
        <v>30.141999999999996</v>
      </c>
      <c r="L652" s="14">
        <f>200-SUM(Table3[[#This Row],[D - LIGHT]:[D - VIGOROUS]])</f>
        <v>79.432000000000002</v>
      </c>
      <c r="M652" s="14">
        <f>'PIVOT TABLES'!$I$26</f>
        <v>65.603999999999999</v>
      </c>
      <c r="N652" s="14">
        <f>'PIVOT TABLES'!$I$27-'PIVOT TABLES'!$I$26</f>
        <v>32.802000000000007</v>
      </c>
      <c r="O652" s="14">
        <f>'PIVOT TABLES'!$I$28-'PIVOT TABLES'!$I$27</f>
        <v>32.801999999999992</v>
      </c>
      <c r="P652" s="14">
        <f>200-SUM(Table3[[#This Row],[M - LIGHT]:[M - VIGOROUS]])</f>
        <v>68.792000000000002</v>
      </c>
      <c r="Q652" s="14">
        <f>'PIVOT TABLES'!$P$26</f>
        <v>62.64</v>
      </c>
      <c r="R652" s="14">
        <f>'PIVOT TABLES'!$P$27-'PIVOT TABLES'!$P$26</f>
        <v>31.320000000000007</v>
      </c>
      <c r="S652" s="14">
        <f>'PIVOT TABLES'!$P$28-'PIVOT TABLES'!$P$27</f>
        <v>31.319999999999993</v>
      </c>
      <c r="T652" s="14">
        <f>200-SUM(Table3[[#This Row],[W - LIGHT]:[W - VIGOROUS]])</f>
        <v>74.72</v>
      </c>
      <c r="U652" s="14">
        <f>'PIVOT TABLES'!$W$26</f>
        <v>55.895999999999994</v>
      </c>
      <c r="V652" s="14">
        <f>'PIVOT TABLES'!$W$27-'PIVOT TABLES'!$W$26</f>
        <v>27.948</v>
      </c>
      <c r="W652" s="14">
        <f>'PIVOT TABLES'!$W$28-'PIVOT TABLES'!$W$27</f>
        <v>27.947999999999993</v>
      </c>
      <c r="X652" s="14">
        <f>200-SUM(Table3[[#This Row],[S - LIGHT]:[S - VIGOROUS]])</f>
        <v>88.208000000000013</v>
      </c>
    </row>
    <row r="653" spans="1:24" x14ac:dyDescent="0.25">
      <c r="A653" s="17" t="s">
        <v>78</v>
      </c>
      <c r="B653" s="13" t="str">
        <f t="shared" si="10"/>
        <v>Defender</v>
      </c>
      <c r="C653" s="7">
        <v>45338.733182812502</v>
      </c>
      <c r="D653" s="14">
        <v>6954</v>
      </c>
      <c r="E653" s="14">
        <v>105</v>
      </c>
      <c r="F653" s="14">
        <v>33</v>
      </c>
      <c r="G653" s="14">
        <v>18</v>
      </c>
      <c r="H653" s="14">
        <v>74.37</v>
      </c>
      <c r="I653" s="14">
        <f>'PIVOT TABLES'!$B$26</f>
        <v>60.283999999999999</v>
      </c>
      <c r="J653" s="14">
        <f>'PIVOT TABLES'!$B$27-'PIVOT TABLES'!$B$26</f>
        <v>30.142000000000003</v>
      </c>
      <c r="K653" s="14">
        <f>'PIVOT TABLES'!$B$28-'PIVOT TABLES'!$B$27</f>
        <v>30.141999999999996</v>
      </c>
      <c r="L653" s="14">
        <f>200-SUM(Table3[[#This Row],[D - LIGHT]:[D - VIGOROUS]])</f>
        <v>79.432000000000002</v>
      </c>
      <c r="M653" s="14">
        <f>'PIVOT TABLES'!$I$26</f>
        <v>65.603999999999999</v>
      </c>
      <c r="N653" s="14">
        <f>'PIVOT TABLES'!$I$27-'PIVOT TABLES'!$I$26</f>
        <v>32.802000000000007</v>
      </c>
      <c r="O653" s="14">
        <f>'PIVOT TABLES'!$I$28-'PIVOT TABLES'!$I$27</f>
        <v>32.801999999999992</v>
      </c>
      <c r="P653" s="14">
        <f>200-SUM(Table3[[#This Row],[M - LIGHT]:[M - VIGOROUS]])</f>
        <v>68.792000000000002</v>
      </c>
      <c r="Q653" s="14">
        <f>'PIVOT TABLES'!$P$26</f>
        <v>62.64</v>
      </c>
      <c r="R653" s="14">
        <f>'PIVOT TABLES'!$P$27-'PIVOT TABLES'!$P$26</f>
        <v>31.320000000000007</v>
      </c>
      <c r="S653" s="14">
        <f>'PIVOT TABLES'!$P$28-'PIVOT TABLES'!$P$27</f>
        <v>31.319999999999993</v>
      </c>
      <c r="T653" s="14">
        <f>200-SUM(Table3[[#This Row],[W - LIGHT]:[W - VIGOROUS]])</f>
        <v>74.72</v>
      </c>
      <c r="U653" s="14">
        <f>'PIVOT TABLES'!$W$26</f>
        <v>55.895999999999994</v>
      </c>
      <c r="V653" s="14">
        <f>'PIVOT TABLES'!$W$27-'PIVOT TABLES'!$W$26</f>
        <v>27.948</v>
      </c>
      <c r="W653" s="14">
        <f>'PIVOT TABLES'!$W$28-'PIVOT TABLES'!$W$27</f>
        <v>27.947999999999993</v>
      </c>
      <c r="X653" s="14">
        <f>200-SUM(Table3[[#This Row],[S - LIGHT]:[S - VIGOROUS]])</f>
        <v>88.208000000000013</v>
      </c>
    </row>
    <row r="654" spans="1:24" x14ac:dyDescent="0.25">
      <c r="A654" s="17" t="s">
        <v>1</v>
      </c>
      <c r="B654" s="13" t="str">
        <f t="shared" si="10"/>
        <v>Defender</v>
      </c>
      <c r="C654" s="7">
        <v>45338.733182812502</v>
      </c>
      <c r="D654" s="14">
        <v>7038</v>
      </c>
      <c r="E654" s="14">
        <v>50</v>
      </c>
      <c r="F654" s="14">
        <v>26</v>
      </c>
      <c r="G654" s="14">
        <v>25</v>
      </c>
      <c r="H654" s="14">
        <v>73.42</v>
      </c>
      <c r="I654" s="14">
        <f>'PIVOT TABLES'!$B$26</f>
        <v>60.283999999999999</v>
      </c>
      <c r="J654" s="14">
        <f>'PIVOT TABLES'!$B$27-'PIVOT TABLES'!$B$26</f>
        <v>30.142000000000003</v>
      </c>
      <c r="K654" s="14">
        <f>'PIVOT TABLES'!$B$28-'PIVOT TABLES'!$B$27</f>
        <v>30.141999999999996</v>
      </c>
      <c r="L654" s="14">
        <f>200-SUM(Table3[[#This Row],[D - LIGHT]:[D - VIGOROUS]])</f>
        <v>79.432000000000002</v>
      </c>
      <c r="M654" s="14">
        <f>'PIVOT TABLES'!$I$26</f>
        <v>65.603999999999999</v>
      </c>
      <c r="N654" s="14">
        <f>'PIVOT TABLES'!$I$27-'PIVOT TABLES'!$I$26</f>
        <v>32.802000000000007</v>
      </c>
      <c r="O654" s="14">
        <f>'PIVOT TABLES'!$I$28-'PIVOT TABLES'!$I$27</f>
        <v>32.801999999999992</v>
      </c>
      <c r="P654" s="14">
        <f>200-SUM(Table3[[#This Row],[M - LIGHT]:[M - VIGOROUS]])</f>
        <v>68.792000000000002</v>
      </c>
      <c r="Q654" s="14">
        <f>'PIVOT TABLES'!$P$26</f>
        <v>62.64</v>
      </c>
      <c r="R654" s="14">
        <f>'PIVOT TABLES'!$P$27-'PIVOT TABLES'!$P$26</f>
        <v>31.320000000000007</v>
      </c>
      <c r="S654" s="14">
        <f>'PIVOT TABLES'!$P$28-'PIVOT TABLES'!$P$27</f>
        <v>31.319999999999993</v>
      </c>
      <c r="T654" s="14">
        <f>200-SUM(Table3[[#This Row],[W - LIGHT]:[W - VIGOROUS]])</f>
        <v>74.72</v>
      </c>
      <c r="U654" s="14">
        <f>'PIVOT TABLES'!$W$26</f>
        <v>55.895999999999994</v>
      </c>
      <c r="V654" s="14">
        <f>'PIVOT TABLES'!$W$27-'PIVOT TABLES'!$W$26</f>
        <v>27.948</v>
      </c>
      <c r="W654" s="14">
        <f>'PIVOT TABLES'!$W$28-'PIVOT TABLES'!$W$27</f>
        <v>27.947999999999993</v>
      </c>
      <c r="X654" s="14">
        <f>200-SUM(Table3[[#This Row],[S - LIGHT]:[S - VIGOROUS]])</f>
        <v>88.208000000000013</v>
      </c>
    </row>
    <row r="655" spans="1:24" x14ac:dyDescent="0.25">
      <c r="A655" s="17" t="s">
        <v>6</v>
      </c>
      <c r="B655" s="13" t="str">
        <f t="shared" si="10"/>
        <v>Midfielder</v>
      </c>
      <c r="C655" s="7">
        <v>45338.733182812502</v>
      </c>
      <c r="D655" s="14">
        <v>7955</v>
      </c>
      <c r="E655" s="14">
        <v>50</v>
      </c>
      <c r="F655" s="14">
        <v>32</v>
      </c>
      <c r="G655" s="14">
        <v>26</v>
      </c>
      <c r="H655" s="14">
        <v>82.85</v>
      </c>
      <c r="I655" s="14">
        <f>'PIVOT TABLES'!$B$26</f>
        <v>60.283999999999999</v>
      </c>
      <c r="J655" s="14">
        <f>'PIVOT TABLES'!$B$27-'PIVOT TABLES'!$B$26</f>
        <v>30.142000000000003</v>
      </c>
      <c r="K655" s="14">
        <f>'PIVOT TABLES'!$B$28-'PIVOT TABLES'!$B$27</f>
        <v>30.141999999999996</v>
      </c>
      <c r="L655" s="14">
        <f>200-SUM(Table3[[#This Row],[D - LIGHT]:[D - VIGOROUS]])</f>
        <v>79.432000000000002</v>
      </c>
      <c r="M655" s="14">
        <f>'PIVOT TABLES'!$I$26</f>
        <v>65.603999999999999</v>
      </c>
      <c r="N655" s="14">
        <f>'PIVOT TABLES'!$I$27-'PIVOT TABLES'!$I$26</f>
        <v>32.802000000000007</v>
      </c>
      <c r="O655" s="14">
        <f>'PIVOT TABLES'!$I$28-'PIVOT TABLES'!$I$27</f>
        <v>32.801999999999992</v>
      </c>
      <c r="P655" s="14">
        <f>200-SUM(Table3[[#This Row],[M - LIGHT]:[M - VIGOROUS]])</f>
        <v>68.792000000000002</v>
      </c>
      <c r="Q655" s="14">
        <f>'PIVOT TABLES'!$P$26</f>
        <v>62.64</v>
      </c>
      <c r="R655" s="14">
        <f>'PIVOT TABLES'!$P$27-'PIVOT TABLES'!$P$26</f>
        <v>31.320000000000007</v>
      </c>
      <c r="S655" s="14">
        <f>'PIVOT TABLES'!$P$28-'PIVOT TABLES'!$P$27</f>
        <v>31.319999999999993</v>
      </c>
      <c r="T655" s="14">
        <f>200-SUM(Table3[[#This Row],[W - LIGHT]:[W - VIGOROUS]])</f>
        <v>74.72</v>
      </c>
      <c r="U655" s="14">
        <f>'PIVOT TABLES'!$W$26</f>
        <v>55.895999999999994</v>
      </c>
      <c r="V655" s="14">
        <f>'PIVOT TABLES'!$W$27-'PIVOT TABLES'!$W$26</f>
        <v>27.948</v>
      </c>
      <c r="W655" s="14">
        <f>'PIVOT TABLES'!$W$28-'PIVOT TABLES'!$W$27</f>
        <v>27.947999999999993</v>
      </c>
      <c r="X655" s="14">
        <f>200-SUM(Table3[[#This Row],[S - LIGHT]:[S - VIGOROUS]])</f>
        <v>88.208000000000013</v>
      </c>
    </row>
    <row r="656" spans="1:24" x14ac:dyDescent="0.25">
      <c r="A656" s="17" t="s">
        <v>70</v>
      </c>
      <c r="B656" s="13" t="str">
        <f t="shared" si="10"/>
        <v>Winger</v>
      </c>
      <c r="C656" s="7">
        <v>45338.733182812502</v>
      </c>
      <c r="D656" s="14">
        <v>5834</v>
      </c>
      <c r="E656" s="14">
        <v>103</v>
      </c>
      <c r="F656" s="14">
        <v>18</v>
      </c>
      <c r="G656" s="14">
        <v>19</v>
      </c>
      <c r="H656" s="14">
        <v>62.53</v>
      </c>
      <c r="I656" s="14">
        <f>'PIVOT TABLES'!$B$26</f>
        <v>60.283999999999999</v>
      </c>
      <c r="J656" s="14">
        <f>'PIVOT TABLES'!$B$27-'PIVOT TABLES'!$B$26</f>
        <v>30.142000000000003</v>
      </c>
      <c r="K656" s="14">
        <f>'PIVOT TABLES'!$B$28-'PIVOT TABLES'!$B$27</f>
        <v>30.141999999999996</v>
      </c>
      <c r="L656" s="14">
        <f>200-SUM(Table3[[#This Row],[D - LIGHT]:[D - VIGOROUS]])</f>
        <v>79.432000000000002</v>
      </c>
      <c r="M656" s="14">
        <f>'PIVOT TABLES'!$I$26</f>
        <v>65.603999999999999</v>
      </c>
      <c r="N656" s="14">
        <f>'PIVOT TABLES'!$I$27-'PIVOT TABLES'!$I$26</f>
        <v>32.802000000000007</v>
      </c>
      <c r="O656" s="14">
        <f>'PIVOT TABLES'!$I$28-'PIVOT TABLES'!$I$27</f>
        <v>32.801999999999992</v>
      </c>
      <c r="P656" s="14">
        <f>200-SUM(Table3[[#This Row],[M - LIGHT]:[M - VIGOROUS]])</f>
        <v>68.792000000000002</v>
      </c>
      <c r="Q656" s="14">
        <f>'PIVOT TABLES'!$P$26</f>
        <v>62.64</v>
      </c>
      <c r="R656" s="14">
        <f>'PIVOT TABLES'!$P$27-'PIVOT TABLES'!$P$26</f>
        <v>31.320000000000007</v>
      </c>
      <c r="S656" s="14">
        <f>'PIVOT TABLES'!$P$28-'PIVOT TABLES'!$P$27</f>
        <v>31.319999999999993</v>
      </c>
      <c r="T656" s="14">
        <f>200-SUM(Table3[[#This Row],[W - LIGHT]:[W - VIGOROUS]])</f>
        <v>74.72</v>
      </c>
      <c r="U656" s="14">
        <f>'PIVOT TABLES'!$W$26</f>
        <v>55.895999999999994</v>
      </c>
      <c r="V656" s="14">
        <f>'PIVOT TABLES'!$W$27-'PIVOT TABLES'!$W$26</f>
        <v>27.948</v>
      </c>
      <c r="W656" s="14">
        <f>'PIVOT TABLES'!$W$28-'PIVOT TABLES'!$W$27</f>
        <v>27.947999999999993</v>
      </c>
      <c r="X656" s="14">
        <f>200-SUM(Table3[[#This Row],[S - LIGHT]:[S - VIGOROUS]])</f>
        <v>88.208000000000013</v>
      </c>
    </row>
    <row r="657" spans="1:24" x14ac:dyDescent="0.25">
      <c r="A657" s="17" t="s">
        <v>53</v>
      </c>
      <c r="B657" s="13" t="str">
        <f t="shared" si="10"/>
        <v>Midfielder</v>
      </c>
      <c r="C657" s="7">
        <v>45338.733182812502</v>
      </c>
      <c r="D657" s="14">
        <v>10264</v>
      </c>
      <c r="E657" s="14">
        <v>66</v>
      </c>
      <c r="F657" s="14">
        <v>38</v>
      </c>
      <c r="G657" s="14">
        <v>32</v>
      </c>
      <c r="H657" s="14">
        <v>106.78</v>
      </c>
      <c r="I657" s="14">
        <f>'PIVOT TABLES'!$B$26</f>
        <v>60.283999999999999</v>
      </c>
      <c r="J657" s="14">
        <f>'PIVOT TABLES'!$B$27-'PIVOT TABLES'!$B$26</f>
        <v>30.142000000000003</v>
      </c>
      <c r="K657" s="14">
        <f>'PIVOT TABLES'!$B$28-'PIVOT TABLES'!$B$27</f>
        <v>30.141999999999996</v>
      </c>
      <c r="L657" s="14">
        <f>200-SUM(Table3[[#This Row],[D - LIGHT]:[D - VIGOROUS]])</f>
        <v>79.432000000000002</v>
      </c>
      <c r="M657" s="14">
        <f>'PIVOT TABLES'!$I$26</f>
        <v>65.603999999999999</v>
      </c>
      <c r="N657" s="14">
        <f>'PIVOT TABLES'!$I$27-'PIVOT TABLES'!$I$26</f>
        <v>32.802000000000007</v>
      </c>
      <c r="O657" s="14">
        <f>'PIVOT TABLES'!$I$28-'PIVOT TABLES'!$I$27</f>
        <v>32.801999999999992</v>
      </c>
      <c r="P657" s="14">
        <f>200-SUM(Table3[[#This Row],[M - LIGHT]:[M - VIGOROUS]])</f>
        <v>68.792000000000002</v>
      </c>
      <c r="Q657" s="14">
        <f>'PIVOT TABLES'!$P$26</f>
        <v>62.64</v>
      </c>
      <c r="R657" s="14">
        <f>'PIVOT TABLES'!$P$27-'PIVOT TABLES'!$P$26</f>
        <v>31.320000000000007</v>
      </c>
      <c r="S657" s="14">
        <f>'PIVOT TABLES'!$P$28-'PIVOT TABLES'!$P$27</f>
        <v>31.319999999999993</v>
      </c>
      <c r="T657" s="14">
        <f>200-SUM(Table3[[#This Row],[W - LIGHT]:[W - VIGOROUS]])</f>
        <v>74.72</v>
      </c>
      <c r="U657" s="14">
        <f>'PIVOT TABLES'!$W$26</f>
        <v>55.895999999999994</v>
      </c>
      <c r="V657" s="14">
        <f>'PIVOT TABLES'!$W$27-'PIVOT TABLES'!$W$26</f>
        <v>27.948</v>
      </c>
      <c r="W657" s="14">
        <f>'PIVOT TABLES'!$W$28-'PIVOT TABLES'!$W$27</f>
        <v>27.947999999999993</v>
      </c>
      <c r="X657" s="14">
        <f>200-SUM(Table3[[#This Row],[S - LIGHT]:[S - VIGOROUS]])</f>
        <v>88.208000000000013</v>
      </c>
    </row>
    <row r="658" spans="1:24" x14ac:dyDescent="0.25">
      <c r="A658" s="17" t="s">
        <v>54</v>
      </c>
      <c r="B658" s="13" t="str">
        <f t="shared" si="10"/>
        <v>Striker</v>
      </c>
      <c r="C658" s="7">
        <v>45338.733182812502</v>
      </c>
      <c r="D658" s="14">
        <v>5533</v>
      </c>
      <c r="E658" s="14">
        <v>87</v>
      </c>
      <c r="F658" s="14">
        <v>25</v>
      </c>
      <c r="G658" s="14">
        <v>9</v>
      </c>
      <c r="H658" s="14">
        <v>59.12</v>
      </c>
      <c r="I658" s="14">
        <f>'PIVOT TABLES'!$B$26</f>
        <v>60.283999999999999</v>
      </c>
      <c r="J658" s="14">
        <f>'PIVOT TABLES'!$B$27-'PIVOT TABLES'!$B$26</f>
        <v>30.142000000000003</v>
      </c>
      <c r="K658" s="14">
        <f>'PIVOT TABLES'!$B$28-'PIVOT TABLES'!$B$27</f>
        <v>30.141999999999996</v>
      </c>
      <c r="L658" s="14">
        <f>200-SUM(Table3[[#This Row],[D - LIGHT]:[D - VIGOROUS]])</f>
        <v>79.432000000000002</v>
      </c>
      <c r="M658" s="14">
        <f>'PIVOT TABLES'!$I$26</f>
        <v>65.603999999999999</v>
      </c>
      <c r="N658" s="14">
        <f>'PIVOT TABLES'!$I$27-'PIVOT TABLES'!$I$26</f>
        <v>32.802000000000007</v>
      </c>
      <c r="O658" s="14">
        <f>'PIVOT TABLES'!$I$28-'PIVOT TABLES'!$I$27</f>
        <v>32.801999999999992</v>
      </c>
      <c r="P658" s="14">
        <f>200-SUM(Table3[[#This Row],[M - LIGHT]:[M - VIGOROUS]])</f>
        <v>68.792000000000002</v>
      </c>
      <c r="Q658" s="14">
        <f>'PIVOT TABLES'!$P$26</f>
        <v>62.64</v>
      </c>
      <c r="R658" s="14">
        <f>'PIVOT TABLES'!$P$27-'PIVOT TABLES'!$P$26</f>
        <v>31.320000000000007</v>
      </c>
      <c r="S658" s="14">
        <f>'PIVOT TABLES'!$P$28-'PIVOT TABLES'!$P$27</f>
        <v>31.319999999999993</v>
      </c>
      <c r="T658" s="14">
        <f>200-SUM(Table3[[#This Row],[W - LIGHT]:[W - VIGOROUS]])</f>
        <v>74.72</v>
      </c>
      <c r="U658" s="14">
        <f>'PIVOT TABLES'!$W$26</f>
        <v>55.895999999999994</v>
      </c>
      <c r="V658" s="14">
        <f>'PIVOT TABLES'!$W$27-'PIVOT TABLES'!$W$26</f>
        <v>27.948</v>
      </c>
      <c r="W658" s="14">
        <f>'PIVOT TABLES'!$W$28-'PIVOT TABLES'!$W$27</f>
        <v>27.947999999999993</v>
      </c>
      <c r="X658" s="14">
        <f>200-SUM(Table3[[#This Row],[S - LIGHT]:[S - VIGOROUS]])</f>
        <v>88.208000000000013</v>
      </c>
    </row>
    <row r="659" spans="1:24" x14ac:dyDescent="0.25">
      <c r="A659" s="17" t="s">
        <v>56</v>
      </c>
      <c r="B659" s="13" t="str">
        <f t="shared" si="10"/>
        <v>Midfielder</v>
      </c>
      <c r="C659" s="7">
        <v>45338.733182812502</v>
      </c>
      <c r="D659" s="14">
        <v>12827</v>
      </c>
      <c r="E659" s="14">
        <v>91</v>
      </c>
      <c r="F659" s="14">
        <v>37</v>
      </c>
      <c r="G659" s="14">
        <v>14</v>
      </c>
      <c r="H659" s="14">
        <v>132.76</v>
      </c>
      <c r="I659" s="14">
        <f>'PIVOT TABLES'!$B$26</f>
        <v>60.283999999999999</v>
      </c>
      <c r="J659" s="14">
        <f>'PIVOT TABLES'!$B$27-'PIVOT TABLES'!$B$26</f>
        <v>30.142000000000003</v>
      </c>
      <c r="K659" s="14">
        <f>'PIVOT TABLES'!$B$28-'PIVOT TABLES'!$B$27</f>
        <v>30.141999999999996</v>
      </c>
      <c r="L659" s="14">
        <f>200-SUM(Table3[[#This Row],[D - LIGHT]:[D - VIGOROUS]])</f>
        <v>79.432000000000002</v>
      </c>
      <c r="M659" s="14">
        <f>'PIVOT TABLES'!$I$26</f>
        <v>65.603999999999999</v>
      </c>
      <c r="N659" s="14">
        <f>'PIVOT TABLES'!$I$27-'PIVOT TABLES'!$I$26</f>
        <v>32.802000000000007</v>
      </c>
      <c r="O659" s="14">
        <f>'PIVOT TABLES'!$I$28-'PIVOT TABLES'!$I$27</f>
        <v>32.801999999999992</v>
      </c>
      <c r="P659" s="14">
        <f>200-SUM(Table3[[#This Row],[M - LIGHT]:[M - VIGOROUS]])</f>
        <v>68.792000000000002</v>
      </c>
      <c r="Q659" s="14">
        <f>'PIVOT TABLES'!$P$26</f>
        <v>62.64</v>
      </c>
      <c r="R659" s="14">
        <f>'PIVOT TABLES'!$P$27-'PIVOT TABLES'!$P$26</f>
        <v>31.320000000000007</v>
      </c>
      <c r="S659" s="14">
        <f>'PIVOT TABLES'!$P$28-'PIVOT TABLES'!$P$27</f>
        <v>31.319999999999993</v>
      </c>
      <c r="T659" s="14">
        <f>200-SUM(Table3[[#This Row],[W - LIGHT]:[W - VIGOROUS]])</f>
        <v>74.72</v>
      </c>
      <c r="U659" s="14">
        <f>'PIVOT TABLES'!$W$26</f>
        <v>55.895999999999994</v>
      </c>
      <c r="V659" s="14">
        <f>'PIVOT TABLES'!$W$27-'PIVOT TABLES'!$W$26</f>
        <v>27.948</v>
      </c>
      <c r="W659" s="14">
        <f>'PIVOT TABLES'!$W$28-'PIVOT TABLES'!$W$27</f>
        <v>27.947999999999993</v>
      </c>
      <c r="X659" s="14">
        <f>200-SUM(Table3[[#This Row],[S - LIGHT]:[S - VIGOROUS]])</f>
        <v>88.208000000000013</v>
      </c>
    </row>
    <row r="660" spans="1:24" x14ac:dyDescent="0.25">
      <c r="A660" s="17" t="s">
        <v>2</v>
      </c>
      <c r="B660" s="13" t="str">
        <f t="shared" si="10"/>
        <v>Defender</v>
      </c>
      <c r="C660" s="7">
        <v>45338.733182812502</v>
      </c>
      <c r="D660" s="14">
        <v>9489</v>
      </c>
      <c r="E660" s="14">
        <v>306</v>
      </c>
      <c r="F660" s="14">
        <v>45</v>
      </c>
      <c r="G660" s="14">
        <v>20</v>
      </c>
      <c r="H660" s="14">
        <v>106.27</v>
      </c>
      <c r="I660" s="14">
        <f>'PIVOT TABLES'!$B$26</f>
        <v>60.283999999999999</v>
      </c>
      <c r="J660" s="14">
        <f>'PIVOT TABLES'!$B$27-'PIVOT TABLES'!$B$26</f>
        <v>30.142000000000003</v>
      </c>
      <c r="K660" s="14">
        <f>'PIVOT TABLES'!$B$28-'PIVOT TABLES'!$B$27</f>
        <v>30.141999999999996</v>
      </c>
      <c r="L660" s="14">
        <f>200-SUM(Table3[[#This Row],[D - LIGHT]:[D - VIGOROUS]])</f>
        <v>79.432000000000002</v>
      </c>
      <c r="M660" s="14">
        <f>'PIVOT TABLES'!$I$26</f>
        <v>65.603999999999999</v>
      </c>
      <c r="N660" s="14">
        <f>'PIVOT TABLES'!$I$27-'PIVOT TABLES'!$I$26</f>
        <v>32.802000000000007</v>
      </c>
      <c r="O660" s="14">
        <f>'PIVOT TABLES'!$I$28-'PIVOT TABLES'!$I$27</f>
        <v>32.801999999999992</v>
      </c>
      <c r="P660" s="14">
        <f>200-SUM(Table3[[#This Row],[M - LIGHT]:[M - VIGOROUS]])</f>
        <v>68.792000000000002</v>
      </c>
      <c r="Q660" s="14">
        <f>'PIVOT TABLES'!$P$26</f>
        <v>62.64</v>
      </c>
      <c r="R660" s="14">
        <f>'PIVOT TABLES'!$P$27-'PIVOT TABLES'!$P$26</f>
        <v>31.320000000000007</v>
      </c>
      <c r="S660" s="14">
        <f>'PIVOT TABLES'!$P$28-'PIVOT TABLES'!$P$27</f>
        <v>31.319999999999993</v>
      </c>
      <c r="T660" s="14">
        <f>200-SUM(Table3[[#This Row],[W - LIGHT]:[W - VIGOROUS]])</f>
        <v>74.72</v>
      </c>
      <c r="U660" s="14">
        <f>'PIVOT TABLES'!$W$26</f>
        <v>55.895999999999994</v>
      </c>
      <c r="V660" s="14">
        <f>'PIVOT TABLES'!$W$27-'PIVOT TABLES'!$W$26</f>
        <v>27.948</v>
      </c>
      <c r="W660" s="14">
        <f>'PIVOT TABLES'!$W$28-'PIVOT TABLES'!$W$27</f>
        <v>27.947999999999993</v>
      </c>
      <c r="X660" s="14">
        <f>200-SUM(Table3[[#This Row],[S - LIGHT]:[S - VIGOROUS]])</f>
        <v>88.208000000000013</v>
      </c>
    </row>
    <row r="661" spans="1:24" x14ac:dyDescent="0.25">
      <c r="A661" s="17" t="s">
        <v>58</v>
      </c>
      <c r="B661" s="13" t="str">
        <f t="shared" si="10"/>
        <v>Defender</v>
      </c>
      <c r="C661" s="7">
        <v>45338.733182812502</v>
      </c>
      <c r="D661" s="14">
        <v>10843</v>
      </c>
      <c r="E661" s="14">
        <v>83</v>
      </c>
      <c r="F661" s="14">
        <v>42</v>
      </c>
      <c r="G661" s="14">
        <v>31</v>
      </c>
      <c r="H661" s="14">
        <v>113.22</v>
      </c>
      <c r="I661" s="14">
        <f>'PIVOT TABLES'!$B$26</f>
        <v>60.283999999999999</v>
      </c>
      <c r="J661" s="14">
        <f>'PIVOT TABLES'!$B$27-'PIVOT TABLES'!$B$26</f>
        <v>30.142000000000003</v>
      </c>
      <c r="K661" s="14">
        <f>'PIVOT TABLES'!$B$28-'PIVOT TABLES'!$B$27</f>
        <v>30.141999999999996</v>
      </c>
      <c r="L661" s="14">
        <f>200-SUM(Table3[[#This Row],[D - LIGHT]:[D - VIGOROUS]])</f>
        <v>79.432000000000002</v>
      </c>
      <c r="M661" s="14">
        <f>'PIVOT TABLES'!$I$26</f>
        <v>65.603999999999999</v>
      </c>
      <c r="N661" s="14">
        <f>'PIVOT TABLES'!$I$27-'PIVOT TABLES'!$I$26</f>
        <v>32.802000000000007</v>
      </c>
      <c r="O661" s="14">
        <f>'PIVOT TABLES'!$I$28-'PIVOT TABLES'!$I$27</f>
        <v>32.801999999999992</v>
      </c>
      <c r="P661" s="14">
        <f>200-SUM(Table3[[#This Row],[M - LIGHT]:[M - VIGOROUS]])</f>
        <v>68.792000000000002</v>
      </c>
      <c r="Q661" s="14">
        <f>'PIVOT TABLES'!$P$26</f>
        <v>62.64</v>
      </c>
      <c r="R661" s="14">
        <f>'PIVOT TABLES'!$P$27-'PIVOT TABLES'!$P$26</f>
        <v>31.320000000000007</v>
      </c>
      <c r="S661" s="14">
        <f>'PIVOT TABLES'!$P$28-'PIVOT TABLES'!$P$27</f>
        <v>31.319999999999993</v>
      </c>
      <c r="T661" s="14">
        <f>200-SUM(Table3[[#This Row],[W - LIGHT]:[W - VIGOROUS]])</f>
        <v>74.72</v>
      </c>
      <c r="U661" s="14">
        <f>'PIVOT TABLES'!$W$26</f>
        <v>55.895999999999994</v>
      </c>
      <c r="V661" s="14">
        <f>'PIVOT TABLES'!$W$27-'PIVOT TABLES'!$W$26</f>
        <v>27.948</v>
      </c>
      <c r="W661" s="14">
        <f>'PIVOT TABLES'!$W$28-'PIVOT TABLES'!$W$27</f>
        <v>27.947999999999993</v>
      </c>
      <c r="X661" s="14">
        <f>200-SUM(Table3[[#This Row],[S - LIGHT]:[S - VIGOROUS]])</f>
        <v>88.208000000000013</v>
      </c>
    </row>
    <row r="662" spans="1:24" x14ac:dyDescent="0.25">
      <c r="A662" s="17" t="s">
        <v>94</v>
      </c>
      <c r="B662" s="13" t="str">
        <f t="shared" si="10"/>
        <v>Defender</v>
      </c>
      <c r="C662" s="7">
        <v>45338.733182812502</v>
      </c>
      <c r="D662" s="14">
        <v>10120</v>
      </c>
      <c r="E662" s="14">
        <v>132</v>
      </c>
      <c r="F662" s="14">
        <v>20</v>
      </c>
      <c r="G662" s="14">
        <v>15</v>
      </c>
      <c r="H662" s="14">
        <v>106.26</v>
      </c>
      <c r="I662" s="14">
        <f>'PIVOT TABLES'!$B$26</f>
        <v>60.283999999999999</v>
      </c>
      <c r="J662" s="14">
        <f>'PIVOT TABLES'!$B$27-'PIVOT TABLES'!$B$26</f>
        <v>30.142000000000003</v>
      </c>
      <c r="K662" s="14">
        <f>'PIVOT TABLES'!$B$28-'PIVOT TABLES'!$B$27</f>
        <v>30.141999999999996</v>
      </c>
      <c r="L662" s="14">
        <f>200-SUM(Table3[[#This Row],[D - LIGHT]:[D - VIGOROUS]])</f>
        <v>79.432000000000002</v>
      </c>
      <c r="M662" s="14">
        <f>'PIVOT TABLES'!$I$26</f>
        <v>65.603999999999999</v>
      </c>
      <c r="N662" s="14">
        <f>'PIVOT TABLES'!$I$27-'PIVOT TABLES'!$I$26</f>
        <v>32.802000000000007</v>
      </c>
      <c r="O662" s="14">
        <f>'PIVOT TABLES'!$I$28-'PIVOT TABLES'!$I$27</f>
        <v>32.801999999999992</v>
      </c>
      <c r="P662" s="14">
        <f>200-SUM(Table3[[#This Row],[M - LIGHT]:[M - VIGOROUS]])</f>
        <v>68.792000000000002</v>
      </c>
      <c r="Q662" s="14">
        <f>'PIVOT TABLES'!$P$26</f>
        <v>62.64</v>
      </c>
      <c r="R662" s="14">
        <f>'PIVOT TABLES'!$P$27-'PIVOT TABLES'!$P$26</f>
        <v>31.320000000000007</v>
      </c>
      <c r="S662" s="14">
        <f>'PIVOT TABLES'!$P$28-'PIVOT TABLES'!$P$27</f>
        <v>31.319999999999993</v>
      </c>
      <c r="T662" s="14">
        <f>200-SUM(Table3[[#This Row],[W - LIGHT]:[W - VIGOROUS]])</f>
        <v>74.72</v>
      </c>
      <c r="U662" s="14">
        <f>'PIVOT TABLES'!$W$26</f>
        <v>55.895999999999994</v>
      </c>
      <c r="V662" s="14">
        <f>'PIVOT TABLES'!$W$27-'PIVOT TABLES'!$W$26</f>
        <v>27.948</v>
      </c>
      <c r="W662" s="14">
        <f>'PIVOT TABLES'!$W$28-'PIVOT TABLES'!$W$27</f>
        <v>27.947999999999993</v>
      </c>
      <c r="X662" s="14">
        <f>200-SUM(Table3[[#This Row],[S - LIGHT]:[S - VIGOROUS]])</f>
        <v>88.208000000000013</v>
      </c>
    </row>
    <row r="663" spans="1:24" x14ac:dyDescent="0.25">
      <c r="A663" s="17" t="s">
        <v>3</v>
      </c>
      <c r="B663" s="13" t="str">
        <f t="shared" si="10"/>
        <v>Defender</v>
      </c>
      <c r="C663" s="7">
        <v>45338.733182812502</v>
      </c>
      <c r="D663" s="14">
        <v>11186</v>
      </c>
      <c r="E663" s="14">
        <v>87</v>
      </c>
      <c r="F663" s="14">
        <v>35</v>
      </c>
      <c r="G663" s="14">
        <v>45</v>
      </c>
      <c r="H663" s="14">
        <v>116.77</v>
      </c>
      <c r="I663" s="14">
        <f>'PIVOT TABLES'!$B$26</f>
        <v>60.283999999999999</v>
      </c>
      <c r="J663" s="14">
        <f>'PIVOT TABLES'!$B$27-'PIVOT TABLES'!$B$26</f>
        <v>30.142000000000003</v>
      </c>
      <c r="K663" s="14">
        <f>'PIVOT TABLES'!$B$28-'PIVOT TABLES'!$B$27</f>
        <v>30.141999999999996</v>
      </c>
      <c r="L663" s="14">
        <f>200-SUM(Table3[[#This Row],[D - LIGHT]:[D - VIGOROUS]])</f>
        <v>79.432000000000002</v>
      </c>
      <c r="M663" s="14">
        <f>'PIVOT TABLES'!$I$26</f>
        <v>65.603999999999999</v>
      </c>
      <c r="N663" s="14">
        <f>'PIVOT TABLES'!$I$27-'PIVOT TABLES'!$I$26</f>
        <v>32.802000000000007</v>
      </c>
      <c r="O663" s="14">
        <f>'PIVOT TABLES'!$I$28-'PIVOT TABLES'!$I$27</f>
        <v>32.801999999999992</v>
      </c>
      <c r="P663" s="14">
        <f>200-SUM(Table3[[#This Row],[M - LIGHT]:[M - VIGOROUS]])</f>
        <v>68.792000000000002</v>
      </c>
      <c r="Q663" s="14">
        <f>'PIVOT TABLES'!$P$26</f>
        <v>62.64</v>
      </c>
      <c r="R663" s="14">
        <f>'PIVOT TABLES'!$P$27-'PIVOT TABLES'!$P$26</f>
        <v>31.320000000000007</v>
      </c>
      <c r="S663" s="14">
        <f>'PIVOT TABLES'!$P$28-'PIVOT TABLES'!$P$27</f>
        <v>31.319999999999993</v>
      </c>
      <c r="T663" s="14">
        <f>200-SUM(Table3[[#This Row],[W - LIGHT]:[W - VIGOROUS]])</f>
        <v>74.72</v>
      </c>
      <c r="U663" s="14">
        <f>'PIVOT TABLES'!$W$26</f>
        <v>55.895999999999994</v>
      </c>
      <c r="V663" s="14">
        <f>'PIVOT TABLES'!$W$27-'PIVOT TABLES'!$W$26</f>
        <v>27.948</v>
      </c>
      <c r="W663" s="14">
        <f>'PIVOT TABLES'!$W$28-'PIVOT TABLES'!$W$27</f>
        <v>27.947999999999993</v>
      </c>
      <c r="X663" s="14">
        <f>200-SUM(Table3[[#This Row],[S - LIGHT]:[S - VIGOROUS]])</f>
        <v>88.208000000000013</v>
      </c>
    </row>
    <row r="664" spans="1:24" x14ac:dyDescent="0.25">
      <c r="A664" s="17" t="s">
        <v>60</v>
      </c>
      <c r="B664" s="13" t="str">
        <f t="shared" si="10"/>
        <v>Winger</v>
      </c>
      <c r="C664" s="7">
        <v>45338.733182812502</v>
      </c>
      <c r="D664" s="14">
        <v>11334</v>
      </c>
      <c r="E664" s="14">
        <v>242</v>
      </c>
      <c r="F664" s="14">
        <v>39</v>
      </c>
      <c r="G664" s="14">
        <v>28</v>
      </c>
      <c r="H664" s="14">
        <v>122.72</v>
      </c>
      <c r="I664" s="14">
        <f>'PIVOT TABLES'!$B$26</f>
        <v>60.283999999999999</v>
      </c>
      <c r="J664" s="14">
        <f>'PIVOT TABLES'!$B$27-'PIVOT TABLES'!$B$26</f>
        <v>30.142000000000003</v>
      </c>
      <c r="K664" s="14">
        <f>'PIVOT TABLES'!$B$28-'PIVOT TABLES'!$B$27</f>
        <v>30.141999999999996</v>
      </c>
      <c r="L664" s="14">
        <f>200-SUM(Table3[[#This Row],[D - LIGHT]:[D - VIGOROUS]])</f>
        <v>79.432000000000002</v>
      </c>
      <c r="M664" s="14">
        <f>'PIVOT TABLES'!$I$26</f>
        <v>65.603999999999999</v>
      </c>
      <c r="N664" s="14">
        <f>'PIVOT TABLES'!$I$27-'PIVOT TABLES'!$I$26</f>
        <v>32.802000000000007</v>
      </c>
      <c r="O664" s="14">
        <f>'PIVOT TABLES'!$I$28-'PIVOT TABLES'!$I$27</f>
        <v>32.801999999999992</v>
      </c>
      <c r="P664" s="14">
        <f>200-SUM(Table3[[#This Row],[M - LIGHT]:[M - VIGOROUS]])</f>
        <v>68.792000000000002</v>
      </c>
      <c r="Q664" s="14">
        <f>'PIVOT TABLES'!$P$26</f>
        <v>62.64</v>
      </c>
      <c r="R664" s="14">
        <f>'PIVOT TABLES'!$P$27-'PIVOT TABLES'!$P$26</f>
        <v>31.320000000000007</v>
      </c>
      <c r="S664" s="14">
        <f>'PIVOT TABLES'!$P$28-'PIVOT TABLES'!$P$27</f>
        <v>31.319999999999993</v>
      </c>
      <c r="T664" s="14">
        <f>200-SUM(Table3[[#This Row],[W - LIGHT]:[W - VIGOROUS]])</f>
        <v>74.72</v>
      </c>
      <c r="U664" s="14">
        <f>'PIVOT TABLES'!$W$26</f>
        <v>55.895999999999994</v>
      </c>
      <c r="V664" s="14">
        <f>'PIVOT TABLES'!$W$27-'PIVOT TABLES'!$W$26</f>
        <v>27.948</v>
      </c>
      <c r="W664" s="14">
        <f>'PIVOT TABLES'!$W$28-'PIVOT TABLES'!$W$27</f>
        <v>27.947999999999993</v>
      </c>
      <c r="X664" s="14">
        <f>200-SUM(Table3[[#This Row],[S - LIGHT]:[S - VIGOROUS]])</f>
        <v>88.208000000000013</v>
      </c>
    </row>
    <row r="665" spans="1:24" x14ac:dyDescent="0.25">
      <c r="A665" s="17" t="s">
        <v>64</v>
      </c>
      <c r="B665" s="13" t="str">
        <f t="shared" si="10"/>
        <v>Midfielder</v>
      </c>
      <c r="C665" s="7">
        <v>45338.733182812502</v>
      </c>
      <c r="D665" s="14">
        <v>12993</v>
      </c>
      <c r="E665" s="14">
        <v>91</v>
      </c>
      <c r="F665" s="14">
        <v>39</v>
      </c>
      <c r="G665" s="14">
        <v>34</v>
      </c>
      <c r="H665" s="14">
        <v>134.9</v>
      </c>
      <c r="I665" s="14">
        <f>'PIVOT TABLES'!$B$26</f>
        <v>60.283999999999999</v>
      </c>
      <c r="J665" s="14">
        <f>'PIVOT TABLES'!$B$27-'PIVOT TABLES'!$B$26</f>
        <v>30.142000000000003</v>
      </c>
      <c r="K665" s="14">
        <f>'PIVOT TABLES'!$B$28-'PIVOT TABLES'!$B$27</f>
        <v>30.141999999999996</v>
      </c>
      <c r="L665" s="14">
        <f>200-SUM(Table3[[#This Row],[D - LIGHT]:[D - VIGOROUS]])</f>
        <v>79.432000000000002</v>
      </c>
      <c r="M665" s="14">
        <f>'PIVOT TABLES'!$I$26</f>
        <v>65.603999999999999</v>
      </c>
      <c r="N665" s="14">
        <f>'PIVOT TABLES'!$I$27-'PIVOT TABLES'!$I$26</f>
        <v>32.802000000000007</v>
      </c>
      <c r="O665" s="14">
        <f>'PIVOT TABLES'!$I$28-'PIVOT TABLES'!$I$27</f>
        <v>32.801999999999992</v>
      </c>
      <c r="P665" s="14">
        <f>200-SUM(Table3[[#This Row],[M - LIGHT]:[M - VIGOROUS]])</f>
        <v>68.792000000000002</v>
      </c>
      <c r="Q665" s="14">
        <f>'PIVOT TABLES'!$P$26</f>
        <v>62.64</v>
      </c>
      <c r="R665" s="14">
        <f>'PIVOT TABLES'!$P$27-'PIVOT TABLES'!$P$26</f>
        <v>31.320000000000007</v>
      </c>
      <c r="S665" s="14">
        <f>'PIVOT TABLES'!$P$28-'PIVOT TABLES'!$P$27</f>
        <v>31.319999999999993</v>
      </c>
      <c r="T665" s="14">
        <f>200-SUM(Table3[[#This Row],[W - LIGHT]:[W - VIGOROUS]])</f>
        <v>74.72</v>
      </c>
      <c r="U665" s="14">
        <f>'PIVOT TABLES'!$W$26</f>
        <v>55.895999999999994</v>
      </c>
      <c r="V665" s="14">
        <f>'PIVOT TABLES'!$W$27-'PIVOT TABLES'!$W$26</f>
        <v>27.948</v>
      </c>
      <c r="W665" s="14">
        <f>'PIVOT TABLES'!$W$28-'PIVOT TABLES'!$W$27</f>
        <v>27.947999999999993</v>
      </c>
      <c r="X665" s="14">
        <f>200-SUM(Table3[[#This Row],[S - LIGHT]:[S - VIGOROUS]])</f>
        <v>88.208000000000013</v>
      </c>
    </row>
    <row r="666" spans="1:24" x14ac:dyDescent="0.25">
      <c r="A666" s="17" t="s">
        <v>66</v>
      </c>
      <c r="B666" s="13" t="str">
        <f t="shared" si="10"/>
        <v>Striker</v>
      </c>
      <c r="C666" s="7">
        <v>45338.733182812502</v>
      </c>
      <c r="D666" s="14">
        <v>12391</v>
      </c>
      <c r="E666" s="14">
        <v>240</v>
      </c>
      <c r="F666" s="14">
        <v>67</v>
      </c>
      <c r="G666" s="14">
        <v>40</v>
      </c>
      <c r="H666" s="14">
        <v>134.59</v>
      </c>
      <c r="I666" s="14">
        <f>'PIVOT TABLES'!$B$26</f>
        <v>60.283999999999999</v>
      </c>
      <c r="J666" s="14">
        <f>'PIVOT TABLES'!$B$27-'PIVOT TABLES'!$B$26</f>
        <v>30.142000000000003</v>
      </c>
      <c r="K666" s="14">
        <f>'PIVOT TABLES'!$B$28-'PIVOT TABLES'!$B$27</f>
        <v>30.141999999999996</v>
      </c>
      <c r="L666" s="14">
        <f>200-SUM(Table3[[#This Row],[D - LIGHT]:[D - VIGOROUS]])</f>
        <v>79.432000000000002</v>
      </c>
      <c r="M666" s="14">
        <f>'PIVOT TABLES'!$I$26</f>
        <v>65.603999999999999</v>
      </c>
      <c r="N666" s="14">
        <f>'PIVOT TABLES'!$I$27-'PIVOT TABLES'!$I$26</f>
        <v>32.802000000000007</v>
      </c>
      <c r="O666" s="14">
        <f>'PIVOT TABLES'!$I$28-'PIVOT TABLES'!$I$27</f>
        <v>32.801999999999992</v>
      </c>
      <c r="P666" s="14">
        <f>200-SUM(Table3[[#This Row],[M - LIGHT]:[M - VIGOROUS]])</f>
        <v>68.792000000000002</v>
      </c>
      <c r="Q666" s="14">
        <f>'PIVOT TABLES'!$P$26</f>
        <v>62.64</v>
      </c>
      <c r="R666" s="14">
        <f>'PIVOT TABLES'!$P$27-'PIVOT TABLES'!$P$26</f>
        <v>31.320000000000007</v>
      </c>
      <c r="S666" s="14">
        <f>'PIVOT TABLES'!$P$28-'PIVOT TABLES'!$P$27</f>
        <v>31.319999999999993</v>
      </c>
      <c r="T666" s="14">
        <f>200-SUM(Table3[[#This Row],[W - LIGHT]:[W - VIGOROUS]])</f>
        <v>74.72</v>
      </c>
      <c r="U666" s="14">
        <f>'PIVOT TABLES'!$W$26</f>
        <v>55.895999999999994</v>
      </c>
      <c r="V666" s="14">
        <f>'PIVOT TABLES'!$W$27-'PIVOT TABLES'!$W$26</f>
        <v>27.948</v>
      </c>
      <c r="W666" s="14">
        <f>'PIVOT TABLES'!$W$28-'PIVOT TABLES'!$W$27</f>
        <v>27.947999999999993</v>
      </c>
      <c r="X666" s="14">
        <f>200-SUM(Table3[[#This Row],[S - LIGHT]:[S - VIGOROUS]])</f>
        <v>88.208000000000013</v>
      </c>
    </row>
    <row r="667" spans="1:24" x14ac:dyDescent="0.25">
      <c r="A667" s="17" t="s">
        <v>8</v>
      </c>
      <c r="B667" s="13" t="str">
        <f t="shared" si="10"/>
        <v>Striker</v>
      </c>
      <c r="C667" s="7">
        <v>45338.733182812502</v>
      </c>
      <c r="D667" s="14">
        <v>8227</v>
      </c>
      <c r="E667" s="14">
        <v>144</v>
      </c>
      <c r="F667" s="14">
        <v>37</v>
      </c>
      <c r="G667" s="14">
        <v>23</v>
      </c>
      <c r="H667" s="14">
        <v>88.53</v>
      </c>
      <c r="I667" s="14">
        <f>'PIVOT TABLES'!$B$26</f>
        <v>60.283999999999999</v>
      </c>
      <c r="J667" s="14">
        <f>'PIVOT TABLES'!$B$27-'PIVOT TABLES'!$B$26</f>
        <v>30.142000000000003</v>
      </c>
      <c r="K667" s="14">
        <f>'PIVOT TABLES'!$B$28-'PIVOT TABLES'!$B$27</f>
        <v>30.141999999999996</v>
      </c>
      <c r="L667" s="14">
        <f>200-SUM(Table3[[#This Row],[D - LIGHT]:[D - VIGOROUS]])</f>
        <v>79.432000000000002</v>
      </c>
      <c r="M667" s="14">
        <f>'PIVOT TABLES'!$I$26</f>
        <v>65.603999999999999</v>
      </c>
      <c r="N667" s="14">
        <f>'PIVOT TABLES'!$I$27-'PIVOT TABLES'!$I$26</f>
        <v>32.802000000000007</v>
      </c>
      <c r="O667" s="14">
        <f>'PIVOT TABLES'!$I$28-'PIVOT TABLES'!$I$27</f>
        <v>32.801999999999992</v>
      </c>
      <c r="P667" s="14">
        <f>200-SUM(Table3[[#This Row],[M - LIGHT]:[M - VIGOROUS]])</f>
        <v>68.792000000000002</v>
      </c>
      <c r="Q667" s="14">
        <f>'PIVOT TABLES'!$P$26</f>
        <v>62.64</v>
      </c>
      <c r="R667" s="14">
        <f>'PIVOT TABLES'!$P$27-'PIVOT TABLES'!$P$26</f>
        <v>31.320000000000007</v>
      </c>
      <c r="S667" s="14">
        <f>'PIVOT TABLES'!$P$28-'PIVOT TABLES'!$P$27</f>
        <v>31.319999999999993</v>
      </c>
      <c r="T667" s="14">
        <f>200-SUM(Table3[[#This Row],[W - LIGHT]:[W - VIGOROUS]])</f>
        <v>74.72</v>
      </c>
      <c r="U667" s="14">
        <f>'PIVOT TABLES'!$W$26</f>
        <v>55.895999999999994</v>
      </c>
      <c r="V667" s="14">
        <f>'PIVOT TABLES'!$W$27-'PIVOT TABLES'!$W$26</f>
        <v>27.948</v>
      </c>
      <c r="W667" s="14">
        <f>'PIVOT TABLES'!$W$28-'PIVOT TABLES'!$W$27</f>
        <v>27.947999999999993</v>
      </c>
      <c r="X667" s="14">
        <f>200-SUM(Table3[[#This Row],[S - LIGHT]:[S - VIGOROUS]])</f>
        <v>88.208000000000013</v>
      </c>
    </row>
    <row r="668" spans="1:24" x14ac:dyDescent="0.25">
      <c r="A668" s="17" t="s">
        <v>55</v>
      </c>
      <c r="B668" s="13" t="str">
        <f t="shared" si="10"/>
        <v>Striker</v>
      </c>
      <c r="C668" s="7">
        <v>45338.733182812502</v>
      </c>
      <c r="D668" s="14">
        <v>5360</v>
      </c>
      <c r="E668" s="14">
        <v>9</v>
      </c>
      <c r="F668" s="14">
        <v>18</v>
      </c>
      <c r="G668" s="14">
        <v>22</v>
      </c>
      <c r="H668" s="14">
        <v>55.03</v>
      </c>
      <c r="I668" s="14">
        <f>'PIVOT TABLES'!$B$26</f>
        <v>60.283999999999999</v>
      </c>
      <c r="J668" s="14">
        <f>'PIVOT TABLES'!$B$27-'PIVOT TABLES'!$B$26</f>
        <v>30.142000000000003</v>
      </c>
      <c r="K668" s="14">
        <f>'PIVOT TABLES'!$B$28-'PIVOT TABLES'!$B$27</f>
        <v>30.141999999999996</v>
      </c>
      <c r="L668" s="14">
        <f>200-SUM(Table3[[#This Row],[D - LIGHT]:[D - VIGOROUS]])</f>
        <v>79.432000000000002</v>
      </c>
      <c r="M668" s="14">
        <f>'PIVOT TABLES'!$I$26</f>
        <v>65.603999999999999</v>
      </c>
      <c r="N668" s="14">
        <f>'PIVOT TABLES'!$I$27-'PIVOT TABLES'!$I$26</f>
        <v>32.802000000000007</v>
      </c>
      <c r="O668" s="14">
        <f>'PIVOT TABLES'!$I$28-'PIVOT TABLES'!$I$27</f>
        <v>32.801999999999992</v>
      </c>
      <c r="P668" s="14">
        <f>200-SUM(Table3[[#This Row],[M - LIGHT]:[M - VIGOROUS]])</f>
        <v>68.792000000000002</v>
      </c>
      <c r="Q668" s="14">
        <f>'PIVOT TABLES'!$P$26</f>
        <v>62.64</v>
      </c>
      <c r="R668" s="14">
        <f>'PIVOT TABLES'!$P$27-'PIVOT TABLES'!$P$26</f>
        <v>31.320000000000007</v>
      </c>
      <c r="S668" s="14">
        <f>'PIVOT TABLES'!$P$28-'PIVOT TABLES'!$P$27</f>
        <v>31.319999999999993</v>
      </c>
      <c r="T668" s="14">
        <f>200-SUM(Table3[[#This Row],[W - LIGHT]:[W - VIGOROUS]])</f>
        <v>74.72</v>
      </c>
      <c r="U668" s="14">
        <f>'PIVOT TABLES'!$W$26</f>
        <v>55.895999999999994</v>
      </c>
      <c r="V668" s="14">
        <f>'PIVOT TABLES'!$W$27-'PIVOT TABLES'!$W$26</f>
        <v>27.948</v>
      </c>
      <c r="W668" s="14">
        <f>'PIVOT TABLES'!$W$28-'PIVOT TABLES'!$W$27</f>
        <v>27.947999999999993</v>
      </c>
      <c r="X668" s="14">
        <f>200-SUM(Table3[[#This Row],[S - LIGHT]:[S - VIGOROUS]])</f>
        <v>88.208000000000013</v>
      </c>
    </row>
    <row r="669" spans="1:24" x14ac:dyDescent="0.25">
      <c r="A669" s="17" t="s">
        <v>59</v>
      </c>
      <c r="B669" s="13" t="str">
        <f t="shared" si="10"/>
        <v>Striker</v>
      </c>
      <c r="C669" s="7">
        <v>45338.733182812502</v>
      </c>
      <c r="D669" s="14">
        <v>4751</v>
      </c>
      <c r="E669" s="14">
        <v>1</v>
      </c>
      <c r="F669" s="14">
        <v>10</v>
      </c>
      <c r="G669" s="14">
        <v>9</v>
      </c>
      <c r="H669" s="14">
        <v>48.12</v>
      </c>
      <c r="I669" s="14">
        <f>'PIVOT TABLES'!$B$26</f>
        <v>60.283999999999999</v>
      </c>
      <c r="J669" s="14">
        <f>'PIVOT TABLES'!$B$27-'PIVOT TABLES'!$B$26</f>
        <v>30.142000000000003</v>
      </c>
      <c r="K669" s="14">
        <f>'PIVOT TABLES'!$B$28-'PIVOT TABLES'!$B$27</f>
        <v>30.141999999999996</v>
      </c>
      <c r="L669" s="14">
        <f>200-SUM(Table3[[#This Row],[D - LIGHT]:[D - VIGOROUS]])</f>
        <v>79.432000000000002</v>
      </c>
      <c r="M669" s="14">
        <f>'PIVOT TABLES'!$I$26</f>
        <v>65.603999999999999</v>
      </c>
      <c r="N669" s="14">
        <f>'PIVOT TABLES'!$I$27-'PIVOT TABLES'!$I$26</f>
        <v>32.802000000000007</v>
      </c>
      <c r="O669" s="14">
        <f>'PIVOT TABLES'!$I$28-'PIVOT TABLES'!$I$27</f>
        <v>32.801999999999992</v>
      </c>
      <c r="P669" s="14">
        <f>200-SUM(Table3[[#This Row],[M - LIGHT]:[M - VIGOROUS]])</f>
        <v>68.792000000000002</v>
      </c>
      <c r="Q669" s="14">
        <f>'PIVOT TABLES'!$P$26</f>
        <v>62.64</v>
      </c>
      <c r="R669" s="14">
        <f>'PIVOT TABLES'!$P$27-'PIVOT TABLES'!$P$26</f>
        <v>31.320000000000007</v>
      </c>
      <c r="S669" s="14">
        <f>'PIVOT TABLES'!$P$28-'PIVOT TABLES'!$P$27</f>
        <v>31.319999999999993</v>
      </c>
      <c r="T669" s="14">
        <f>200-SUM(Table3[[#This Row],[W - LIGHT]:[W - VIGOROUS]])</f>
        <v>74.72</v>
      </c>
      <c r="U669" s="14">
        <f>'PIVOT TABLES'!$W$26</f>
        <v>55.895999999999994</v>
      </c>
      <c r="V669" s="14">
        <f>'PIVOT TABLES'!$W$27-'PIVOT TABLES'!$W$26</f>
        <v>27.948</v>
      </c>
      <c r="W669" s="14">
        <f>'PIVOT TABLES'!$W$28-'PIVOT TABLES'!$W$27</f>
        <v>27.947999999999993</v>
      </c>
      <c r="X669" s="14">
        <f>200-SUM(Table3[[#This Row],[S - LIGHT]:[S - VIGOROUS]])</f>
        <v>88.208000000000013</v>
      </c>
    </row>
    <row r="670" spans="1:24" x14ac:dyDescent="0.25">
      <c r="A670" s="17" t="s">
        <v>4</v>
      </c>
      <c r="B670" s="13" t="str">
        <f t="shared" si="10"/>
        <v>Midfielder</v>
      </c>
      <c r="C670" s="7">
        <v>45338.733182812502</v>
      </c>
      <c r="D670" s="14">
        <v>5181</v>
      </c>
      <c r="E670" s="14">
        <v>20</v>
      </c>
      <c r="F670" s="14">
        <v>18</v>
      </c>
      <c r="G670" s="14">
        <v>26</v>
      </c>
      <c r="H670" s="14">
        <v>53.65</v>
      </c>
      <c r="I670" s="14">
        <f>'PIVOT TABLES'!$B$26</f>
        <v>60.283999999999999</v>
      </c>
      <c r="J670" s="14">
        <f>'PIVOT TABLES'!$B$27-'PIVOT TABLES'!$B$26</f>
        <v>30.142000000000003</v>
      </c>
      <c r="K670" s="14">
        <f>'PIVOT TABLES'!$B$28-'PIVOT TABLES'!$B$27</f>
        <v>30.141999999999996</v>
      </c>
      <c r="L670" s="14">
        <f>200-SUM(Table3[[#This Row],[D - LIGHT]:[D - VIGOROUS]])</f>
        <v>79.432000000000002</v>
      </c>
      <c r="M670" s="14">
        <f>'PIVOT TABLES'!$I$26</f>
        <v>65.603999999999999</v>
      </c>
      <c r="N670" s="14">
        <f>'PIVOT TABLES'!$I$27-'PIVOT TABLES'!$I$26</f>
        <v>32.802000000000007</v>
      </c>
      <c r="O670" s="14">
        <f>'PIVOT TABLES'!$I$28-'PIVOT TABLES'!$I$27</f>
        <v>32.801999999999992</v>
      </c>
      <c r="P670" s="14">
        <f>200-SUM(Table3[[#This Row],[M - LIGHT]:[M - VIGOROUS]])</f>
        <v>68.792000000000002</v>
      </c>
      <c r="Q670" s="14">
        <f>'PIVOT TABLES'!$P$26</f>
        <v>62.64</v>
      </c>
      <c r="R670" s="14">
        <f>'PIVOT TABLES'!$P$27-'PIVOT TABLES'!$P$26</f>
        <v>31.320000000000007</v>
      </c>
      <c r="S670" s="14">
        <f>'PIVOT TABLES'!$P$28-'PIVOT TABLES'!$P$27</f>
        <v>31.319999999999993</v>
      </c>
      <c r="T670" s="14">
        <f>200-SUM(Table3[[#This Row],[W - LIGHT]:[W - VIGOROUS]])</f>
        <v>74.72</v>
      </c>
      <c r="U670" s="14">
        <f>'PIVOT TABLES'!$W$26</f>
        <v>55.895999999999994</v>
      </c>
      <c r="V670" s="14">
        <f>'PIVOT TABLES'!$W$27-'PIVOT TABLES'!$W$26</f>
        <v>27.948</v>
      </c>
      <c r="W670" s="14">
        <f>'PIVOT TABLES'!$W$28-'PIVOT TABLES'!$W$27</f>
        <v>27.947999999999993</v>
      </c>
      <c r="X670" s="14">
        <f>200-SUM(Table3[[#This Row],[S - LIGHT]:[S - VIGOROUS]])</f>
        <v>88.208000000000013</v>
      </c>
    </row>
    <row r="671" spans="1:24" x14ac:dyDescent="0.25">
      <c r="A671" s="17" t="s">
        <v>71</v>
      </c>
      <c r="B671" s="13" t="str">
        <f t="shared" si="10"/>
        <v>Midfielder</v>
      </c>
      <c r="C671" s="7">
        <v>45338.733182812502</v>
      </c>
      <c r="D671" s="14">
        <v>6090</v>
      </c>
      <c r="E671" s="14">
        <v>53</v>
      </c>
      <c r="F671" s="14">
        <v>22</v>
      </c>
      <c r="G671" s="14">
        <v>8</v>
      </c>
      <c r="H671" s="14">
        <v>63.53</v>
      </c>
      <c r="I671" s="14">
        <f>'PIVOT TABLES'!$B$26</f>
        <v>60.283999999999999</v>
      </c>
      <c r="J671" s="14">
        <f>'PIVOT TABLES'!$B$27-'PIVOT TABLES'!$B$26</f>
        <v>30.142000000000003</v>
      </c>
      <c r="K671" s="14">
        <f>'PIVOT TABLES'!$B$28-'PIVOT TABLES'!$B$27</f>
        <v>30.141999999999996</v>
      </c>
      <c r="L671" s="14">
        <f>200-SUM(Table3[[#This Row],[D - LIGHT]:[D - VIGOROUS]])</f>
        <v>79.432000000000002</v>
      </c>
      <c r="M671" s="14">
        <f>'PIVOT TABLES'!$I$26</f>
        <v>65.603999999999999</v>
      </c>
      <c r="N671" s="14">
        <f>'PIVOT TABLES'!$I$27-'PIVOT TABLES'!$I$26</f>
        <v>32.802000000000007</v>
      </c>
      <c r="O671" s="14">
        <f>'PIVOT TABLES'!$I$28-'PIVOT TABLES'!$I$27</f>
        <v>32.801999999999992</v>
      </c>
      <c r="P671" s="14">
        <f>200-SUM(Table3[[#This Row],[M - LIGHT]:[M - VIGOROUS]])</f>
        <v>68.792000000000002</v>
      </c>
      <c r="Q671" s="14">
        <f>'PIVOT TABLES'!$P$26</f>
        <v>62.64</v>
      </c>
      <c r="R671" s="14">
        <f>'PIVOT TABLES'!$P$27-'PIVOT TABLES'!$P$26</f>
        <v>31.320000000000007</v>
      </c>
      <c r="S671" s="14">
        <f>'PIVOT TABLES'!$P$28-'PIVOT TABLES'!$P$27</f>
        <v>31.319999999999993</v>
      </c>
      <c r="T671" s="14">
        <f>200-SUM(Table3[[#This Row],[W - LIGHT]:[W - VIGOROUS]])</f>
        <v>74.72</v>
      </c>
      <c r="U671" s="14">
        <f>'PIVOT TABLES'!$W$26</f>
        <v>55.895999999999994</v>
      </c>
      <c r="V671" s="14">
        <f>'PIVOT TABLES'!$W$27-'PIVOT TABLES'!$W$26</f>
        <v>27.948</v>
      </c>
      <c r="W671" s="14">
        <f>'PIVOT TABLES'!$W$28-'PIVOT TABLES'!$W$27</f>
        <v>27.947999999999993</v>
      </c>
      <c r="X671" s="14">
        <f>200-SUM(Table3[[#This Row],[S - LIGHT]:[S - VIGOROUS]])</f>
        <v>88.208000000000013</v>
      </c>
    </row>
    <row r="672" spans="1:24" x14ac:dyDescent="0.25">
      <c r="A672" s="17" t="s">
        <v>5</v>
      </c>
      <c r="B672" s="13" t="str">
        <f t="shared" si="10"/>
        <v>Midfielder</v>
      </c>
      <c r="C672" s="7">
        <v>45338.733182812502</v>
      </c>
      <c r="D672" s="14">
        <v>4839</v>
      </c>
      <c r="E672" s="14">
        <v>20</v>
      </c>
      <c r="F672" s="14">
        <v>24</v>
      </c>
      <c r="G672" s="14">
        <v>15</v>
      </c>
      <c r="H672" s="14">
        <v>50.25</v>
      </c>
      <c r="I672" s="14">
        <f>'PIVOT TABLES'!$B$26</f>
        <v>60.283999999999999</v>
      </c>
      <c r="J672" s="14">
        <f>'PIVOT TABLES'!$B$27-'PIVOT TABLES'!$B$26</f>
        <v>30.142000000000003</v>
      </c>
      <c r="K672" s="14">
        <f>'PIVOT TABLES'!$B$28-'PIVOT TABLES'!$B$27</f>
        <v>30.141999999999996</v>
      </c>
      <c r="L672" s="14">
        <f>200-SUM(Table3[[#This Row],[D - LIGHT]:[D - VIGOROUS]])</f>
        <v>79.432000000000002</v>
      </c>
      <c r="M672" s="14">
        <f>'PIVOT TABLES'!$I$26</f>
        <v>65.603999999999999</v>
      </c>
      <c r="N672" s="14">
        <f>'PIVOT TABLES'!$I$27-'PIVOT TABLES'!$I$26</f>
        <v>32.802000000000007</v>
      </c>
      <c r="O672" s="14">
        <f>'PIVOT TABLES'!$I$28-'PIVOT TABLES'!$I$27</f>
        <v>32.801999999999992</v>
      </c>
      <c r="P672" s="14">
        <f>200-SUM(Table3[[#This Row],[M - LIGHT]:[M - VIGOROUS]])</f>
        <v>68.792000000000002</v>
      </c>
      <c r="Q672" s="14">
        <f>'PIVOT TABLES'!$P$26</f>
        <v>62.64</v>
      </c>
      <c r="R672" s="14">
        <f>'PIVOT TABLES'!$P$27-'PIVOT TABLES'!$P$26</f>
        <v>31.320000000000007</v>
      </c>
      <c r="S672" s="14">
        <f>'PIVOT TABLES'!$P$28-'PIVOT TABLES'!$P$27</f>
        <v>31.319999999999993</v>
      </c>
      <c r="T672" s="14">
        <f>200-SUM(Table3[[#This Row],[W - LIGHT]:[W - VIGOROUS]])</f>
        <v>74.72</v>
      </c>
      <c r="U672" s="14">
        <f>'PIVOT TABLES'!$W$26</f>
        <v>55.895999999999994</v>
      </c>
      <c r="V672" s="14">
        <f>'PIVOT TABLES'!$W$27-'PIVOT TABLES'!$W$26</f>
        <v>27.948</v>
      </c>
      <c r="W672" s="14">
        <f>'PIVOT TABLES'!$W$28-'PIVOT TABLES'!$W$27</f>
        <v>27.947999999999993</v>
      </c>
      <c r="X672" s="14">
        <f>200-SUM(Table3[[#This Row],[S - LIGHT]:[S - VIGOROUS]])</f>
        <v>88.208000000000013</v>
      </c>
    </row>
    <row r="673" spans="1:24" x14ac:dyDescent="0.25">
      <c r="A673" s="17" t="s">
        <v>63</v>
      </c>
      <c r="B673" s="13" t="str">
        <f t="shared" si="10"/>
        <v>Winger</v>
      </c>
      <c r="C673" s="7">
        <v>45338.733182812502</v>
      </c>
      <c r="D673" s="14">
        <v>5147</v>
      </c>
      <c r="E673" s="14">
        <v>52</v>
      </c>
      <c r="F673" s="14">
        <v>19</v>
      </c>
      <c r="G673" s="14">
        <v>16</v>
      </c>
      <c r="H673" s="14">
        <v>54.11</v>
      </c>
      <c r="I673" s="14">
        <f>'PIVOT TABLES'!$B$26</f>
        <v>60.283999999999999</v>
      </c>
      <c r="J673" s="14">
        <f>'PIVOT TABLES'!$B$27-'PIVOT TABLES'!$B$26</f>
        <v>30.142000000000003</v>
      </c>
      <c r="K673" s="14">
        <f>'PIVOT TABLES'!$B$28-'PIVOT TABLES'!$B$27</f>
        <v>30.141999999999996</v>
      </c>
      <c r="L673" s="14">
        <f>200-SUM(Table3[[#This Row],[D - LIGHT]:[D - VIGOROUS]])</f>
        <v>79.432000000000002</v>
      </c>
      <c r="M673" s="14">
        <f>'PIVOT TABLES'!$I$26</f>
        <v>65.603999999999999</v>
      </c>
      <c r="N673" s="14">
        <f>'PIVOT TABLES'!$I$27-'PIVOT TABLES'!$I$26</f>
        <v>32.802000000000007</v>
      </c>
      <c r="O673" s="14">
        <f>'PIVOT TABLES'!$I$28-'PIVOT TABLES'!$I$27</f>
        <v>32.801999999999992</v>
      </c>
      <c r="P673" s="14">
        <f>200-SUM(Table3[[#This Row],[M - LIGHT]:[M - VIGOROUS]])</f>
        <v>68.792000000000002</v>
      </c>
      <c r="Q673" s="14">
        <f>'PIVOT TABLES'!$P$26</f>
        <v>62.64</v>
      </c>
      <c r="R673" s="14">
        <f>'PIVOT TABLES'!$P$27-'PIVOT TABLES'!$P$26</f>
        <v>31.320000000000007</v>
      </c>
      <c r="S673" s="14">
        <f>'PIVOT TABLES'!$P$28-'PIVOT TABLES'!$P$27</f>
        <v>31.319999999999993</v>
      </c>
      <c r="T673" s="14">
        <f>200-SUM(Table3[[#This Row],[W - LIGHT]:[W - VIGOROUS]])</f>
        <v>74.72</v>
      </c>
      <c r="U673" s="14">
        <f>'PIVOT TABLES'!$W$26</f>
        <v>55.895999999999994</v>
      </c>
      <c r="V673" s="14">
        <f>'PIVOT TABLES'!$W$27-'PIVOT TABLES'!$W$26</f>
        <v>27.948</v>
      </c>
      <c r="W673" s="14">
        <f>'PIVOT TABLES'!$W$28-'PIVOT TABLES'!$W$27</f>
        <v>27.947999999999993</v>
      </c>
      <c r="X673" s="14">
        <f>200-SUM(Table3[[#This Row],[S - LIGHT]:[S - VIGOROUS]])</f>
        <v>88.208000000000013</v>
      </c>
    </row>
    <row r="674" spans="1:24" x14ac:dyDescent="0.25">
      <c r="A674" s="17" t="s">
        <v>95</v>
      </c>
      <c r="B674" s="13" t="str">
        <f t="shared" si="10"/>
        <v>Winger</v>
      </c>
      <c r="C674" s="7">
        <v>45338.733182812502</v>
      </c>
      <c r="D674" s="14">
        <v>5775</v>
      </c>
      <c r="E674" s="14">
        <v>7</v>
      </c>
      <c r="F674" s="14">
        <v>10</v>
      </c>
      <c r="G674" s="14">
        <v>8</v>
      </c>
      <c r="H674" s="14">
        <v>58.52</v>
      </c>
      <c r="I674" s="14">
        <f>'PIVOT TABLES'!$B$26</f>
        <v>60.283999999999999</v>
      </c>
      <c r="J674" s="14">
        <f>'PIVOT TABLES'!$B$27-'PIVOT TABLES'!$B$26</f>
        <v>30.142000000000003</v>
      </c>
      <c r="K674" s="14">
        <f>'PIVOT TABLES'!$B$28-'PIVOT TABLES'!$B$27</f>
        <v>30.141999999999996</v>
      </c>
      <c r="L674" s="14">
        <f>200-SUM(Table3[[#This Row],[D - LIGHT]:[D - VIGOROUS]])</f>
        <v>79.432000000000002</v>
      </c>
      <c r="M674" s="14">
        <f>'PIVOT TABLES'!$I$26</f>
        <v>65.603999999999999</v>
      </c>
      <c r="N674" s="14">
        <f>'PIVOT TABLES'!$I$27-'PIVOT TABLES'!$I$26</f>
        <v>32.802000000000007</v>
      </c>
      <c r="O674" s="14">
        <f>'PIVOT TABLES'!$I$28-'PIVOT TABLES'!$I$27</f>
        <v>32.801999999999992</v>
      </c>
      <c r="P674" s="14">
        <f>200-SUM(Table3[[#This Row],[M - LIGHT]:[M - VIGOROUS]])</f>
        <v>68.792000000000002</v>
      </c>
      <c r="Q674" s="14">
        <f>'PIVOT TABLES'!$P$26</f>
        <v>62.64</v>
      </c>
      <c r="R674" s="14">
        <f>'PIVOT TABLES'!$P$27-'PIVOT TABLES'!$P$26</f>
        <v>31.320000000000007</v>
      </c>
      <c r="S674" s="14">
        <f>'PIVOT TABLES'!$P$28-'PIVOT TABLES'!$P$27</f>
        <v>31.319999999999993</v>
      </c>
      <c r="T674" s="14">
        <f>200-SUM(Table3[[#This Row],[W - LIGHT]:[W - VIGOROUS]])</f>
        <v>74.72</v>
      </c>
      <c r="U674" s="14">
        <f>'PIVOT TABLES'!$W$26</f>
        <v>55.895999999999994</v>
      </c>
      <c r="V674" s="14">
        <f>'PIVOT TABLES'!$W$27-'PIVOT TABLES'!$W$26</f>
        <v>27.948</v>
      </c>
      <c r="W674" s="14">
        <f>'PIVOT TABLES'!$W$28-'PIVOT TABLES'!$W$27</f>
        <v>27.947999999999993</v>
      </c>
      <c r="X674" s="14">
        <f>200-SUM(Table3[[#This Row],[S - LIGHT]:[S - VIGOROUS]])</f>
        <v>88.208000000000013</v>
      </c>
    </row>
    <row r="675" spans="1:24" x14ac:dyDescent="0.25">
      <c r="A675" s="17" t="s">
        <v>96</v>
      </c>
      <c r="B675" s="13" t="str">
        <f t="shared" si="10"/>
        <v>Winger</v>
      </c>
      <c r="C675" s="7">
        <v>45338.733182812502</v>
      </c>
      <c r="D675" s="14">
        <v>4934</v>
      </c>
      <c r="E675" s="14">
        <v>20</v>
      </c>
      <c r="F675" s="14">
        <v>21</v>
      </c>
      <c r="G675" s="14">
        <v>17</v>
      </c>
      <c r="H675" s="14">
        <v>51.12</v>
      </c>
      <c r="I675" s="14">
        <f>'PIVOT TABLES'!$B$26</f>
        <v>60.283999999999999</v>
      </c>
      <c r="J675" s="14">
        <f>'PIVOT TABLES'!$B$27-'PIVOT TABLES'!$B$26</f>
        <v>30.142000000000003</v>
      </c>
      <c r="K675" s="14">
        <f>'PIVOT TABLES'!$B$28-'PIVOT TABLES'!$B$27</f>
        <v>30.141999999999996</v>
      </c>
      <c r="L675" s="14">
        <f>200-SUM(Table3[[#This Row],[D - LIGHT]:[D - VIGOROUS]])</f>
        <v>79.432000000000002</v>
      </c>
      <c r="M675" s="14">
        <f>'PIVOT TABLES'!$I$26</f>
        <v>65.603999999999999</v>
      </c>
      <c r="N675" s="14">
        <f>'PIVOT TABLES'!$I$27-'PIVOT TABLES'!$I$26</f>
        <v>32.802000000000007</v>
      </c>
      <c r="O675" s="14">
        <f>'PIVOT TABLES'!$I$28-'PIVOT TABLES'!$I$27</f>
        <v>32.801999999999992</v>
      </c>
      <c r="P675" s="14">
        <f>200-SUM(Table3[[#This Row],[M - LIGHT]:[M - VIGOROUS]])</f>
        <v>68.792000000000002</v>
      </c>
      <c r="Q675" s="14">
        <f>'PIVOT TABLES'!$P$26</f>
        <v>62.64</v>
      </c>
      <c r="R675" s="14">
        <f>'PIVOT TABLES'!$P$27-'PIVOT TABLES'!$P$26</f>
        <v>31.320000000000007</v>
      </c>
      <c r="S675" s="14">
        <f>'PIVOT TABLES'!$P$28-'PIVOT TABLES'!$P$27</f>
        <v>31.319999999999993</v>
      </c>
      <c r="T675" s="14">
        <f>200-SUM(Table3[[#This Row],[W - LIGHT]:[W - VIGOROUS]])</f>
        <v>74.72</v>
      </c>
      <c r="U675" s="14">
        <f>'PIVOT TABLES'!$W$26</f>
        <v>55.895999999999994</v>
      </c>
      <c r="V675" s="14">
        <f>'PIVOT TABLES'!$W$27-'PIVOT TABLES'!$W$26</f>
        <v>27.948</v>
      </c>
      <c r="W675" s="14">
        <f>'PIVOT TABLES'!$W$28-'PIVOT TABLES'!$W$27</f>
        <v>27.947999999999993</v>
      </c>
      <c r="X675" s="14">
        <f>200-SUM(Table3[[#This Row],[S - LIGHT]:[S - VIGOROUS]])</f>
        <v>88.208000000000013</v>
      </c>
    </row>
    <row r="676" spans="1:24" x14ac:dyDescent="0.25">
      <c r="A676" s="17" t="s">
        <v>67</v>
      </c>
      <c r="B676" s="13" t="str">
        <f t="shared" si="10"/>
        <v>Midfielder</v>
      </c>
      <c r="C676" s="7">
        <v>45338.733182812502</v>
      </c>
      <c r="D676" s="14">
        <v>5482</v>
      </c>
      <c r="E676" s="14">
        <v>6</v>
      </c>
      <c r="F676" s="14">
        <v>19</v>
      </c>
      <c r="G676" s="14">
        <v>16</v>
      </c>
      <c r="H676" s="14">
        <v>56.08</v>
      </c>
      <c r="I676" s="14">
        <f>'PIVOT TABLES'!$B$26</f>
        <v>60.283999999999999</v>
      </c>
      <c r="J676" s="14">
        <f>'PIVOT TABLES'!$B$27-'PIVOT TABLES'!$B$26</f>
        <v>30.142000000000003</v>
      </c>
      <c r="K676" s="14">
        <f>'PIVOT TABLES'!$B$28-'PIVOT TABLES'!$B$27</f>
        <v>30.141999999999996</v>
      </c>
      <c r="L676" s="14">
        <f>200-SUM(Table3[[#This Row],[D - LIGHT]:[D - VIGOROUS]])</f>
        <v>79.432000000000002</v>
      </c>
      <c r="M676" s="14">
        <f>'PIVOT TABLES'!$I$26</f>
        <v>65.603999999999999</v>
      </c>
      <c r="N676" s="14">
        <f>'PIVOT TABLES'!$I$27-'PIVOT TABLES'!$I$26</f>
        <v>32.802000000000007</v>
      </c>
      <c r="O676" s="14">
        <f>'PIVOT TABLES'!$I$28-'PIVOT TABLES'!$I$27</f>
        <v>32.801999999999992</v>
      </c>
      <c r="P676" s="14">
        <f>200-SUM(Table3[[#This Row],[M - LIGHT]:[M - VIGOROUS]])</f>
        <v>68.792000000000002</v>
      </c>
      <c r="Q676" s="14">
        <f>'PIVOT TABLES'!$P$26</f>
        <v>62.64</v>
      </c>
      <c r="R676" s="14">
        <f>'PIVOT TABLES'!$P$27-'PIVOT TABLES'!$P$26</f>
        <v>31.320000000000007</v>
      </c>
      <c r="S676" s="14">
        <f>'PIVOT TABLES'!$P$28-'PIVOT TABLES'!$P$27</f>
        <v>31.319999999999993</v>
      </c>
      <c r="T676" s="14">
        <f>200-SUM(Table3[[#This Row],[W - LIGHT]:[W - VIGOROUS]])</f>
        <v>74.72</v>
      </c>
      <c r="U676" s="14">
        <f>'PIVOT TABLES'!$W$26</f>
        <v>55.895999999999994</v>
      </c>
      <c r="V676" s="14">
        <f>'PIVOT TABLES'!$W$27-'PIVOT TABLES'!$W$26</f>
        <v>27.948</v>
      </c>
      <c r="W676" s="14">
        <f>'PIVOT TABLES'!$W$28-'PIVOT TABLES'!$W$27</f>
        <v>27.947999999999993</v>
      </c>
      <c r="X676" s="14">
        <f>200-SUM(Table3[[#This Row],[S - LIGHT]:[S - VIGOROUS]])</f>
        <v>88.208000000000013</v>
      </c>
    </row>
    <row r="677" spans="1:24" x14ac:dyDescent="0.25">
      <c r="A677" s="17" t="s">
        <v>9</v>
      </c>
      <c r="B677" s="13" t="str">
        <f t="shared" si="10"/>
        <v>Striker</v>
      </c>
      <c r="C677" s="7">
        <v>45338.733182812502</v>
      </c>
      <c r="D677" s="14">
        <v>5408</v>
      </c>
      <c r="E677" s="14">
        <v>16</v>
      </c>
      <c r="F677" s="14">
        <v>18</v>
      </c>
      <c r="G677" s="14">
        <v>16</v>
      </c>
      <c r="H677" s="14">
        <v>55.6</v>
      </c>
      <c r="I677" s="14">
        <f>'PIVOT TABLES'!$B$26</f>
        <v>60.283999999999999</v>
      </c>
      <c r="J677" s="14">
        <f>'PIVOT TABLES'!$B$27-'PIVOT TABLES'!$B$26</f>
        <v>30.142000000000003</v>
      </c>
      <c r="K677" s="14">
        <f>'PIVOT TABLES'!$B$28-'PIVOT TABLES'!$B$27</f>
        <v>30.141999999999996</v>
      </c>
      <c r="L677" s="14">
        <f>200-SUM(Table3[[#This Row],[D - LIGHT]:[D - VIGOROUS]])</f>
        <v>79.432000000000002</v>
      </c>
      <c r="M677" s="14">
        <f>'PIVOT TABLES'!$I$26</f>
        <v>65.603999999999999</v>
      </c>
      <c r="N677" s="14">
        <f>'PIVOT TABLES'!$I$27-'PIVOT TABLES'!$I$26</f>
        <v>32.802000000000007</v>
      </c>
      <c r="O677" s="14">
        <f>'PIVOT TABLES'!$I$28-'PIVOT TABLES'!$I$27</f>
        <v>32.801999999999992</v>
      </c>
      <c r="P677" s="14">
        <f>200-SUM(Table3[[#This Row],[M - LIGHT]:[M - VIGOROUS]])</f>
        <v>68.792000000000002</v>
      </c>
      <c r="Q677" s="14">
        <f>'PIVOT TABLES'!$P$26</f>
        <v>62.64</v>
      </c>
      <c r="R677" s="14">
        <f>'PIVOT TABLES'!$P$27-'PIVOT TABLES'!$P$26</f>
        <v>31.320000000000007</v>
      </c>
      <c r="S677" s="14">
        <f>'PIVOT TABLES'!$P$28-'PIVOT TABLES'!$P$27</f>
        <v>31.319999999999993</v>
      </c>
      <c r="T677" s="14">
        <f>200-SUM(Table3[[#This Row],[W - LIGHT]:[W - VIGOROUS]])</f>
        <v>74.72</v>
      </c>
      <c r="U677" s="14">
        <f>'PIVOT TABLES'!$W$26</f>
        <v>55.895999999999994</v>
      </c>
      <c r="V677" s="14">
        <f>'PIVOT TABLES'!$W$27-'PIVOT TABLES'!$W$26</f>
        <v>27.948</v>
      </c>
      <c r="W677" s="14">
        <f>'PIVOT TABLES'!$W$28-'PIVOT TABLES'!$W$27</f>
        <v>27.947999999999993</v>
      </c>
      <c r="X677" s="14">
        <f>200-SUM(Table3[[#This Row],[S - LIGHT]:[S - VIGOROUS]])</f>
        <v>88.208000000000013</v>
      </c>
    </row>
    <row r="678" spans="1:24" x14ac:dyDescent="0.25">
      <c r="A678" s="17" t="s">
        <v>69</v>
      </c>
      <c r="B678" s="13" t="str">
        <f t="shared" si="10"/>
        <v>Midfielder</v>
      </c>
      <c r="C678" s="7">
        <v>45338.733182812502</v>
      </c>
      <c r="D678" s="14">
        <v>4483</v>
      </c>
      <c r="E678" s="14">
        <v>35</v>
      </c>
      <c r="F678" s="14">
        <v>16</v>
      </c>
      <c r="G678" s="14">
        <v>14</v>
      </c>
      <c r="H678" s="14">
        <v>46.8</v>
      </c>
      <c r="I678" s="14">
        <f>'PIVOT TABLES'!$B$26</f>
        <v>60.283999999999999</v>
      </c>
      <c r="J678" s="14">
        <f>'PIVOT TABLES'!$B$27-'PIVOT TABLES'!$B$26</f>
        <v>30.142000000000003</v>
      </c>
      <c r="K678" s="14">
        <f>'PIVOT TABLES'!$B$28-'PIVOT TABLES'!$B$27</f>
        <v>30.141999999999996</v>
      </c>
      <c r="L678" s="14">
        <f>200-SUM(Table3[[#This Row],[D - LIGHT]:[D - VIGOROUS]])</f>
        <v>79.432000000000002</v>
      </c>
      <c r="M678" s="14">
        <f>'PIVOT TABLES'!$I$26</f>
        <v>65.603999999999999</v>
      </c>
      <c r="N678" s="14">
        <f>'PIVOT TABLES'!$I$27-'PIVOT TABLES'!$I$26</f>
        <v>32.802000000000007</v>
      </c>
      <c r="O678" s="14">
        <f>'PIVOT TABLES'!$I$28-'PIVOT TABLES'!$I$27</f>
        <v>32.801999999999992</v>
      </c>
      <c r="P678" s="14">
        <f>200-SUM(Table3[[#This Row],[M - LIGHT]:[M - VIGOROUS]])</f>
        <v>68.792000000000002</v>
      </c>
      <c r="Q678" s="14">
        <f>'PIVOT TABLES'!$P$26</f>
        <v>62.64</v>
      </c>
      <c r="R678" s="14">
        <f>'PIVOT TABLES'!$P$27-'PIVOT TABLES'!$P$26</f>
        <v>31.320000000000007</v>
      </c>
      <c r="S678" s="14">
        <f>'PIVOT TABLES'!$P$28-'PIVOT TABLES'!$P$27</f>
        <v>31.319999999999993</v>
      </c>
      <c r="T678" s="14">
        <f>200-SUM(Table3[[#This Row],[W - LIGHT]:[W - VIGOROUS]])</f>
        <v>74.72</v>
      </c>
      <c r="U678" s="14">
        <f>'PIVOT TABLES'!$W$26</f>
        <v>55.895999999999994</v>
      </c>
      <c r="V678" s="14">
        <f>'PIVOT TABLES'!$W$27-'PIVOT TABLES'!$W$26</f>
        <v>27.948</v>
      </c>
      <c r="W678" s="14">
        <f>'PIVOT TABLES'!$W$28-'PIVOT TABLES'!$W$27</f>
        <v>27.947999999999993</v>
      </c>
      <c r="X678" s="14">
        <f>200-SUM(Table3[[#This Row],[S - LIGHT]:[S - VIGOROUS]])</f>
        <v>88.208000000000013</v>
      </c>
    </row>
    <row r="679" spans="1:24" x14ac:dyDescent="0.25">
      <c r="A679" s="17" t="s">
        <v>70</v>
      </c>
      <c r="B679" s="13" t="str">
        <f t="shared" si="10"/>
        <v>Winger</v>
      </c>
      <c r="C679" s="7">
        <v>45339.416145833333</v>
      </c>
      <c r="D679" s="14">
        <v>8555</v>
      </c>
      <c r="E679" s="14">
        <v>165</v>
      </c>
      <c r="F679" s="14">
        <v>37</v>
      </c>
      <c r="G679" s="14">
        <v>24</v>
      </c>
      <c r="H679" s="14">
        <v>92.46</v>
      </c>
      <c r="I679" s="14">
        <f>'PIVOT TABLES'!$B$26</f>
        <v>60.283999999999999</v>
      </c>
      <c r="J679" s="14">
        <f>'PIVOT TABLES'!$B$27-'PIVOT TABLES'!$B$26</f>
        <v>30.142000000000003</v>
      </c>
      <c r="K679" s="14">
        <f>'PIVOT TABLES'!$B$28-'PIVOT TABLES'!$B$27</f>
        <v>30.141999999999996</v>
      </c>
      <c r="L679" s="14">
        <f>200-SUM(Table3[[#This Row],[D - LIGHT]:[D - VIGOROUS]])</f>
        <v>79.432000000000002</v>
      </c>
      <c r="M679" s="14">
        <f>'PIVOT TABLES'!$I$26</f>
        <v>65.603999999999999</v>
      </c>
      <c r="N679" s="14">
        <f>'PIVOT TABLES'!$I$27-'PIVOT TABLES'!$I$26</f>
        <v>32.802000000000007</v>
      </c>
      <c r="O679" s="14">
        <f>'PIVOT TABLES'!$I$28-'PIVOT TABLES'!$I$27</f>
        <v>32.801999999999992</v>
      </c>
      <c r="P679" s="14">
        <f>200-SUM(Table3[[#This Row],[M - LIGHT]:[M - VIGOROUS]])</f>
        <v>68.792000000000002</v>
      </c>
      <c r="Q679" s="14">
        <f>'PIVOT TABLES'!$P$26</f>
        <v>62.64</v>
      </c>
      <c r="R679" s="14">
        <f>'PIVOT TABLES'!$P$27-'PIVOT TABLES'!$P$26</f>
        <v>31.320000000000007</v>
      </c>
      <c r="S679" s="14">
        <f>'PIVOT TABLES'!$P$28-'PIVOT TABLES'!$P$27</f>
        <v>31.319999999999993</v>
      </c>
      <c r="T679" s="14">
        <f>200-SUM(Table3[[#This Row],[W - LIGHT]:[W - VIGOROUS]])</f>
        <v>74.72</v>
      </c>
      <c r="U679" s="14">
        <f>'PIVOT TABLES'!$W$26</f>
        <v>55.895999999999994</v>
      </c>
      <c r="V679" s="14">
        <f>'PIVOT TABLES'!$W$27-'PIVOT TABLES'!$W$26</f>
        <v>27.948</v>
      </c>
      <c r="W679" s="14">
        <f>'PIVOT TABLES'!$W$28-'PIVOT TABLES'!$W$27</f>
        <v>27.947999999999993</v>
      </c>
      <c r="X679" s="14">
        <f>200-SUM(Table3[[#This Row],[S - LIGHT]:[S - VIGOROUS]])</f>
        <v>88.208000000000013</v>
      </c>
    </row>
    <row r="680" spans="1:24" x14ac:dyDescent="0.25">
      <c r="A680" s="17" t="s">
        <v>53</v>
      </c>
      <c r="B680" s="13" t="str">
        <f t="shared" si="10"/>
        <v>Midfielder</v>
      </c>
      <c r="C680" s="7">
        <v>45339.416145833333</v>
      </c>
      <c r="D680" s="14">
        <v>1824</v>
      </c>
      <c r="E680" s="14">
        <v>0</v>
      </c>
      <c r="F680" s="14">
        <v>0</v>
      </c>
      <c r="G680" s="14">
        <v>0</v>
      </c>
      <c r="H680" s="14">
        <v>18.239999999999998</v>
      </c>
      <c r="I680" s="14">
        <f>'PIVOT TABLES'!$B$26</f>
        <v>60.283999999999999</v>
      </c>
      <c r="J680" s="14">
        <f>'PIVOT TABLES'!$B$27-'PIVOT TABLES'!$B$26</f>
        <v>30.142000000000003</v>
      </c>
      <c r="K680" s="14">
        <f>'PIVOT TABLES'!$B$28-'PIVOT TABLES'!$B$27</f>
        <v>30.141999999999996</v>
      </c>
      <c r="L680" s="14">
        <f>200-SUM(Table3[[#This Row],[D - LIGHT]:[D - VIGOROUS]])</f>
        <v>79.432000000000002</v>
      </c>
      <c r="M680" s="14">
        <f>'PIVOT TABLES'!$I$26</f>
        <v>65.603999999999999</v>
      </c>
      <c r="N680" s="14">
        <f>'PIVOT TABLES'!$I$27-'PIVOT TABLES'!$I$26</f>
        <v>32.802000000000007</v>
      </c>
      <c r="O680" s="14">
        <f>'PIVOT TABLES'!$I$28-'PIVOT TABLES'!$I$27</f>
        <v>32.801999999999992</v>
      </c>
      <c r="P680" s="14">
        <f>200-SUM(Table3[[#This Row],[M - LIGHT]:[M - VIGOROUS]])</f>
        <v>68.792000000000002</v>
      </c>
      <c r="Q680" s="14">
        <f>'PIVOT TABLES'!$P$26</f>
        <v>62.64</v>
      </c>
      <c r="R680" s="14">
        <f>'PIVOT TABLES'!$P$27-'PIVOT TABLES'!$P$26</f>
        <v>31.320000000000007</v>
      </c>
      <c r="S680" s="14">
        <f>'PIVOT TABLES'!$P$28-'PIVOT TABLES'!$P$27</f>
        <v>31.319999999999993</v>
      </c>
      <c r="T680" s="14">
        <f>200-SUM(Table3[[#This Row],[W - LIGHT]:[W - VIGOROUS]])</f>
        <v>74.72</v>
      </c>
      <c r="U680" s="14">
        <f>'PIVOT TABLES'!$W$26</f>
        <v>55.895999999999994</v>
      </c>
      <c r="V680" s="14">
        <f>'PIVOT TABLES'!$W$27-'PIVOT TABLES'!$W$26</f>
        <v>27.948</v>
      </c>
      <c r="W680" s="14">
        <f>'PIVOT TABLES'!$W$28-'PIVOT TABLES'!$W$27</f>
        <v>27.947999999999993</v>
      </c>
      <c r="X680" s="14">
        <f>200-SUM(Table3[[#This Row],[S - LIGHT]:[S - VIGOROUS]])</f>
        <v>88.208000000000013</v>
      </c>
    </row>
    <row r="681" spans="1:24" x14ac:dyDescent="0.25">
      <c r="A681" s="17" t="s">
        <v>54</v>
      </c>
      <c r="B681" s="13" t="str">
        <f t="shared" si="10"/>
        <v>Striker</v>
      </c>
      <c r="C681" s="7">
        <v>45339.416145833333</v>
      </c>
      <c r="D681" s="14">
        <v>2003</v>
      </c>
      <c r="E681" s="14">
        <v>0</v>
      </c>
      <c r="F681" s="14">
        <v>1</v>
      </c>
      <c r="G681" s="14">
        <v>0</v>
      </c>
      <c r="H681" s="14">
        <v>20.07</v>
      </c>
      <c r="I681" s="14">
        <f>'PIVOT TABLES'!$B$26</f>
        <v>60.283999999999999</v>
      </c>
      <c r="J681" s="14">
        <f>'PIVOT TABLES'!$B$27-'PIVOT TABLES'!$B$26</f>
        <v>30.142000000000003</v>
      </c>
      <c r="K681" s="14">
        <f>'PIVOT TABLES'!$B$28-'PIVOT TABLES'!$B$27</f>
        <v>30.141999999999996</v>
      </c>
      <c r="L681" s="14">
        <f>200-SUM(Table3[[#This Row],[D - LIGHT]:[D - VIGOROUS]])</f>
        <v>79.432000000000002</v>
      </c>
      <c r="M681" s="14">
        <f>'PIVOT TABLES'!$I$26</f>
        <v>65.603999999999999</v>
      </c>
      <c r="N681" s="14">
        <f>'PIVOT TABLES'!$I$27-'PIVOT TABLES'!$I$26</f>
        <v>32.802000000000007</v>
      </c>
      <c r="O681" s="14">
        <f>'PIVOT TABLES'!$I$28-'PIVOT TABLES'!$I$27</f>
        <v>32.801999999999992</v>
      </c>
      <c r="P681" s="14">
        <f>200-SUM(Table3[[#This Row],[M - LIGHT]:[M - VIGOROUS]])</f>
        <v>68.792000000000002</v>
      </c>
      <c r="Q681" s="14">
        <f>'PIVOT TABLES'!$P$26</f>
        <v>62.64</v>
      </c>
      <c r="R681" s="14">
        <f>'PIVOT TABLES'!$P$27-'PIVOT TABLES'!$P$26</f>
        <v>31.320000000000007</v>
      </c>
      <c r="S681" s="14">
        <f>'PIVOT TABLES'!$P$28-'PIVOT TABLES'!$P$27</f>
        <v>31.319999999999993</v>
      </c>
      <c r="T681" s="14">
        <f>200-SUM(Table3[[#This Row],[W - LIGHT]:[W - VIGOROUS]])</f>
        <v>74.72</v>
      </c>
      <c r="U681" s="14">
        <f>'PIVOT TABLES'!$W$26</f>
        <v>55.895999999999994</v>
      </c>
      <c r="V681" s="14">
        <f>'PIVOT TABLES'!$W$27-'PIVOT TABLES'!$W$26</f>
        <v>27.948</v>
      </c>
      <c r="W681" s="14">
        <f>'PIVOT TABLES'!$W$28-'PIVOT TABLES'!$W$27</f>
        <v>27.947999999999993</v>
      </c>
      <c r="X681" s="14">
        <f>200-SUM(Table3[[#This Row],[S - LIGHT]:[S - VIGOROUS]])</f>
        <v>88.208000000000013</v>
      </c>
    </row>
    <row r="682" spans="1:24" x14ac:dyDescent="0.25">
      <c r="A682" s="17" t="s">
        <v>55</v>
      </c>
      <c r="B682" s="13" t="str">
        <f t="shared" si="10"/>
        <v>Striker</v>
      </c>
      <c r="C682" s="7">
        <v>45339.416145833333</v>
      </c>
      <c r="D682" s="14">
        <v>6587</v>
      </c>
      <c r="E682" s="14">
        <v>71</v>
      </c>
      <c r="F682" s="14">
        <v>30</v>
      </c>
      <c r="G682" s="14">
        <v>22</v>
      </c>
      <c r="H682" s="14">
        <v>69.64</v>
      </c>
      <c r="I682" s="14">
        <f>'PIVOT TABLES'!$B$26</f>
        <v>60.283999999999999</v>
      </c>
      <c r="J682" s="14">
        <f>'PIVOT TABLES'!$B$27-'PIVOT TABLES'!$B$26</f>
        <v>30.142000000000003</v>
      </c>
      <c r="K682" s="14">
        <f>'PIVOT TABLES'!$B$28-'PIVOT TABLES'!$B$27</f>
        <v>30.141999999999996</v>
      </c>
      <c r="L682" s="14">
        <f>200-SUM(Table3[[#This Row],[D - LIGHT]:[D - VIGOROUS]])</f>
        <v>79.432000000000002</v>
      </c>
      <c r="M682" s="14">
        <f>'PIVOT TABLES'!$I$26</f>
        <v>65.603999999999999</v>
      </c>
      <c r="N682" s="14">
        <f>'PIVOT TABLES'!$I$27-'PIVOT TABLES'!$I$26</f>
        <v>32.802000000000007</v>
      </c>
      <c r="O682" s="14">
        <f>'PIVOT TABLES'!$I$28-'PIVOT TABLES'!$I$27</f>
        <v>32.801999999999992</v>
      </c>
      <c r="P682" s="14">
        <f>200-SUM(Table3[[#This Row],[M - LIGHT]:[M - VIGOROUS]])</f>
        <v>68.792000000000002</v>
      </c>
      <c r="Q682" s="14">
        <f>'PIVOT TABLES'!$P$26</f>
        <v>62.64</v>
      </c>
      <c r="R682" s="14">
        <f>'PIVOT TABLES'!$P$27-'PIVOT TABLES'!$P$26</f>
        <v>31.320000000000007</v>
      </c>
      <c r="S682" s="14">
        <f>'PIVOT TABLES'!$P$28-'PIVOT TABLES'!$P$27</f>
        <v>31.319999999999993</v>
      </c>
      <c r="T682" s="14">
        <f>200-SUM(Table3[[#This Row],[W - LIGHT]:[W - VIGOROUS]])</f>
        <v>74.72</v>
      </c>
      <c r="U682" s="14">
        <f>'PIVOT TABLES'!$W$26</f>
        <v>55.895999999999994</v>
      </c>
      <c r="V682" s="14">
        <f>'PIVOT TABLES'!$W$27-'PIVOT TABLES'!$W$26</f>
        <v>27.948</v>
      </c>
      <c r="W682" s="14">
        <f>'PIVOT TABLES'!$W$28-'PIVOT TABLES'!$W$27</f>
        <v>27.947999999999993</v>
      </c>
      <c r="X682" s="14">
        <f>200-SUM(Table3[[#This Row],[S - LIGHT]:[S - VIGOROUS]])</f>
        <v>88.208000000000013</v>
      </c>
    </row>
    <row r="683" spans="1:24" x14ac:dyDescent="0.25">
      <c r="A683" s="17" t="s">
        <v>1</v>
      </c>
      <c r="B683" s="13" t="str">
        <f t="shared" si="10"/>
        <v>Defender</v>
      </c>
      <c r="C683" s="7">
        <v>45339.416145833333</v>
      </c>
      <c r="D683" s="14">
        <v>12288</v>
      </c>
      <c r="E683" s="14">
        <v>129</v>
      </c>
      <c r="F683" s="14">
        <v>40</v>
      </c>
      <c r="G683" s="14">
        <v>31</v>
      </c>
      <c r="H683" s="14">
        <v>128.97</v>
      </c>
      <c r="I683" s="14">
        <f>'PIVOT TABLES'!$B$26</f>
        <v>60.283999999999999</v>
      </c>
      <c r="J683" s="14">
        <f>'PIVOT TABLES'!$B$27-'PIVOT TABLES'!$B$26</f>
        <v>30.142000000000003</v>
      </c>
      <c r="K683" s="14">
        <f>'PIVOT TABLES'!$B$28-'PIVOT TABLES'!$B$27</f>
        <v>30.141999999999996</v>
      </c>
      <c r="L683" s="14">
        <f>200-SUM(Table3[[#This Row],[D - LIGHT]:[D - VIGOROUS]])</f>
        <v>79.432000000000002</v>
      </c>
      <c r="M683" s="14">
        <f>'PIVOT TABLES'!$I$26</f>
        <v>65.603999999999999</v>
      </c>
      <c r="N683" s="14">
        <f>'PIVOT TABLES'!$I$27-'PIVOT TABLES'!$I$26</f>
        <v>32.802000000000007</v>
      </c>
      <c r="O683" s="14">
        <f>'PIVOT TABLES'!$I$28-'PIVOT TABLES'!$I$27</f>
        <v>32.801999999999992</v>
      </c>
      <c r="P683" s="14">
        <f>200-SUM(Table3[[#This Row],[M - LIGHT]:[M - VIGOROUS]])</f>
        <v>68.792000000000002</v>
      </c>
      <c r="Q683" s="14">
        <f>'PIVOT TABLES'!$P$26</f>
        <v>62.64</v>
      </c>
      <c r="R683" s="14">
        <f>'PIVOT TABLES'!$P$27-'PIVOT TABLES'!$P$26</f>
        <v>31.320000000000007</v>
      </c>
      <c r="S683" s="14">
        <f>'PIVOT TABLES'!$P$28-'PIVOT TABLES'!$P$27</f>
        <v>31.319999999999993</v>
      </c>
      <c r="T683" s="14">
        <f>200-SUM(Table3[[#This Row],[W - LIGHT]:[W - VIGOROUS]])</f>
        <v>74.72</v>
      </c>
      <c r="U683" s="14">
        <f>'PIVOT TABLES'!$W$26</f>
        <v>55.895999999999994</v>
      </c>
      <c r="V683" s="14">
        <f>'PIVOT TABLES'!$W$27-'PIVOT TABLES'!$W$26</f>
        <v>27.948</v>
      </c>
      <c r="W683" s="14">
        <f>'PIVOT TABLES'!$W$28-'PIVOT TABLES'!$W$27</f>
        <v>27.947999999999993</v>
      </c>
      <c r="X683" s="14">
        <f>200-SUM(Table3[[#This Row],[S - LIGHT]:[S - VIGOROUS]])</f>
        <v>88.208000000000013</v>
      </c>
    </row>
    <row r="684" spans="1:24" x14ac:dyDescent="0.25">
      <c r="A684" s="17" t="s">
        <v>56</v>
      </c>
      <c r="B684" s="13" t="str">
        <f t="shared" si="10"/>
        <v>Midfielder</v>
      </c>
      <c r="C684" s="7">
        <v>45339.416145833333</v>
      </c>
      <c r="D684" s="14">
        <v>1840</v>
      </c>
      <c r="E684" s="14">
        <v>0</v>
      </c>
      <c r="F684" s="14">
        <v>0</v>
      </c>
      <c r="G684" s="14">
        <v>0</v>
      </c>
      <c r="H684" s="14">
        <v>18.399999999999999</v>
      </c>
      <c r="I684" s="14">
        <f>'PIVOT TABLES'!$B$26</f>
        <v>60.283999999999999</v>
      </c>
      <c r="J684" s="14">
        <f>'PIVOT TABLES'!$B$27-'PIVOT TABLES'!$B$26</f>
        <v>30.142000000000003</v>
      </c>
      <c r="K684" s="14">
        <f>'PIVOT TABLES'!$B$28-'PIVOT TABLES'!$B$27</f>
        <v>30.141999999999996</v>
      </c>
      <c r="L684" s="14">
        <f>200-SUM(Table3[[#This Row],[D - LIGHT]:[D - VIGOROUS]])</f>
        <v>79.432000000000002</v>
      </c>
      <c r="M684" s="14">
        <f>'PIVOT TABLES'!$I$26</f>
        <v>65.603999999999999</v>
      </c>
      <c r="N684" s="14">
        <f>'PIVOT TABLES'!$I$27-'PIVOT TABLES'!$I$26</f>
        <v>32.802000000000007</v>
      </c>
      <c r="O684" s="14">
        <f>'PIVOT TABLES'!$I$28-'PIVOT TABLES'!$I$27</f>
        <v>32.801999999999992</v>
      </c>
      <c r="P684" s="14">
        <f>200-SUM(Table3[[#This Row],[M - LIGHT]:[M - VIGOROUS]])</f>
        <v>68.792000000000002</v>
      </c>
      <c r="Q684" s="14">
        <f>'PIVOT TABLES'!$P$26</f>
        <v>62.64</v>
      </c>
      <c r="R684" s="14">
        <f>'PIVOT TABLES'!$P$27-'PIVOT TABLES'!$P$26</f>
        <v>31.320000000000007</v>
      </c>
      <c r="S684" s="14">
        <f>'PIVOT TABLES'!$P$28-'PIVOT TABLES'!$P$27</f>
        <v>31.319999999999993</v>
      </c>
      <c r="T684" s="14">
        <f>200-SUM(Table3[[#This Row],[W - LIGHT]:[W - VIGOROUS]])</f>
        <v>74.72</v>
      </c>
      <c r="U684" s="14">
        <f>'PIVOT TABLES'!$W$26</f>
        <v>55.895999999999994</v>
      </c>
      <c r="V684" s="14">
        <f>'PIVOT TABLES'!$W$27-'PIVOT TABLES'!$W$26</f>
        <v>27.948</v>
      </c>
      <c r="W684" s="14">
        <f>'PIVOT TABLES'!$W$28-'PIVOT TABLES'!$W$27</f>
        <v>27.947999999999993</v>
      </c>
      <c r="X684" s="14">
        <f>200-SUM(Table3[[#This Row],[S - LIGHT]:[S - VIGOROUS]])</f>
        <v>88.208000000000013</v>
      </c>
    </row>
    <row r="685" spans="1:24" x14ac:dyDescent="0.25">
      <c r="A685" s="17" t="s">
        <v>2</v>
      </c>
      <c r="B685" s="13" t="str">
        <f t="shared" si="10"/>
        <v>Defender</v>
      </c>
      <c r="C685" s="7">
        <v>45339.416145833333</v>
      </c>
      <c r="D685" s="14">
        <v>1865</v>
      </c>
      <c r="E685" s="14">
        <v>0</v>
      </c>
      <c r="F685" s="14">
        <v>0</v>
      </c>
      <c r="G685" s="14">
        <v>0</v>
      </c>
      <c r="H685" s="14">
        <v>18.649999999999999</v>
      </c>
      <c r="I685" s="14">
        <f>'PIVOT TABLES'!$B$26</f>
        <v>60.283999999999999</v>
      </c>
      <c r="J685" s="14">
        <f>'PIVOT TABLES'!$B$27-'PIVOT TABLES'!$B$26</f>
        <v>30.142000000000003</v>
      </c>
      <c r="K685" s="14">
        <f>'PIVOT TABLES'!$B$28-'PIVOT TABLES'!$B$27</f>
        <v>30.141999999999996</v>
      </c>
      <c r="L685" s="14">
        <f>200-SUM(Table3[[#This Row],[D - LIGHT]:[D - VIGOROUS]])</f>
        <v>79.432000000000002</v>
      </c>
      <c r="M685" s="14">
        <f>'PIVOT TABLES'!$I$26</f>
        <v>65.603999999999999</v>
      </c>
      <c r="N685" s="14">
        <f>'PIVOT TABLES'!$I$27-'PIVOT TABLES'!$I$26</f>
        <v>32.802000000000007</v>
      </c>
      <c r="O685" s="14">
        <f>'PIVOT TABLES'!$I$28-'PIVOT TABLES'!$I$27</f>
        <v>32.801999999999992</v>
      </c>
      <c r="P685" s="14">
        <f>200-SUM(Table3[[#This Row],[M - LIGHT]:[M - VIGOROUS]])</f>
        <v>68.792000000000002</v>
      </c>
      <c r="Q685" s="14">
        <f>'PIVOT TABLES'!$P$26</f>
        <v>62.64</v>
      </c>
      <c r="R685" s="14">
        <f>'PIVOT TABLES'!$P$27-'PIVOT TABLES'!$P$26</f>
        <v>31.320000000000007</v>
      </c>
      <c r="S685" s="14">
        <f>'PIVOT TABLES'!$P$28-'PIVOT TABLES'!$P$27</f>
        <v>31.319999999999993</v>
      </c>
      <c r="T685" s="14">
        <f>200-SUM(Table3[[#This Row],[W - LIGHT]:[W - VIGOROUS]])</f>
        <v>74.72</v>
      </c>
      <c r="U685" s="14">
        <f>'PIVOT TABLES'!$W$26</f>
        <v>55.895999999999994</v>
      </c>
      <c r="V685" s="14">
        <f>'PIVOT TABLES'!$W$27-'PIVOT TABLES'!$W$26</f>
        <v>27.948</v>
      </c>
      <c r="W685" s="14">
        <f>'PIVOT TABLES'!$W$28-'PIVOT TABLES'!$W$27</f>
        <v>27.947999999999993</v>
      </c>
      <c r="X685" s="14">
        <f>200-SUM(Table3[[#This Row],[S - LIGHT]:[S - VIGOROUS]])</f>
        <v>88.208000000000013</v>
      </c>
    </row>
    <row r="686" spans="1:24" x14ac:dyDescent="0.25">
      <c r="A686" s="17" t="s">
        <v>58</v>
      </c>
      <c r="B686" s="13" t="str">
        <f t="shared" si="10"/>
        <v>Defender</v>
      </c>
      <c r="C686" s="7">
        <v>45339.416145833333</v>
      </c>
      <c r="D686" s="14">
        <v>1856</v>
      </c>
      <c r="E686" s="14">
        <v>0</v>
      </c>
      <c r="F686" s="14">
        <v>0</v>
      </c>
      <c r="G686" s="14">
        <v>0</v>
      </c>
      <c r="H686" s="14">
        <v>18.559999999999999</v>
      </c>
      <c r="I686" s="14">
        <f>'PIVOT TABLES'!$B$26</f>
        <v>60.283999999999999</v>
      </c>
      <c r="J686" s="14">
        <f>'PIVOT TABLES'!$B$27-'PIVOT TABLES'!$B$26</f>
        <v>30.142000000000003</v>
      </c>
      <c r="K686" s="14">
        <f>'PIVOT TABLES'!$B$28-'PIVOT TABLES'!$B$27</f>
        <v>30.141999999999996</v>
      </c>
      <c r="L686" s="14">
        <f>200-SUM(Table3[[#This Row],[D - LIGHT]:[D - VIGOROUS]])</f>
        <v>79.432000000000002</v>
      </c>
      <c r="M686" s="14">
        <f>'PIVOT TABLES'!$I$26</f>
        <v>65.603999999999999</v>
      </c>
      <c r="N686" s="14">
        <f>'PIVOT TABLES'!$I$27-'PIVOT TABLES'!$I$26</f>
        <v>32.802000000000007</v>
      </c>
      <c r="O686" s="14">
        <f>'PIVOT TABLES'!$I$28-'PIVOT TABLES'!$I$27</f>
        <v>32.801999999999992</v>
      </c>
      <c r="P686" s="14">
        <f>200-SUM(Table3[[#This Row],[M - LIGHT]:[M - VIGOROUS]])</f>
        <v>68.792000000000002</v>
      </c>
      <c r="Q686" s="14">
        <f>'PIVOT TABLES'!$P$26</f>
        <v>62.64</v>
      </c>
      <c r="R686" s="14">
        <f>'PIVOT TABLES'!$P$27-'PIVOT TABLES'!$P$26</f>
        <v>31.320000000000007</v>
      </c>
      <c r="S686" s="14">
        <f>'PIVOT TABLES'!$P$28-'PIVOT TABLES'!$P$27</f>
        <v>31.319999999999993</v>
      </c>
      <c r="T686" s="14">
        <f>200-SUM(Table3[[#This Row],[W - LIGHT]:[W - VIGOROUS]])</f>
        <v>74.72</v>
      </c>
      <c r="U686" s="14">
        <f>'PIVOT TABLES'!$W$26</f>
        <v>55.895999999999994</v>
      </c>
      <c r="V686" s="14">
        <f>'PIVOT TABLES'!$W$27-'PIVOT TABLES'!$W$26</f>
        <v>27.948</v>
      </c>
      <c r="W686" s="14">
        <f>'PIVOT TABLES'!$W$28-'PIVOT TABLES'!$W$27</f>
        <v>27.947999999999993</v>
      </c>
      <c r="X686" s="14">
        <f>200-SUM(Table3[[#This Row],[S - LIGHT]:[S - VIGOROUS]])</f>
        <v>88.208000000000013</v>
      </c>
    </row>
    <row r="687" spans="1:24" x14ac:dyDescent="0.25">
      <c r="A687" s="17" t="s">
        <v>94</v>
      </c>
      <c r="B687" s="13" t="str">
        <f t="shared" si="10"/>
        <v>Defender</v>
      </c>
      <c r="C687" s="7">
        <v>45339.416145833333</v>
      </c>
      <c r="D687" s="14">
        <v>4321</v>
      </c>
      <c r="E687" s="14">
        <v>89</v>
      </c>
      <c r="F687" s="14">
        <v>20</v>
      </c>
      <c r="G687" s="14">
        <v>4</v>
      </c>
      <c r="H687" s="14">
        <v>46.76</v>
      </c>
      <c r="I687" s="14">
        <f>'PIVOT TABLES'!$B$26</f>
        <v>60.283999999999999</v>
      </c>
      <c r="J687" s="14">
        <f>'PIVOT TABLES'!$B$27-'PIVOT TABLES'!$B$26</f>
        <v>30.142000000000003</v>
      </c>
      <c r="K687" s="14">
        <f>'PIVOT TABLES'!$B$28-'PIVOT TABLES'!$B$27</f>
        <v>30.141999999999996</v>
      </c>
      <c r="L687" s="14">
        <f>200-SUM(Table3[[#This Row],[D - LIGHT]:[D - VIGOROUS]])</f>
        <v>79.432000000000002</v>
      </c>
      <c r="M687" s="14">
        <f>'PIVOT TABLES'!$I$26</f>
        <v>65.603999999999999</v>
      </c>
      <c r="N687" s="14">
        <f>'PIVOT TABLES'!$I$27-'PIVOT TABLES'!$I$26</f>
        <v>32.802000000000007</v>
      </c>
      <c r="O687" s="14">
        <f>'PIVOT TABLES'!$I$28-'PIVOT TABLES'!$I$27</f>
        <v>32.801999999999992</v>
      </c>
      <c r="P687" s="14">
        <f>200-SUM(Table3[[#This Row],[M - LIGHT]:[M - VIGOROUS]])</f>
        <v>68.792000000000002</v>
      </c>
      <c r="Q687" s="14">
        <f>'PIVOT TABLES'!$P$26</f>
        <v>62.64</v>
      </c>
      <c r="R687" s="14">
        <f>'PIVOT TABLES'!$P$27-'PIVOT TABLES'!$P$26</f>
        <v>31.320000000000007</v>
      </c>
      <c r="S687" s="14">
        <f>'PIVOT TABLES'!$P$28-'PIVOT TABLES'!$P$27</f>
        <v>31.319999999999993</v>
      </c>
      <c r="T687" s="14">
        <f>200-SUM(Table3[[#This Row],[W - LIGHT]:[W - VIGOROUS]])</f>
        <v>74.72</v>
      </c>
      <c r="U687" s="14">
        <f>'PIVOT TABLES'!$W$26</f>
        <v>55.895999999999994</v>
      </c>
      <c r="V687" s="14">
        <f>'PIVOT TABLES'!$W$27-'PIVOT TABLES'!$W$26</f>
        <v>27.948</v>
      </c>
      <c r="W687" s="14">
        <f>'PIVOT TABLES'!$W$28-'PIVOT TABLES'!$W$27</f>
        <v>27.947999999999993</v>
      </c>
      <c r="X687" s="14">
        <f>200-SUM(Table3[[#This Row],[S - LIGHT]:[S - VIGOROUS]])</f>
        <v>88.208000000000013</v>
      </c>
    </row>
    <row r="688" spans="1:24" x14ac:dyDescent="0.25">
      <c r="A688" s="17" t="s">
        <v>3</v>
      </c>
      <c r="B688" s="13" t="str">
        <f t="shared" si="10"/>
        <v>Defender</v>
      </c>
      <c r="C688" s="7">
        <v>45339.416145833333</v>
      </c>
      <c r="D688" s="14">
        <v>2427</v>
      </c>
      <c r="E688" s="14">
        <v>0</v>
      </c>
      <c r="F688" s="14">
        <v>0</v>
      </c>
      <c r="G688" s="14">
        <v>0</v>
      </c>
      <c r="H688" s="14">
        <v>24.27</v>
      </c>
      <c r="I688" s="14">
        <f>'PIVOT TABLES'!$B$26</f>
        <v>60.283999999999999</v>
      </c>
      <c r="J688" s="14">
        <f>'PIVOT TABLES'!$B$27-'PIVOT TABLES'!$B$26</f>
        <v>30.142000000000003</v>
      </c>
      <c r="K688" s="14">
        <f>'PIVOT TABLES'!$B$28-'PIVOT TABLES'!$B$27</f>
        <v>30.141999999999996</v>
      </c>
      <c r="L688" s="14">
        <f>200-SUM(Table3[[#This Row],[D - LIGHT]:[D - VIGOROUS]])</f>
        <v>79.432000000000002</v>
      </c>
      <c r="M688" s="14">
        <f>'PIVOT TABLES'!$I$26</f>
        <v>65.603999999999999</v>
      </c>
      <c r="N688" s="14">
        <f>'PIVOT TABLES'!$I$27-'PIVOT TABLES'!$I$26</f>
        <v>32.802000000000007</v>
      </c>
      <c r="O688" s="14">
        <f>'PIVOT TABLES'!$I$28-'PIVOT TABLES'!$I$27</f>
        <v>32.801999999999992</v>
      </c>
      <c r="P688" s="14">
        <f>200-SUM(Table3[[#This Row],[M - LIGHT]:[M - VIGOROUS]])</f>
        <v>68.792000000000002</v>
      </c>
      <c r="Q688" s="14">
        <f>'PIVOT TABLES'!$P$26</f>
        <v>62.64</v>
      </c>
      <c r="R688" s="14">
        <f>'PIVOT TABLES'!$P$27-'PIVOT TABLES'!$P$26</f>
        <v>31.320000000000007</v>
      </c>
      <c r="S688" s="14">
        <f>'PIVOT TABLES'!$P$28-'PIVOT TABLES'!$P$27</f>
        <v>31.319999999999993</v>
      </c>
      <c r="T688" s="14">
        <f>200-SUM(Table3[[#This Row],[W - LIGHT]:[W - VIGOROUS]])</f>
        <v>74.72</v>
      </c>
      <c r="U688" s="14">
        <f>'PIVOT TABLES'!$W$26</f>
        <v>55.895999999999994</v>
      </c>
      <c r="V688" s="14">
        <f>'PIVOT TABLES'!$W$27-'PIVOT TABLES'!$W$26</f>
        <v>27.948</v>
      </c>
      <c r="W688" s="14">
        <f>'PIVOT TABLES'!$W$28-'PIVOT TABLES'!$W$27</f>
        <v>27.947999999999993</v>
      </c>
      <c r="X688" s="14">
        <f>200-SUM(Table3[[#This Row],[S - LIGHT]:[S - VIGOROUS]])</f>
        <v>88.208000000000013</v>
      </c>
    </row>
    <row r="689" spans="1:24" x14ac:dyDescent="0.25">
      <c r="A689" s="17" t="s">
        <v>59</v>
      </c>
      <c r="B689" s="13" t="str">
        <f t="shared" si="10"/>
        <v>Striker</v>
      </c>
      <c r="C689" s="7">
        <v>45339.416145833333</v>
      </c>
      <c r="D689" s="14">
        <v>3616</v>
      </c>
      <c r="E689" s="14">
        <v>7</v>
      </c>
      <c r="F689" s="14">
        <v>7</v>
      </c>
      <c r="G689" s="14">
        <v>3</v>
      </c>
      <c r="H689" s="14">
        <v>36.71</v>
      </c>
      <c r="I689" s="14">
        <f>'PIVOT TABLES'!$B$26</f>
        <v>60.283999999999999</v>
      </c>
      <c r="J689" s="14">
        <f>'PIVOT TABLES'!$B$27-'PIVOT TABLES'!$B$26</f>
        <v>30.142000000000003</v>
      </c>
      <c r="K689" s="14">
        <f>'PIVOT TABLES'!$B$28-'PIVOT TABLES'!$B$27</f>
        <v>30.141999999999996</v>
      </c>
      <c r="L689" s="14">
        <f>200-SUM(Table3[[#This Row],[D - LIGHT]:[D - VIGOROUS]])</f>
        <v>79.432000000000002</v>
      </c>
      <c r="M689" s="14">
        <f>'PIVOT TABLES'!$I$26</f>
        <v>65.603999999999999</v>
      </c>
      <c r="N689" s="14">
        <f>'PIVOT TABLES'!$I$27-'PIVOT TABLES'!$I$26</f>
        <v>32.802000000000007</v>
      </c>
      <c r="O689" s="14">
        <f>'PIVOT TABLES'!$I$28-'PIVOT TABLES'!$I$27</f>
        <v>32.801999999999992</v>
      </c>
      <c r="P689" s="14">
        <f>200-SUM(Table3[[#This Row],[M - LIGHT]:[M - VIGOROUS]])</f>
        <v>68.792000000000002</v>
      </c>
      <c r="Q689" s="14">
        <f>'PIVOT TABLES'!$P$26</f>
        <v>62.64</v>
      </c>
      <c r="R689" s="14">
        <f>'PIVOT TABLES'!$P$27-'PIVOT TABLES'!$P$26</f>
        <v>31.320000000000007</v>
      </c>
      <c r="S689" s="14">
        <f>'PIVOT TABLES'!$P$28-'PIVOT TABLES'!$P$27</f>
        <v>31.319999999999993</v>
      </c>
      <c r="T689" s="14">
        <f>200-SUM(Table3[[#This Row],[W - LIGHT]:[W - VIGOROUS]])</f>
        <v>74.72</v>
      </c>
      <c r="U689" s="14">
        <f>'PIVOT TABLES'!$W$26</f>
        <v>55.895999999999994</v>
      </c>
      <c r="V689" s="14">
        <f>'PIVOT TABLES'!$W$27-'PIVOT TABLES'!$W$26</f>
        <v>27.948</v>
      </c>
      <c r="W689" s="14">
        <f>'PIVOT TABLES'!$W$28-'PIVOT TABLES'!$W$27</f>
        <v>27.947999999999993</v>
      </c>
      <c r="X689" s="14">
        <f>200-SUM(Table3[[#This Row],[S - LIGHT]:[S - VIGOROUS]])</f>
        <v>88.208000000000013</v>
      </c>
    </row>
    <row r="690" spans="1:24" x14ac:dyDescent="0.25">
      <c r="A690" s="17" t="s">
        <v>4</v>
      </c>
      <c r="B690" s="13" t="str">
        <f t="shared" si="10"/>
        <v>Midfielder</v>
      </c>
      <c r="C690" s="7">
        <v>45339.416145833333</v>
      </c>
      <c r="D690" s="14">
        <v>8178</v>
      </c>
      <c r="E690" s="14">
        <v>174</v>
      </c>
      <c r="F690" s="14">
        <v>28</v>
      </c>
      <c r="G690" s="14">
        <v>25</v>
      </c>
      <c r="H690" s="14">
        <v>88.62</v>
      </c>
      <c r="I690" s="14">
        <f>'PIVOT TABLES'!$B$26</f>
        <v>60.283999999999999</v>
      </c>
      <c r="J690" s="14">
        <f>'PIVOT TABLES'!$B$27-'PIVOT TABLES'!$B$26</f>
        <v>30.142000000000003</v>
      </c>
      <c r="K690" s="14">
        <f>'PIVOT TABLES'!$B$28-'PIVOT TABLES'!$B$27</f>
        <v>30.141999999999996</v>
      </c>
      <c r="L690" s="14">
        <f>200-SUM(Table3[[#This Row],[D - LIGHT]:[D - VIGOROUS]])</f>
        <v>79.432000000000002</v>
      </c>
      <c r="M690" s="14">
        <f>'PIVOT TABLES'!$I$26</f>
        <v>65.603999999999999</v>
      </c>
      <c r="N690" s="14">
        <f>'PIVOT TABLES'!$I$27-'PIVOT TABLES'!$I$26</f>
        <v>32.802000000000007</v>
      </c>
      <c r="O690" s="14">
        <f>'PIVOT TABLES'!$I$28-'PIVOT TABLES'!$I$27</f>
        <v>32.801999999999992</v>
      </c>
      <c r="P690" s="14">
        <f>200-SUM(Table3[[#This Row],[M - LIGHT]:[M - VIGOROUS]])</f>
        <v>68.792000000000002</v>
      </c>
      <c r="Q690" s="14">
        <f>'PIVOT TABLES'!$P$26</f>
        <v>62.64</v>
      </c>
      <c r="R690" s="14">
        <f>'PIVOT TABLES'!$P$27-'PIVOT TABLES'!$P$26</f>
        <v>31.320000000000007</v>
      </c>
      <c r="S690" s="14">
        <f>'PIVOT TABLES'!$P$28-'PIVOT TABLES'!$P$27</f>
        <v>31.319999999999993</v>
      </c>
      <c r="T690" s="14">
        <f>200-SUM(Table3[[#This Row],[W - LIGHT]:[W - VIGOROUS]])</f>
        <v>74.72</v>
      </c>
      <c r="U690" s="14">
        <f>'PIVOT TABLES'!$W$26</f>
        <v>55.895999999999994</v>
      </c>
      <c r="V690" s="14">
        <f>'PIVOT TABLES'!$W$27-'PIVOT TABLES'!$W$26</f>
        <v>27.948</v>
      </c>
      <c r="W690" s="14">
        <f>'PIVOT TABLES'!$W$28-'PIVOT TABLES'!$W$27</f>
        <v>27.947999999999993</v>
      </c>
      <c r="X690" s="14">
        <f>200-SUM(Table3[[#This Row],[S - LIGHT]:[S - VIGOROUS]])</f>
        <v>88.208000000000013</v>
      </c>
    </row>
    <row r="691" spans="1:24" x14ac:dyDescent="0.25">
      <c r="A691" s="17" t="s">
        <v>60</v>
      </c>
      <c r="B691" s="13" t="str">
        <f t="shared" si="10"/>
        <v>Winger</v>
      </c>
      <c r="C691" s="7">
        <v>45339.416145833333</v>
      </c>
      <c r="D691" s="14">
        <v>2425</v>
      </c>
      <c r="E691" s="14">
        <v>0</v>
      </c>
      <c r="F691" s="14">
        <v>0</v>
      </c>
      <c r="G691" s="14">
        <v>0</v>
      </c>
      <c r="H691" s="14">
        <v>24.25</v>
      </c>
      <c r="I691" s="14">
        <f>'PIVOT TABLES'!$B$26</f>
        <v>60.283999999999999</v>
      </c>
      <c r="J691" s="14">
        <f>'PIVOT TABLES'!$B$27-'PIVOT TABLES'!$B$26</f>
        <v>30.142000000000003</v>
      </c>
      <c r="K691" s="14">
        <f>'PIVOT TABLES'!$B$28-'PIVOT TABLES'!$B$27</f>
        <v>30.141999999999996</v>
      </c>
      <c r="L691" s="14">
        <f>200-SUM(Table3[[#This Row],[D - LIGHT]:[D - VIGOROUS]])</f>
        <v>79.432000000000002</v>
      </c>
      <c r="M691" s="14">
        <f>'PIVOT TABLES'!$I$26</f>
        <v>65.603999999999999</v>
      </c>
      <c r="N691" s="14">
        <f>'PIVOT TABLES'!$I$27-'PIVOT TABLES'!$I$26</f>
        <v>32.802000000000007</v>
      </c>
      <c r="O691" s="14">
        <f>'PIVOT TABLES'!$I$28-'PIVOT TABLES'!$I$27</f>
        <v>32.801999999999992</v>
      </c>
      <c r="P691" s="14">
        <f>200-SUM(Table3[[#This Row],[M - LIGHT]:[M - VIGOROUS]])</f>
        <v>68.792000000000002</v>
      </c>
      <c r="Q691" s="14">
        <f>'PIVOT TABLES'!$P$26</f>
        <v>62.64</v>
      </c>
      <c r="R691" s="14">
        <f>'PIVOT TABLES'!$P$27-'PIVOT TABLES'!$P$26</f>
        <v>31.320000000000007</v>
      </c>
      <c r="S691" s="14">
        <f>'PIVOT TABLES'!$P$28-'PIVOT TABLES'!$P$27</f>
        <v>31.319999999999993</v>
      </c>
      <c r="T691" s="14">
        <f>200-SUM(Table3[[#This Row],[W - LIGHT]:[W - VIGOROUS]])</f>
        <v>74.72</v>
      </c>
      <c r="U691" s="14">
        <f>'PIVOT TABLES'!$W$26</f>
        <v>55.895999999999994</v>
      </c>
      <c r="V691" s="14">
        <f>'PIVOT TABLES'!$W$27-'PIVOT TABLES'!$W$26</f>
        <v>27.948</v>
      </c>
      <c r="W691" s="14">
        <f>'PIVOT TABLES'!$W$28-'PIVOT TABLES'!$W$27</f>
        <v>27.947999999999993</v>
      </c>
      <c r="X691" s="14">
        <f>200-SUM(Table3[[#This Row],[S - LIGHT]:[S - VIGOROUS]])</f>
        <v>88.208000000000013</v>
      </c>
    </row>
    <row r="692" spans="1:24" x14ac:dyDescent="0.25">
      <c r="A692" s="17" t="s">
        <v>71</v>
      </c>
      <c r="B692" s="13" t="str">
        <f t="shared" si="10"/>
        <v>Midfielder</v>
      </c>
      <c r="C692" s="7">
        <v>45339.416145833333</v>
      </c>
      <c r="D692" s="14">
        <v>12098</v>
      </c>
      <c r="E692" s="14">
        <v>79</v>
      </c>
      <c r="F692" s="14">
        <v>47</v>
      </c>
      <c r="G692" s="14">
        <v>28</v>
      </c>
      <c r="H692" s="14">
        <v>125.79</v>
      </c>
      <c r="I692" s="14">
        <f>'PIVOT TABLES'!$B$26</f>
        <v>60.283999999999999</v>
      </c>
      <c r="J692" s="14">
        <f>'PIVOT TABLES'!$B$27-'PIVOT TABLES'!$B$26</f>
        <v>30.142000000000003</v>
      </c>
      <c r="K692" s="14">
        <f>'PIVOT TABLES'!$B$28-'PIVOT TABLES'!$B$27</f>
        <v>30.141999999999996</v>
      </c>
      <c r="L692" s="14">
        <f>200-SUM(Table3[[#This Row],[D - LIGHT]:[D - VIGOROUS]])</f>
        <v>79.432000000000002</v>
      </c>
      <c r="M692" s="14">
        <f>'PIVOT TABLES'!$I$26</f>
        <v>65.603999999999999</v>
      </c>
      <c r="N692" s="14">
        <f>'PIVOT TABLES'!$I$27-'PIVOT TABLES'!$I$26</f>
        <v>32.802000000000007</v>
      </c>
      <c r="O692" s="14">
        <f>'PIVOT TABLES'!$I$28-'PIVOT TABLES'!$I$27</f>
        <v>32.801999999999992</v>
      </c>
      <c r="P692" s="14">
        <f>200-SUM(Table3[[#This Row],[M - LIGHT]:[M - VIGOROUS]])</f>
        <v>68.792000000000002</v>
      </c>
      <c r="Q692" s="14">
        <f>'PIVOT TABLES'!$P$26</f>
        <v>62.64</v>
      </c>
      <c r="R692" s="14">
        <f>'PIVOT TABLES'!$P$27-'PIVOT TABLES'!$P$26</f>
        <v>31.320000000000007</v>
      </c>
      <c r="S692" s="14">
        <f>'PIVOT TABLES'!$P$28-'PIVOT TABLES'!$P$27</f>
        <v>31.319999999999993</v>
      </c>
      <c r="T692" s="14">
        <f>200-SUM(Table3[[#This Row],[W - LIGHT]:[W - VIGOROUS]])</f>
        <v>74.72</v>
      </c>
      <c r="U692" s="14">
        <f>'PIVOT TABLES'!$W$26</f>
        <v>55.895999999999994</v>
      </c>
      <c r="V692" s="14">
        <f>'PIVOT TABLES'!$W$27-'PIVOT TABLES'!$W$26</f>
        <v>27.948</v>
      </c>
      <c r="W692" s="14">
        <f>'PIVOT TABLES'!$W$28-'PIVOT TABLES'!$W$27</f>
        <v>27.947999999999993</v>
      </c>
      <c r="X692" s="14">
        <f>200-SUM(Table3[[#This Row],[S - LIGHT]:[S - VIGOROUS]])</f>
        <v>88.208000000000013</v>
      </c>
    </row>
    <row r="693" spans="1:24" x14ac:dyDescent="0.25">
      <c r="A693" s="17" t="s">
        <v>5</v>
      </c>
      <c r="B693" s="13" t="str">
        <f t="shared" si="10"/>
        <v>Midfielder</v>
      </c>
      <c r="C693" s="7">
        <v>45339.416145833333</v>
      </c>
      <c r="D693" s="14">
        <v>7936</v>
      </c>
      <c r="E693" s="14">
        <v>178</v>
      </c>
      <c r="F693" s="14">
        <v>24</v>
      </c>
      <c r="G693" s="14">
        <v>17</v>
      </c>
      <c r="H693" s="14">
        <v>86</v>
      </c>
      <c r="I693" s="14">
        <f>'PIVOT TABLES'!$B$26</f>
        <v>60.283999999999999</v>
      </c>
      <c r="J693" s="14">
        <f>'PIVOT TABLES'!$B$27-'PIVOT TABLES'!$B$26</f>
        <v>30.142000000000003</v>
      </c>
      <c r="K693" s="14">
        <f>'PIVOT TABLES'!$B$28-'PIVOT TABLES'!$B$27</f>
        <v>30.141999999999996</v>
      </c>
      <c r="L693" s="14">
        <f>200-SUM(Table3[[#This Row],[D - LIGHT]:[D - VIGOROUS]])</f>
        <v>79.432000000000002</v>
      </c>
      <c r="M693" s="14">
        <f>'PIVOT TABLES'!$I$26</f>
        <v>65.603999999999999</v>
      </c>
      <c r="N693" s="14">
        <f>'PIVOT TABLES'!$I$27-'PIVOT TABLES'!$I$26</f>
        <v>32.802000000000007</v>
      </c>
      <c r="O693" s="14">
        <f>'PIVOT TABLES'!$I$28-'PIVOT TABLES'!$I$27</f>
        <v>32.801999999999992</v>
      </c>
      <c r="P693" s="14">
        <f>200-SUM(Table3[[#This Row],[M - LIGHT]:[M - VIGOROUS]])</f>
        <v>68.792000000000002</v>
      </c>
      <c r="Q693" s="14">
        <f>'PIVOT TABLES'!$P$26</f>
        <v>62.64</v>
      </c>
      <c r="R693" s="14">
        <f>'PIVOT TABLES'!$P$27-'PIVOT TABLES'!$P$26</f>
        <v>31.320000000000007</v>
      </c>
      <c r="S693" s="14">
        <f>'PIVOT TABLES'!$P$28-'PIVOT TABLES'!$P$27</f>
        <v>31.319999999999993</v>
      </c>
      <c r="T693" s="14">
        <f>200-SUM(Table3[[#This Row],[W - LIGHT]:[W - VIGOROUS]])</f>
        <v>74.72</v>
      </c>
      <c r="U693" s="14">
        <f>'PIVOT TABLES'!$W$26</f>
        <v>55.895999999999994</v>
      </c>
      <c r="V693" s="14">
        <f>'PIVOT TABLES'!$W$27-'PIVOT TABLES'!$W$26</f>
        <v>27.948</v>
      </c>
      <c r="W693" s="14">
        <f>'PIVOT TABLES'!$W$28-'PIVOT TABLES'!$W$27</f>
        <v>27.947999999999993</v>
      </c>
      <c r="X693" s="14">
        <f>200-SUM(Table3[[#This Row],[S - LIGHT]:[S - VIGOROUS]])</f>
        <v>88.208000000000013</v>
      </c>
    </row>
    <row r="694" spans="1:24" x14ac:dyDescent="0.25">
      <c r="A694" s="17" t="s">
        <v>6</v>
      </c>
      <c r="B694" s="13" t="str">
        <f t="shared" si="10"/>
        <v>Midfielder</v>
      </c>
      <c r="C694" s="7">
        <v>45339.416145833333</v>
      </c>
      <c r="D694" s="14">
        <v>11481</v>
      </c>
      <c r="E694" s="14">
        <v>381</v>
      </c>
      <c r="F694" s="14">
        <v>44</v>
      </c>
      <c r="G694" s="14">
        <v>35</v>
      </c>
      <c r="H694" s="14">
        <v>128.69999999999999</v>
      </c>
      <c r="I694" s="14">
        <f>'PIVOT TABLES'!$B$26</f>
        <v>60.283999999999999</v>
      </c>
      <c r="J694" s="14">
        <f>'PIVOT TABLES'!$B$27-'PIVOT TABLES'!$B$26</f>
        <v>30.142000000000003</v>
      </c>
      <c r="K694" s="14">
        <f>'PIVOT TABLES'!$B$28-'PIVOT TABLES'!$B$27</f>
        <v>30.141999999999996</v>
      </c>
      <c r="L694" s="14">
        <f>200-SUM(Table3[[#This Row],[D - LIGHT]:[D - VIGOROUS]])</f>
        <v>79.432000000000002</v>
      </c>
      <c r="M694" s="14">
        <f>'PIVOT TABLES'!$I$26</f>
        <v>65.603999999999999</v>
      </c>
      <c r="N694" s="14">
        <f>'PIVOT TABLES'!$I$27-'PIVOT TABLES'!$I$26</f>
        <v>32.802000000000007</v>
      </c>
      <c r="O694" s="14">
        <f>'PIVOT TABLES'!$I$28-'PIVOT TABLES'!$I$27</f>
        <v>32.801999999999992</v>
      </c>
      <c r="P694" s="14">
        <f>200-SUM(Table3[[#This Row],[M - LIGHT]:[M - VIGOROUS]])</f>
        <v>68.792000000000002</v>
      </c>
      <c r="Q694" s="14">
        <f>'PIVOT TABLES'!$P$26</f>
        <v>62.64</v>
      </c>
      <c r="R694" s="14">
        <f>'PIVOT TABLES'!$P$27-'PIVOT TABLES'!$P$26</f>
        <v>31.320000000000007</v>
      </c>
      <c r="S694" s="14">
        <f>'PIVOT TABLES'!$P$28-'PIVOT TABLES'!$P$27</f>
        <v>31.319999999999993</v>
      </c>
      <c r="T694" s="14">
        <f>200-SUM(Table3[[#This Row],[W - LIGHT]:[W - VIGOROUS]])</f>
        <v>74.72</v>
      </c>
      <c r="U694" s="14">
        <f>'PIVOT TABLES'!$W$26</f>
        <v>55.895999999999994</v>
      </c>
      <c r="V694" s="14">
        <f>'PIVOT TABLES'!$W$27-'PIVOT TABLES'!$W$26</f>
        <v>27.948</v>
      </c>
      <c r="W694" s="14">
        <f>'PIVOT TABLES'!$W$28-'PIVOT TABLES'!$W$27</f>
        <v>27.947999999999993</v>
      </c>
      <c r="X694" s="14">
        <f>200-SUM(Table3[[#This Row],[S - LIGHT]:[S - VIGOROUS]])</f>
        <v>88.208000000000013</v>
      </c>
    </row>
    <row r="695" spans="1:24" x14ac:dyDescent="0.25">
      <c r="A695" s="17" t="s">
        <v>63</v>
      </c>
      <c r="B695" s="13" t="str">
        <f t="shared" si="10"/>
        <v>Winger</v>
      </c>
      <c r="C695" s="7">
        <v>45339.416145833333</v>
      </c>
      <c r="D695" s="14">
        <v>1587</v>
      </c>
      <c r="E695" s="14">
        <v>0</v>
      </c>
      <c r="F695" s="14">
        <v>2</v>
      </c>
      <c r="G695" s="14">
        <v>1</v>
      </c>
      <c r="H695" s="14">
        <v>15.97</v>
      </c>
      <c r="I695" s="14">
        <f>'PIVOT TABLES'!$B$26</f>
        <v>60.283999999999999</v>
      </c>
      <c r="J695" s="14">
        <f>'PIVOT TABLES'!$B$27-'PIVOT TABLES'!$B$26</f>
        <v>30.142000000000003</v>
      </c>
      <c r="K695" s="14">
        <f>'PIVOT TABLES'!$B$28-'PIVOT TABLES'!$B$27</f>
        <v>30.141999999999996</v>
      </c>
      <c r="L695" s="14">
        <f>200-SUM(Table3[[#This Row],[D - LIGHT]:[D - VIGOROUS]])</f>
        <v>79.432000000000002</v>
      </c>
      <c r="M695" s="14">
        <f>'PIVOT TABLES'!$I$26</f>
        <v>65.603999999999999</v>
      </c>
      <c r="N695" s="14">
        <f>'PIVOT TABLES'!$I$27-'PIVOT TABLES'!$I$26</f>
        <v>32.802000000000007</v>
      </c>
      <c r="O695" s="14">
        <f>'PIVOT TABLES'!$I$28-'PIVOT TABLES'!$I$27</f>
        <v>32.801999999999992</v>
      </c>
      <c r="P695" s="14">
        <f>200-SUM(Table3[[#This Row],[M - LIGHT]:[M - VIGOROUS]])</f>
        <v>68.792000000000002</v>
      </c>
      <c r="Q695" s="14">
        <f>'PIVOT TABLES'!$P$26</f>
        <v>62.64</v>
      </c>
      <c r="R695" s="14">
        <f>'PIVOT TABLES'!$P$27-'PIVOT TABLES'!$P$26</f>
        <v>31.320000000000007</v>
      </c>
      <c r="S695" s="14">
        <f>'PIVOT TABLES'!$P$28-'PIVOT TABLES'!$P$27</f>
        <v>31.319999999999993</v>
      </c>
      <c r="T695" s="14">
        <f>200-SUM(Table3[[#This Row],[W - LIGHT]:[W - VIGOROUS]])</f>
        <v>74.72</v>
      </c>
      <c r="U695" s="14">
        <f>'PIVOT TABLES'!$W$26</f>
        <v>55.895999999999994</v>
      </c>
      <c r="V695" s="14">
        <f>'PIVOT TABLES'!$W$27-'PIVOT TABLES'!$W$26</f>
        <v>27.948</v>
      </c>
      <c r="W695" s="14">
        <f>'PIVOT TABLES'!$W$28-'PIVOT TABLES'!$W$27</f>
        <v>27.947999999999993</v>
      </c>
      <c r="X695" s="14">
        <f>200-SUM(Table3[[#This Row],[S - LIGHT]:[S - VIGOROUS]])</f>
        <v>88.208000000000013</v>
      </c>
    </row>
    <row r="696" spans="1:24" x14ac:dyDescent="0.25">
      <c r="A696" s="17" t="s">
        <v>65</v>
      </c>
      <c r="B696" s="13" t="str">
        <f t="shared" si="10"/>
        <v>Winger</v>
      </c>
      <c r="C696" s="7">
        <v>45339.416145833333</v>
      </c>
      <c r="D696" s="14">
        <v>6220</v>
      </c>
      <c r="E696" s="14">
        <v>169</v>
      </c>
      <c r="F696" s="14">
        <v>36</v>
      </c>
      <c r="G696" s="14">
        <v>19</v>
      </c>
      <c r="H696" s="14">
        <v>69.09</v>
      </c>
      <c r="I696" s="14">
        <f>'PIVOT TABLES'!$B$26</f>
        <v>60.283999999999999</v>
      </c>
      <c r="J696" s="14">
        <f>'PIVOT TABLES'!$B$27-'PIVOT TABLES'!$B$26</f>
        <v>30.142000000000003</v>
      </c>
      <c r="K696" s="14">
        <f>'PIVOT TABLES'!$B$28-'PIVOT TABLES'!$B$27</f>
        <v>30.141999999999996</v>
      </c>
      <c r="L696" s="14">
        <f>200-SUM(Table3[[#This Row],[D - LIGHT]:[D - VIGOROUS]])</f>
        <v>79.432000000000002</v>
      </c>
      <c r="M696" s="14">
        <f>'PIVOT TABLES'!$I$26</f>
        <v>65.603999999999999</v>
      </c>
      <c r="N696" s="14">
        <f>'PIVOT TABLES'!$I$27-'PIVOT TABLES'!$I$26</f>
        <v>32.802000000000007</v>
      </c>
      <c r="O696" s="14">
        <f>'PIVOT TABLES'!$I$28-'PIVOT TABLES'!$I$27</f>
        <v>32.801999999999992</v>
      </c>
      <c r="P696" s="14">
        <f>200-SUM(Table3[[#This Row],[M - LIGHT]:[M - VIGOROUS]])</f>
        <v>68.792000000000002</v>
      </c>
      <c r="Q696" s="14">
        <f>'PIVOT TABLES'!$P$26</f>
        <v>62.64</v>
      </c>
      <c r="R696" s="14">
        <f>'PIVOT TABLES'!$P$27-'PIVOT TABLES'!$P$26</f>
        <v>31.320000000000007</v>
      </c>
      <c r="S696" s="14">
        <f>'PIVOT TABLES'!$P$28-'PIVOT TABLES'!$P$27</f>
        <v>31.319999999999993</v>
      </c>
      <c r="T696" s="14">
        <f>200-SUM(Table3[[#This Row],[W - LIGHT]:[W - VIGOROUS]])</f>
        <v>74.72</v>
      </c>
      <c r="U696" s="14">
        <f>'PIVOT TABLES'!$W$26</f>
        <v>55.895999999999994</v>
      </c>
      <c r="V696" s="14">
        <f>'PIVOT TABLES'!$W$27-'PIVOT TABLES'!$W$26</f>
        <v>27.948</v>
      </c>
      <c r="W696" s="14">
        <f>'PIVOT TABLES'!$W$28-'PIVOT TABLES'!$W$27</f>
        <v>27.947999999999993</v>
      </c>
      <c r="X696" s="14">
        <f>200-SUM(Table3[[#This Row],[S - LIGHT]:[S - VIGOROUS]])</f>
        <v>88.208000000000013</v>
      </c>
    </row>
    <row r="697" spans="1:24" x14ac:dyDescent="0.25">
      <c r="A697" s="17" t="s">
        <v>77</v>
      </c>
      <c r="B697" s="13" t="str">
        <f t="shared" si="10"/>
        <v>Defender</v>
      </c>
      <c r="C697" s="7">
        <v>45339.416145833333</v>
      </c>
      <c r="D697" s="14">
        <v>7279</v>
      </c>
      <c r="E697" s="14">
        <v>183</v>
      </c>
      <c r="F697" s="14">
        <v>23</v>
      </c>
      <c r="G697" s="14">
        <v>20</v>
      </c>
      <c r="H697" s="14">
        <v>79.599999999999994</v>
      </c>
      <c r="I697" s="14">
        <f>'PIVOT TABLES'!$B$26</f>
        <v>60.283999999999999</v>
      </c>
      <c r="J697" s="14">
        <f>'PIVOT TABLES'!$B$27-'PIVOT TABLES'!$B$26</f>
        <v>30.142000000000003</v>
      </c>
      <c r="K697" s="14">
        <f>'PIVOT TABLES'!$B$28-'PIVOT TABLES'!$B$27</f>
        <v>30.141999999999996</v>
      </c>
      <c r="L697" s="14">
        <f>200-SUM(Table3[[#This Row],[D - LIGHT]:[D - VIGOROUS]])</f>
        <v>79.432000000000002</v>
      </c>
      <c r="M697" s="14">
        <f>'PIVOT TABLES'!$I$26</f>
        <v>65.603999999999999</v>
      </c>
      <c r="N697" s="14">
        <f>'PIVOT TABLES'!$I$27-'PIVOT TABLES'!$I$26</f>
        <v>32.802000000000007</v>
      </c>
      <c r="O697" s="14">
        <f>'PIVOT TABLES'!$I$28-'PIVOT TABLES'!$I$27</f>
        <v>32.801999999999992</v>
      </c>
      <c r="P697" s="14">
        <f>200-SUM(Table3[[#This Row],[M - LIGHT]:[M - VIGOROUS]])</f>
        <v>68.792000000000002</v>
      </c>
      <c r="Q697" s="14">
        <f>'PIVOT TABLES'!$P$26</f>
        <v>62.64</v>
      </c>
      <c r="R697" s="14">
        <f>'PIVOT TABLES'!$P$27-'PIVOT TABLES'!$P$26</f>
        <v>31.320000000000007</v>
      </c>
      <c r="S697" s="14">
        <f>'PIVOT TABLES'!$P$28-'PIVOT TABLES'!$P$27</f>
        <v>31.319999999999993</v>
      </c>
      <c r="T697" s="14">
        <f>200-SUM(Table3[[#This Row],[W - LIGHT]:[W - VIGOROUS]])</f>
        <v>74.72</v>
      </c>
      <c r="U697" s="14">
        <f>'PIVOT TABLES'!$W$26</f>
        <v>55.895999999999994</v>
      </c>
      <c r="V697" s="14">
        <f>'PIVOT TABLES'!$W$27-'PIVOT TABLES'!$W$26</f>
        <v>27.948</v>
      </c>
      <c r="W697" s="14">
        <f>'PIVOT TABLES'!$W$28-'PIVOT TABLES'!$W$27</f>
        <v>27.947999999999993</v>
      </c>
      <c r="X697" s="14">
        <f>200-SUM(Table3[[#This Row],[S - LIGHT]:[S - VIGOROUS]])</f>
        <v>88.208000000000013</v>
      </c>
    </row>
    <row r="698" spans="1:24" x14ac:dyDescent="0.25">
      <c r="A698" s="17" t="s">
        <v>78</v>
      </c>
      <c r="B698" s="13" t="str">
        <f t="shared" si="10"/>
        <v>Defender</v>
      </c>
      <c r="C698" s="7">
        <v>45339.416145833333</v>
      </c>
      <c r="D698" s="14">
        <v>8441</v>
      </c>
      <c r="E698" s="14">
        <v>155</v>
      </c>
      <c r="F698" s="14">
        <v>24</v>
      </c>
      <c r="G698" s="14">
        <v>24</v>
      </c>
      <c r="H698" s="14">
        <v>90.5</v>
      </c>
      <c r="I698" s="14">
        <f>'PIVOT TABLES'!$B$26</f>
        <v>60.283999999999999</v>
      </c>
      <c r="J698" s="14">
        <f>'PIVOT TABLES'!$B$27-'PIVOT TABLES'!$B$26</f>
        <v>30.142000000000003</v>
      </c>
      <c r="K698" s="14">
        <f>'PIVOT TABLES'!$B$28-'PIVOT TABLES'!$B$27</f>
        <v>30.141999999999996</v>
      </c>
      <c r="L698" s="14">
        <f>200-SUM(Table3[[#This Row],[D - LIGHT]:[D - VIGOROUS]])</f>
        <v>79.432000000000002</v>
      </c>
      <c r="M698" s="14">
        <f>'PIVOT TABLES'!$I$26</f>
        <v>65.603999999999999</v>
      </c>
      <c r="N698" s="14">
        <f>'PIVOT TABLES'!$I$27-'PIVOT TABLES'!$I$26</f>
        <v>32.802000000000007</v>
      </c>
      <c r="O698" s="14">
        <f>'PIVOT TABLES'!$I$28-'PIVOT TABLES'!$I$27</f>
        <v>32.801999999999992</v>
      </c>
      <c r="P698" s="14">
        <f>200-SUM(Table3[[#This Row],[M - LIGHT]:[M - VIGOROUS]])</f>
        <v>68.792000000000002</v>
      </c>
      <c r="Q698" s="14">
        <f>'PIVOT TABLES'!$P$26</f>
        <v>62.64</v>
      </c>
      <c r="R698" s="14">
        <f>'PIVOT TABLES'!$P$27-'PIVOT TABLES'!$P$26</f>
        <v>31.320000000000007</v>
      </c>
      <c r="S698" s="14">
        <f>'PIVOT TABLES'!$P$28-'PIVOT TABLES'!$P$27</f>
        <v>31.319999999999993</v>
      </c>
      <c r="T698" s="14">
        <f>200-SUM(Table3[[#This Row],[W - LIGHT]:[W - VIGOROUS]])</f>
        <v>74.72</v>
      </c>
      <c r="U698" s="14">
        <f>'PIVOT TABLES'!$W$26</f>
        <v>55.895999999999994</v>
      </c>
      <c r="V698" s="14">
        <f>'PIVOT TABLES'!$W$27-'PIVOT TABLES'!$W$26</f>
        <v>27.948</v>
      </c>
      <c r="W698" s="14">
        <f>'PIVOT TABLES'!$W$28-'PIVOT TABLES'!$W$27</f>
        <v>27.947999999999993</v>
      </c>
      <c r="X698" s="14">
        <f>200-SUM(Table3[[#This Row],[S - LIGHT]:[S - VIGOROUS]])</f>
        <v>88.208000000000013</v>
      </c>
    </row>
    <row r="699" spans="1:24" x14ac:dyDescent="0.25">
      <c r="A699" s="17" t="s">
        <v>7</v>
      </c>
      <c r="B699" s="13" t="str">
        <f t="shared" si="10"/>
        <v>Winger</v>
      </c>
      <c r="C699" s="7">
        <v>45339.416145833333</v>
      </c>
      <c r="D699" s="14">
        <v>10248</v>
      </c>
      <c r="E699" s="14">
        <v>289</v>
      </c>
      <c r="F699" s="14">
        <v>38</v>
      </c>
      <c r="G699" s="14">
        <v>38</v>
      </c>
      <c r="H699" s="14">
        <v>113.43</v>
      </c>
      <c r="I699" s="14">
        <f>'PIVOT TABLES'!$B$26</f>
        <v>60.283999999999999</v>
      </c>
      <c r="J699" s="14">
        <f>'PIVOT TABLES'!$B$27-'PIVOT TABLES'!$B$26</f>
        <v>30.142000000000003</v>
      </c>
      <c r="K699" s="14">
        <f>'PIVOT TABLES'!$B$28-'PIVOT TABLES'!$B$27</f>
        <v>30.141999999999996</v>
      </c>
      <c r="L699" s="14">
        <f>200-SUM(Table3[[#This Row],[D - LIGHT]:[D - VIGOROUS]])</f>
        <v>79.432000000000002</v>
      </c>
      <c r="M699" s="14">
        <f>'PIVOT TABLES'!$I$26</f>
        <v>65.603999999999999</v>
      </c>
      <c r="N699" s="14">
        <f>'PIVOT TABLES'!$I$27-'PIVOT TABLES'!$I$26</f>
        <v>32.802000000000007</v>
      </c>
      <c r="O699" s="14">
        <f>'PIVOT TABLES'!$I$28-'PIVOT TABLES'!$I$27</f>
        <v>32.801999999999992</v>
      </c>
      <c r="P699" s="14">
        <f>200-SUM(Table3[[#This Row],[M - LIGHT]:[M - VIGOROUS]])</f>
        <v>68.792000000000002</v>
      </c>
      <c r="Q699" s="14">
        <f>'PIVOT TABLES'!$P$26</f>
        <v>62.64</v>
      </c>
      <c r="R699" s="14">
        <f>'PIVOT TABLES'!$P$27-'PIVOT TABLES'!$P$26</f>
        <v>31.320000000000007</v>
      </c>
      <c r="S699" s="14">
        <f>'PIVOT TABLES'!$P$28-'PIVOT TABLES'!$P$27</f>
        <v>31.319999999999993</v>
      </c>
      <c r="T699" s="14">
        <f>200-SUM(Table3[[#This Row],[W - LIGHT]:[W - VIGOROUS]])</f>
        <v>74.72</v>
      </c>
      <c r="U699" s="14">
        <f>'PIVOT TABLES'!$W$26</f>
        <v>55.895999999999994</v>
      </c>
      <c r="V699" s="14">
        <f>'PIVOT TABLES'!$W$27-'PIVOT TABLES'!$W$26</f>
        <v>27.948</v>
      </c>
      <c r="W699" s="14">
        <f>'PIVOT TABLES'!$W$28-'PIVOT TABLES'!$W$27</f>
        <v>27.947999999999993</v>
      </c>
      <c r="X699" s="14">
        <f>200-SUM(Table3[[#This Row],[S - LIGHT]:[S - VIGOROUS]])</f>
        <v>88.208000000000013</v>
      </c>
    </row>
    <row r="700" spans="1:24" x14ac:dyDescent="0.25">
      <c r="A700" s="17" t="s">
        <v>95</v>
      </c>
      <c r="B700" s="13" t="str">
        <f t="shared" si="10"/>
        <v>Winger</v>
      </c>
      <c r="C700" s="7">
        <v>45339.416145833333</v>
      </c>
      <c r="D700" s="14">
        <v>11227</v>
      </c>
      <c r="E700" s="14">
        <v>145</v>
      </c>
      <c r="F700" s="14">
        <v>26</v>
      </c>
      <c r="G700" s="14">
        <v>32</v>
      </c>
      <c r="H700" s="14">
        <v>118.3</v>
      </c>
      <c r="I700" s="14">
        <f>'PIVOT TABLES'!$B$26</f>
        <v>60.283999999999999</v>
      </c>
      <c r="J700" s="14">
        <f>'PIVOT TABLES'!$B$27-'PIVOT TABLES'!$B$26</f>
        <v>30.142000000000003</v>
      </c>
      <c r="K700" s="14">
        <f>'PIVOT TABLES'!$B$28-'PIVOT TABLES'!$B$27</f>
        <v>30.141999999999996</v>
      </c>
      <c r="L700" s="14">
        <f>200-SUM(Table3[[#This Row],[D - LIGHT]:[D - VIGOROUS]])</f>
        <v>79.432000000000002</v>
      </c>
      <c r="M700" s="14">
        <f>'PIVOT TABLES'!$I$26</f>
        <v>65.603999999999999</v>
      </c>
      <c r="N700" s="14">
        <f>'PIVOT TABLES'!$I$27-'PIVOT TABLES'!$I$26</f>
        <v>32.802000000000007</v>
      </c>
      <c r="O700" s="14">
        <f>'PIVOT TABLES'!$I$28-'PIVOT TABLES'!$I$27</f>
        <v>32.801999999999992</v>
      </c>
      <c r="P700" s="14">
        <f>200-SUM(Table3[[#This Row],[M - LIGHT]:[M - VIGOROUS]])</f>
        <v>68.792000000000002</v>
      </c>
      <c r="Q700" s="14">
        <f>'PIVOT TABLES'!$P$26</f>
        <v>62.64</v>
      </c>
      <c r="R700" s="14">
        <f>'PIVOT TABLES'!$P$27-'PIVOT TABLES'!$P$26</f>
        <v>31.320000000000007</v>
      </c>
      <c r="S700" s="14">
        <f>'PIVOT TABLES'!$P$28-'PIVOT TABLES'!$P$27</f>
        <v>31.319999999999993</v>
      </c>
      <c r="T700" s="14">
        <f>200-SUM(Table3[[#This Row],[W - LIGHT]:[W - VIGOROUS]])</f>
        <v>74.72</v>
      </c>
      <c r="U700" s="14">
        <f>'PIVOT TABLES'!$W$26</f>
        <v>55.895999999999994</v>
      </c>
      <c r="V700" s="14">
        <f>'PIVOT TABLES'!$W$27-'PIVOT TABLES'!$W$26</f>
        <v>27.948</v>
      </c>
      <c r="W700" s="14">
        <f>'PIVOT TABLES'!$W$28-'PIVOT TABLES'!$W$27</f>
        <v>27.947999999999993</v>
      </c>
      <c r="X700" s="14">
        <f>200-SUM(Table3[[#This Row],[S - LIGHT]:[S - VIGOROUS]])</f>
        <v>88.208000000000013</v>
      </c>
    </row>
    <row r="701" spans="1:24" x14ac:dyDescent="0.25">
      <c r="A701" s="17" t="s">
        <v>67</v>
      </c>
      <c r="B701" s="13" t="str">
        <f t="shared" si="10"/>
        <v>Midfielder</v>
      </c>
      <c r="C701" s="7">
        <v>45339.416145833333</v>
      </c>
      <c r="D701" s="14">
        <v>7661</v>
      </c>
      <c r="E701" s="14">
        <v>100</v>
      </c>
      <c r="F701" s="14">
        <v>34</v>
      </c>
      <c r="G701" s="14">
        <v>26</v>
      </c>
      <c r="H701" s="14">
        <v>81.489999999999995</v>
      </c>
      <c r="I701" s="14">
        <f>'PIVOT TABLES'!$B$26</f>
        <v>60.283999999999999</v>
      </c>
      <c r="J701" s="14">
        <f>'PIVOT TABLES'!$B$27-'PIVOT TABLES'!$B$26</f>
        <v>30.142000000000003</v>
      </c>
      <c r="K701" s="14">
        <f>'PIVOT TABLES'!$B$28-'PIVOT TABLES'!$B$27</f>
        <v>30.141999999999996</v>
      </c>
      <c r="L701" s="14">
        <f>200-SUM(Table3[[#This Row],[D - LIGHT]:[D - VIGOROUS]])</f>
        <v>79.432000000000002</v>
      </c>
      <c r="M701" s="14">
        <f>'PIVOT TABLES'!$I$26</f>
        <v>65.603999999999999</v>
      </c>
      <c r="N701" s="14">
        <f>'PIVOT TABLES'!$I$27-'PIVOT TABLES'!$I$26</f>
        <v>32.802000000000007</v>
      </c>
      <c r="O701" s="14">
        <f>'PIVOT TABLES'!$I$28-'PIVOT TABLES'!$I$27</f>
        <v>32.801999999999992</v>
      </c>
      <c r="P701" s="14">
        <f>200-SUM(Table3[[#This Row],[M - LIGHT]:[M - VIGOROUS]])</f>
        <v>68.792000000000002</v>
      </c>
      <c r="Q701" s="14">
        <f>'PIVOT TABLES'!$P$26</f>
        <v>62.64</v>
      </c>
      <c r="R701" s="14">
        <f>'PIVOT TABLES'!$P$27-'PIVOT TABLES'!$P$26</f>
        <v>31.320000000000007</v>
      </c>
      <c r="S701" s="14">
        <f>'PIVOT TABLES'!$P$28-'PIVOT TABLES'!$P$27</f>
        <v>31.319999999999993</v>
      </c>
      <c r="T701" s="14">
        <f>200-SUM(Table3[[#This Row],[W - LIGHT]:[W - VIGOROUS]])</f>
        <v>74.72</v>
      </c>
      <c r="U701" s="14">
        <f>'PIVOT TABLES'!$W$26</f>
        <v>55.895999999999994</v>
      </c>
      <c r="V701" s="14">
        <f>'PIVOT TABLES'!$W$27-'PIVOT TABLES'!$W$26</f>
        <v>27.948</v>
      </c>
      <c r="W701" s="14">
        <f>'PIVOT TABLES'!$W$28-'PIVOT TABLES'!$W$27</f>
        <v>27.947999999999993</v>
      </c>
      <c r="X701" s="14">
        <f>200-SUM(Table3[[#This Row],[S - LIGHT]:[S - VIGOROUS]])</f>
        <v>88.208000000000013</v>
      </c>
    </row>
    <row r="702" spans="1:24" x14ac:dyDescent="0.25">
      <c r="A702" s="17" t="s">
        <v>9</v>
      </c>
      <c r="B702" s="13" t="str">
        <f t="shared" si="10"/>
        <v>Striker</v>
      </c>
      <c r="C702" s="7">
        <v>45339.416145833333</v>
      </c>
      <c r="D702" s="14">
        <v>1603</v>
      </c>
      <c r="E702" s="14">
        <v>7</v>
      </c>
      <c r="F702" s="14">
        <v>5</v>
      </c>
      <c r="G702" s="14">
        <v>7</v>
      </c>
      <c r="H702" s="14">
        <v>16.579999999999998</v>
      </c>
      <c r="I702" s="14">
        <f>'PIVOT TABLES'!$B$26</f>
        <v>60.283999999999999</v>
      </c>
      <c r="J702" s="14">
        <f>'PIVOT TABLES'!$B$27-'PIVOT TABLES'!$B$26</f>
        <v>30.142000000000003</v>
      </c>
      <c r="K702" s="14">
        <f>'PIVOT TABLES'!$B$28-'PIVOT TABLES'!$B$27</f>
        <v>30.141999999999996</v>
      </c>
      <c r="L702" s="14">
        <f>200-SUM(Table3[[#This Row],[D - LIGHT]:[D - VIGOROUS]])</f>
        <v>79.432000000000002</v>
      </c>
      <c r="M702" s="14">
        <f>'PIVOT TABLES'!$I$26</f>
        <v>65.603999999999999</v>
      </c>
      <c r="N702" s="14">
        <f>'PIVOT TABLES'!$I$27-'PIVOT TABLES'!$I$26</f>
        <v>32.802000000000007</v>
      </c>
      <c r="O702" s="14">
        <f>'PIVOT TABLES'!$I$28-'PIVOT TABLES'!$I$27</f>
        <v>32.801999999999992</v>
      </c>
      <c r="P702" s="14">
        <f>200-SUM(Table3[[#This Row],[M - LIGHT]:[M - VIGOROUS]])</f>
        <v>68.792000000000002</v>
      </c>
      <c r="Q702" s="14">
        <f>'PIVOT TABLES'!$P$26</f>
        <v>62.64</v>
      </c>
      <c r="R702" s="14">
        <f>'PIVOT TABLES'!$P$27-'PIVOT TABLES'!$P$26</f>
        <v>31.320000000000007</v>
      </c>
      <c r="S702" s="14">
        <f>'PIVOT TABLES'!$P$28-'PIVOT TABLES'!$P$27</f>
        <v>31.319999999999993</v>
      </c>
      <c r="T702" s="14">
        <f>200-SUM(Table3[[#This Row],[W - LIGHT]:[W - VIGOROUS]])</f>
        <v>74.72</v>
      </c>
      <c r="U702" s="14">
        <f>'PIVOT TABLES'!$W$26</f>
        <v>55.895999999999994</v>
      </c>
      <c r="V702" s="14">
        <f>'PIVOT TABLES'!$W$27-'PIVOT TABLES'!$W$26</f>
        <v>27.948</v>
      </c>
      <c r="W702" s="14">
        <f>'PIVOT TABLES'!$W$28-'PIVOT TABLES'!$W$27</f>
        <v>27.947999999999993</v>
      </c>
      <c r="X702" s="14">
        <f>200-SUM(Table3[[#This Row],[S - LIGHT]:[S - VIGOROUS]])</f>
        <v>88.208000000000013</v>
      </c>
    </row>
    <row r="703" spans="1:24" x14ac:dyDescent="0.25">
      <c r="A703" s="17" t="s">
        <v>69</v>
      </c>
      <c r="B703" s="13" t="str">
        <f t="shared" si="10"/>
        <v>Midfielder</v>
      </c>
      <c r="C703" s="7">
        <v>45339.416145833333</v>
      </c>
      <c r="D703" s="14">
        <v>6376</v>
      </c>
      <c r="E703" s="14">
        <v>120</v>
      </c>
      <c r="F703" s="14">
        <v>28</v>
      </c>
      <c r="G703" s="14">
        <v>28</v>
      </c>
      <c r="H703" s="14">
        <v>69.040000000000006</v>
      </c>
      <c r="I703" s="14">
        <f>'PIVOT TABLES'!$B$26</f>
        <v>60.283999999999999</v>
      </c>
      <c r="J703" s="14">
        <f>'PIVOT TABLES'!$B$27-'PIVOT TABLES'!$B$26</f>
        <v>30.142000000000003</v>
      </c>
      <c r="K703" s="14">
        <f>'PIVOT TABLES'!$B$28-'PIVOT TABLES'!$B$27</f>
        <v>30.141999999999996</v>
      </c>
      <c r="L703" s="14">
        <f>200-SUM(Table3[[#This Row],[D - LIGHT]:[D - VIGOROUS]])</f>
        <v>79.432000000000002</v>
      </c>
      <c r="M703" s="14">
        <f>'PIVOT TABLES'!$I$26</f>
        <v>65.603999999999999</v>
      </c>
      <c r="N703" s="14">
        <f>'PIVOT TABLES'!$I$27-'PIVOT TABLES'!$I$26</f>
        <v>32.802000000000007</v>
      </c>
      <c r="O703" s="14">
        <f>'PIVOT TABLES'!$I$28-'PIVOT TABLES'!$I$27</f>
        <v>32.801999999999992</v>
      </c>
      <c r="P703" s="14">
        <f>200-SUM(Table3[[#This Row],[M - LIGHT]:[M - VIGOROUS]])</f>
        <v>68.792000000000002</v>
      </c>
      <c r="Q703" s="14">
        <f>'PIVOT TABLES'!$P$26</f>
        <v>62.64</v>
      </c>
      <c r="R703" s="14">
        <f>'PIVOT TABLES'!$P$27-'PIVOT TABLES'!$P$26</f>
        <v>31.320000000000007</v>
      </c>
      <c r="S703" s="14">
        <f>'PIVOT TABLES'!$P$28-'PIVOT TABLES'!$P$27</f>
        <v>31.319999999999993</v>
      </c>
      <c r="T703" s="14">
        <f>200-SUM(Table3[[#This Row],[W - LIGHT]:[W - VIGOROUS]])</f>
        <v>74.72</v>
      </c>
      <c r="U703" s="14">
        <f>'PIVOT TABLES'!$W$26</f>
        <v>55.895999999999994</v>
      </c>
      <c r="V703" s="14">
        <f>'PIVOT TABLES'!$W$27-'PIVOT TABLES'!$W$26</f>
        <v>27.948</v>
      </c>
      <c r="W703" s="14">
        <f>'PIVOT TABLES'!$W$28-'PIVOT TABLES'!$W$27</f>
        <v>27.947999999999993</v>
      </c>
      <c r="X703" s="14">
        <f>200-SUM(Table3[[#This Row],[S - LIGHT]:[S - VIGOROUS]])</f>
        <v>88.208000000000013</v>
      </c>
    </row>
    <row r="704" spans="1:24" x14ac:dyDescent="0.25">
      <c r="A704" s="17" t="s">
        <v>70</v>
      </c>
      <c r="B704" s="13" t="str">
        <f t="shared" si="10"/>
        <v>Winger</v>
      </c>
      <c r="C704" s="7">
        <v>45341.693749999999</v>
      </c>
      <c r="D704" s="14">
        <v>8247</v>
      </c>
      <c r="E704" s="14">
        <v>120</v>
      </c>
      <c r="F704" s="14">
        <v>29</v>
      </c>
      <c r="G704" s="14">
        <v>24</v>
      </c>
      <c r="H704" s="14">
        <v>87.71</v>
      </c>
      <c r="I704" s="14">
        <f>'PIVOT TABLES'!$B$26</f>
        <v>60.283999999999999</v>
      </c>
      <c r="J704" s="14">
        <f>'PIVOT TABLES'!$B$27-'PIVOT TABLES'!$B$26</f>
        <v>30.142000000000003</v>
      </c>
      <c r="K704" s="14">
        <f>'PIVOT TABLES'!$B$28-'PIVOT TABLES'!$B$27</f>
        <v>30.141999999999996</v>
      </c>
      <c r="L704" s="14">
        <f>200-SUM(Table3[[#This Row],[D - LIGHT]:[D - VIGOROUS]])</f>
        <v>79.432000000000002</v>
      </c>
      <c r="M704" s="14">
        <f>'PIVOT TABLES'!$I$26</f>
        <v>65.603999999999999</v>
      </c>
      <c r="N704" s="14">
        <f>'PIVOT TABLES'!$I$27-'PIVOT TABLES'!$I$26</f>
        <v>32.802000000000007</v>
      </c>
      <c r="O704" s="14">
        <f>'PIVOT TABLES'!$I$28-'PIVOT TABLES'!$I$27</f>
        <v>32.801999999999992</v>
      </c>
      <c r="P704" s="14">
        <f>200-SUM(Table3[[#This Row],[M - LIGHT]:[M - VIGOROUS]])</f>
        <v>68.792000000000002</v>
      </c>
      <c r="Q704" s="14">
        <f>'PIVOT TABLES'!$P$26</f>
        <v>62.64</v>
      </c>
      <c r="R704" s="14">
        <f>'PIVOT TABLES'!$P$27-'PIVOT TABLES'!$P$26</f>
        <v>31.320000000000007</v>
      </c>
      <c r="S704" s="14">
        <f>'PIVOT TABLES'!$P$28-'PIVOT TABLES'!$P$27</f>
        <v>31.319999999999993</v>
      </c>
      <c r="T704" s="14">
        <f>200-SUM(Table3[[#This Row],[W - LIGHT]:[W - VIGOROUS]])</f>
        <v>74.72</v>
      </c>
      <c r="U704" s="14">
        <f>'PIVOT TABLES'!$W$26</f>
        <v>55.895999999999994</v>
      </c>
      <c r="V704" s="14">
        <f>'PIVOT TABLES'!$W$27-'PIVOT TABLES'!$W$26</f>
        <v>27.948</v>
      </c>
      <c r="W704" s="14">
        <f>'PIVOT TABLES'!$W$28-'PIVOT TABLES'!$W$27</f>
        <v>27.947999999999993</v>
      </c>
      <c r="X704" s="14">
        <f>200-SUM(Table3[[#This Row],[S - LIGHT]:[S - VIGOROUS]])</f>
        <v>88.208000000000013</v>
      </c>
    </row>
    <row r="705" spans="1:24" x14ac:dyDescent="0.25">
      <c r="A705" s="17" t="s">
        <v>53</v>
      </c>
      <c r="B705" s="13" t="str">
        <f t="shared" si="10"/>
        <v>Midfielder</v>
      </c>
      <c r="C705" s="7">
        <v>45341.693749999999</v>
      </c>
      <c r="D705" s="14">
        <v>8609</v>
      </c>
      <c r="E705" s="14">
        <v>38</v>
      </c>
      <c r="F705" s="14">
        <v>32</v>
      </c>
      <c r="G705" s="14">
        <v>39</v>
      </c>
      <c r="H705" s="14">
        <v>89.29</v>
      </c>
      <c r="I705" s="14">
        <f>'PIVOT TABLES'!$B$26</f>
        <v>60.283999999999999</v>
      </c>
      <c r="J705" s="14">
        <f>'PIVOT TABLES'!$B$27-'PIVOT TABLES'!$B$26</f>
        <v>30.142000000000003</v>
      </c>
      <c r="K705" s="14">
        <f>'PIVOT TABLES'!$B$28-'PIVOT TABLES'!$B$27</f>
        <v>30.141999999999996</v>
      </c>
      <c r="L705" s="14">
        <f>200-SUM(Table3[[#This Row],[D - LIGHT]:[D - VIGOROUS]])</f>
        <v>79.432000000000002</v>
      </c>
      <c r="M705" s="14">
        <f>'PIVOT TABLES'!$I$26</f>
        <v>65.603999999999999</v>
      </c>
      <c r="N705" s="14">
        <f>'PIVOT TABLES'!$I$27-'PIVOT TABLES'!$I$26</f>
        <v>32.802000000000007</v>
      </c>
      <c r="O705" s="14">
        <f>'PIVOT TABLES'!$I$28-'PIVOT TABLES'!$I$27</f>
        <v>32.801999999999992</v>
      </c>
      <c r="P705" s="14">
        <f>200-SUM(Table3[[#This Row],[M - LIGHT]:[M - VIGOROUS]])</f>
        <v>68.792000000000002</v>
      </c>
      <c r="Q705" s="14">
        <f>'PIVOT TABLES'!$P$26</f>
        <v>62.64</v>
      </c>
      <c r="R705" s="14">
        <f>'PIVOT TABLES'!$P$27-'PIVOT TABLES'!$P$26</f>
        <v>31.320000000000007</v>
      </c>
      <c r="S705" s="14">
        <f>'PIVOT TABLES'!$P$28-'PIVOT TABLES'!$P$27</f>
        <v>31.319999999999993</v>
      </c>
      <c r="T705" s="14">
        <f>200-SUM(Table3[[#This Row],[W - LIGHT]:[W - VIGOROUS]])</f>
        <v>74.72</v>
      </c>
      <c r="U705" s="14">
        <f>'PIVOT TABLES'!$W$26</f>
        <v>55.895999999999994</v>
      </c>
      <c r="V705" s="14">
        <f>'PIVOT TABLES'!$W$27-'PIVOT TABLES'!$W$26</f>
        <v>27.948</v>
      </c>
      <c r="W705" s="14">
        <f>'PIVOT TABLES'!$W$28-'PIVOT TABLES'!$W$27</f>
        <v>27.947999999999993</v>
      </c>
      <c r="X705" s="14">
        <f>200-SUM(Table3[[#This Row],[S - LIGHT]:[S - VIGOROUS]])</f>
        <v>88.208000000000013</v>
      </c>
    </row>
    <row r="706" spans="1:24" x14ac:dyDescent="0.25">
      <c r="A706" s="17" t="s">
        <v>54</v>
      </c>
      <c r="B706" s="13" t="str">
        <f t="shared" si="10"/>
        <v>Striker</v>
      </c>
      <c r="C706" s="7">
        <v>45341.693749999999</v>
      </c>
      <c r="D706" s="14">
        <v>3484</v>
      </c>
      <c r="E706" s="14">
        <v>49</v>
      </c>
      <c r="F706" s="14">
        <v>6</v>
      </c>
      <c r="G706" s="14">
        <v>10</v>
      </c>
      <c r="H706" s="14">
        <v>36.75</v>
      </c>
      <c r="I706" s="14">
        <f>'PIVOT TABLES'!$B$26</f>
        <v>60.283999999999999</v>
      </c>
      <c r="J706" s="14">
        <f>'PIVOT TABLES'!$B$27-'PIVOT TABLES'!$B$26</f>
        <v>30.142000000000003</v>
      </c>
      <c r="K706" s="14">
        <f>'PIVOT TABLES'!$B$28-'PIVOT TABLES'!$B$27</f>
        <v>30.141999999999996</v>
      </c>
      <c r="L706" s="14">
        <f>200-SUM(Table3[[#This Row],[D - LIGHT]:[D - VIGOROUS]])</f>
        <v>79.432000000000002</v>
      </c>
      <c r="M706" s="14">
        <f>'PIVOT TABLES'!$I$26</f>
        <v>65.603999999999999</v>
      </c>
      <c r="N706" s="14">
        <f>'PIVOT TABLES'!$I$27-'PIVOT TABLES'!$I$26</f>
        <v>32.802000000000007</v>
      </c>
      <c r="O706" s="14">
        <f>'PIVOT TABLES'!$I$28-'PIVOT TABLES'!$I$27</f>
        <v>32.801999999999992</v>
      </c>
      <c r="P706" s="14">
        <f>200-SUM(Table3[[#This Row],[M - LIGHT]:[M - VIGOROUS]])</f>
        <v>68.792000000000002</v>
      </c>
      <c r="Q706" s="14">
        <f>'PIVOT TABLES'!$P$26</f>
        <v>62.64</v>
      </c>
      <c r="R706" s="14">
        <f>'PIVOT TABLES'!$P$27-'PIVOT TABLES'!$P$26</f>
        <v>31.320000000000007</v>
      </c>
      <c r="S706" s="14">
        <f>'PIVOT TABLES'!$P$28-'PIVOT TABLES'!$P$27</f>
        <v>31.319999999999993</v>
      </c>
      <c r="T706" s="14">
        <f>200-SUM(Table3[[#This Row],[W - LIGHT]:[W - VIGOROUS]])</f>
        <v>74.72</v>
      </c>
      <c r="U706" s="14">
        <f>'PIVOT TABLES'!$W$26</f>
        <v>55.895999999999994</v>
      </c>
      <c r="V706" s="14">
        <f>'PIVOT TABLES'!$W$27-'PIVOT TABLES'!$W$26</f>
        <v>27.948</v>
      </c>
      <c r="W706" s="14">
        <f>'PIVOT TABLES'!$W$28-'PIVOT TABLES'!$W$27</f>
        <v>27.947999999999993</v>
      </c>
      <c r="X706" s="14">
        <f>200-SUM(Table3[[#This Row],[S - LIGHT]:[S - VIGOROUS]])</f>
        <v>88.208000000000013</v>
      </c>
    </row>
    <row r="707" spans="1:24" x14ac:dyDescent="0.25">
      <c r="A707" s="17" t="s">
        <v>55</v>
      </c>
      <c r="B707" s="13" t="str">
        <f t="shared" ref="B707:B770" si="11">IF(A707="Sihle Gum","Defender",IF(A707="Kenny Langa","Defender",IF(A707="Tshepang Makara","Defender",IF(A707="Tshepiso Mahlangu","Defender",IF(A707="Neo Ramashala","Defender",IF(A707="Keabetswe Nkogatse","Defender",IF(A707="Kaketso Harold Majadibodu","Defender",IF(A707="Samuel Julies","Midfielder",IF(A707="Frank Mpedi","Midfielder",IF(A707="Sapholwethu Kelepu","Midfielder",IF(A707="Manelisi Sithole","Midfielder",IF(A707="Thabiso Mokoena","Midfielder",IF(A707="Khomotso Marebane","Midfielder",IF(A707="Tebogo Mohlamonyane","Midfielder",IF(A707="Thulani Zandamela","Midfielder",IF(A707="Mdevulana Camagu","Midfielder",IF(A707="Promise Mkhuma","Midfielder",IF(A707="Essien Makwarimba","Midfielder",IF(A707="Ayanda Mvambi","Winger",IF(A707="Delano Abrahams","Winger",IF(A707="Thokozani Sekotlong","Winger",IF(A707="Maselaelo Seanego","Winger",IF(A707="Lesedi Motha","Winger",IF(A707="Malekgene Mampuru","Winger",IF(A707="Matome Rangata","Winger",IF(A707="Thabang Sibanyoni","Striker",IF(A707="Tebogo Makungo","Striker",IF(A707="Neo Dikgale","Striker",IF(A707="Kamohelo Pheeane","Striker",IF(A707="Athenkosi Tonisi","Striker",IF(A707="Jesse Francis","Striker","####")))))))))))))))))))))))))))))))</f>
        <v>Striker</v>
      </c>
      <c r="C707" s="7">
        <v>45341.693749999999</v>
      </c>
      <c r="D707" s="14">
        <v>5989</v>
      </c>
      <c r="E707" s="14">
        <v>40</v>
      </c>
      <c r="F707" s="14">
        <v>19</v>
      </c>
      <c r="G707" s="14">
        <v>20</v>
      </c>
      <c r="H707" s="14">
        <v>62.25</v>
      </c>
      <c r="I707" s="14">
        <f>'PIVOT TABLES'!$B$26</f>
        <v>60.283999999999999</v>
      </c>
      <c r="J707" s="14">
        <f>'PIVOT TABLES'!$B$27-'PIVOT TABLES'!$B$26</f>
        <v>30.142000000000003</v>
      </c>
      <c r="K707" s="14">
        <f>'PIVOT TABLES'!$B$28-'PIVOT TABLES'!$B$27</f>
        <v>30.141999999999996</v>
      </c>
      <c r="L707" s="14">
        <f>200-SUM(Table3[[#This Row],[D - LIGHT]:[D - VIGOROUS]])</f>
        <v>79.432000000000002</v>
      </c>
      <c r="M707" s="14">
        <f>'PIVOT TABLES'!$I$26</f>
        <v>65.603999999999999</v>
      </c>
      <c r="N707" s="14">
        <f>'PIVOT TABLES'!$I$27-'PIVOT TABLES'!$I$26</f>
        <v>32.802000000000007</v>
      </c>
      <c r="O707" s="14">
        <f>'PIVOT TABLES'!$I$28-'PIVOT TABLES'!$I$27</f>
        <v>32.801999999999992</v>
      </c>
      <c r="P707" s="14">
        <f>200-SUM(Table3[[#This Row],[M - LIGHT]:[M - VIGOROUS]])</f>
        <v>68.792000000000002</v>
      </c>
      <c r="Q707" s="14">
        <f>'PIVOT TABLES'!$P$26</f>
        <v>62.64</v>
      </c>
      <c r="R707" s="14">
        <f>'PIVOT TABLES'!$P$27-'PIVOT TABLES'!$P$26</f>
        <v>31.320000000000007</v>
      </c>
      <c r="S707" s="14">
        <f>'PIVOT TABLES'!$P$28-'PIVOT TABLES'!$P$27</f>
        <v>31.319999999999993</v>
      </c>
      <c r="T707" s="14">
        <f>200-SUM(Table3[[#This Row],[W - LIGHT]:[W - VIGOROUS]])</f>
        <v>74.72</v>
      </c>
      <c r="U707" s="14">
        <f>'PIVOT TABLES'!$W$26</f>
        <v>55.895999999999994</v>
      </c>
      <c r="V707" s="14">
        <f>'PIVOT TABLES'!$W$27-'PIVOT TABLES'!$W$26</f>
        <v>27.948</v>
      </c>
      <c r="W707" s="14">
        <f>'PIVOT TABLES'!$W$28-'PIVOT TABLES'!$W$27</f>
        <v>27.947999999999993</v>
      </c>
      <c r="X707" s="14">
        <f>200-SUM(Table3[[#This Row],[S - LIGHT]:[S - VIGOROUS]])</f>
        <v>88.208000000000013</v>
      </c>
    </row>
    <row r="708" spans="1:24" x14ac:dyDescent="0.25">
      <c r="A708" s="17" t="s">
        <v>1</v>
      </c>
      <c r="B708" s="13" t="str">
        <f t="shared" si="11"/>
        <v>Defender</v>
      </c>
      <c r="C708" s="7">
        <v>45341.693749999999</v>
      </c>
      <c r="D708" s="14">
        <v>7600</v>
      </c>
      <c r="E708" s="14">
        <v>109</v>
      </c>
      <c r="F708" s="14">
        <v>33</v>
      </c>
      <c r="G708" s="14">
        <v>19</v>
      </c>
      <c r="H708" s="14">
        <v>80.97</v>
      </c>
      <c r="I708" s="14">
        <f>'PIVOT TABLES'!$B$26</f>
        <v>60.283999999999999</v>
      </c>
      <c r="J708" s="14">
        <f>'PIVOT TABLES'!$B$27-'PIVOT TABLES'!$B$26</f>
        <v>30.142000000000003</v>
      </c>
      <c r="K708" s="14">
        <f>'PIVOT TABLES'!$B$28-'PIVOT TABLES'!$B$27</f>
        <v>30.141999999999996</v>
      </c>
      <c r="L708" s="14">
        <f>200-SUM(Table3[[#This Row],[D - LIGHT]:[D - VIGOROUS]])</f>
        <v>79.432000000000002</v>
      </c>
      <c r="M708" s="14">
        <f>'PIVOT TABLES'!$I$26</f>
        <v>65.603999999999999</v>
      </c>
      <c r="N708" s="14">
        <f>'PIVOT TABLES'!$I$27-'PIVOT TABLES'!$I$26</f>
        <v>32.802000000000007</v>
      </c>
      <c r="O708" s="14">
        <f>'PIVOT TABLES'!$I$28-'PIVOT TABLES'!$I$27</f>
        <v>32.801999999999992</v>
      </c>
      <c r="P708" s="14">
        <f>200-SUM(Table3[[#This Row],[M - LIGHT]:[M - VIGOROUS]])</f>
        <v>68.792000000000002</v>
      </c>
      <c r="Q708" s="14">
        <f>'PIVOT TABLES'!$P$26</f>
        <v>62.64</v>
      </c>
      <c r="R708" s="14">
        <f>'PIVOT TABLES'!$P$27-'PIVOT TABLES'!$P$26</f>
        <v>31.320000000000007</v>
      </c>
      <c r="S708" s="14">
        <f>'PIVOT TABLES'!$P$28-'PIVOT TABLES'!$P$27</f>
        <v>31.319999999999993</v>
      </c>
      <c r="T708" s="14">
        <f>200-SUM(Table3[[#This Row],[W - LIGHT]:[W - VIGOROUS]])</f>
        <v>74.72</v>
      </c>
      <c r="U708" s="14">
        <f>'PIVOT TABLES'!$W$26</f>
        <v>55.895999999999994</v>
      </c>
      <c r="V708" s="14">
        <f>'PIVOT TABLES'!$W$27-'PIVOT TABLES'!$W$26</f>
        <v>27.948</v>
      </c>
      <c r="W708" s="14">
        <f>'PIVOT TABLES'!$W$28-'PIVOT TABLES'!$W$27</f>
        <v>27.947999999999993</v>
      </c>
      <c r="X708" s="14">
        <f>200-SUM(Table3[[#This Row],[S - LIGHT]:[S - VIGOROUS]])</f>
        <v>88.208000000000013</v>
      </c>
    </row>
    <row r="709" spans="1:24" x14ac:dyDescent="0.25">
      <c r="A709" s="17" t="s">
        <v>56</v>
      </c>
      <c r="B709" s="13" t="str">
        <f t="shared" si="11"/>
        <v>Midfielder</v>
      </c>
      <c r="C709" s="7">
        <v>45341.693749999999</v>
      </c>
      <c r="D709" s="14">
        <v>5908</v>
      </c>
      <c r="E709" s="14">
        <v>33</v>
      </c>
      <c r="F709" s="14">
        <v>15</v>
      </c>
      <c r="G709" s="14">
        <v>10</v>
      </c>
      <c r="H709" s="14">
        <v>60.87</v>
      </c>
      <c r="I709" s="14">
        <f>'PIVOT TABLES'!$B$26</f>
        <v>60.283999999999999</v>
      </c>
      <c r="J709" s="14">
        <f>'PIVOT TABLES'!$B$27-'PIVOT TABLES'!$B$26</f>
        <v>30.142000000000003</v>
      </c>
      <c r="K709" s="14">
        <f>'PIVOT TABLES'!$B$28-'PIVOT TABLES'!$B$27</f>
        <v>30.141999999999996</v>
      </c>
      <c r="L709" s="14">
        <f>200-SUM(Table3[[#This Row],[D - LIGHT]:[D - VIGOROUS]])</f>
        <v>79.432000000000002</v>
      </c>
      <c r="M709" s="14">
        <f>'PIVOT TABLES'!$I$26</f>
        <v>65.603999999999999</v>
      </c>
      <c r="N709" s="14">
        <f>'PIVOT TABLES'!$I$27-'PIVOT TABLES'!$I$26</f>
        <v>32.802000000000007</v>
      </c>
      <c r="O709" s="14">
        <f>'PIVOT TABLES'!$I$28-'PIVOT TABLES'!$I$27</f>
        <v>32.801999999999992</v>
      </c>
      <c r="P709" s="14">
        <f>200-SUM(Table3[[#This Row],[M - LIGHT]:[M - VIGOROUS]])</f>
        <v>68.792000000000002</v>
      </c>
      <c r="Q709" s="14">
        <f>'PIVOT TABLES'!$P$26</f>
        <v>62.64</v>
      </c>
      <c r="R709" s="14">
        <f>'PIVOT TABLES'!$P$27-'PIVOT TABLES'!$P$26</f>
        <v>31.320000000000007</v>
      </c>
      <c r="S709" s="14">
        <f>'PIVOT TABLES'!$P$28-'PIVOT TABLES'!$P$27</f>
        <v>31.319999999999993</v>
      </c>
      <c r="T709" s="14">
        <f>200-SUM(Table3[[#This Row],[W - LIGHT]:[W - VIGOROUS]])</f>
        <v>74.72</v>
      </c>
      <c r="U709" s="14">
        <f>'PIVOT TABLES'!$W$26</f>
        <v>55.895999999999994</v>
      </c>
      <c r="V709" s="14">
        <f>'PIVOT TABLES'!$W$27-'PIVOT TABLES'!$W$26</f>
        <v>27.948</v>
      </c>
      <c r="W709" s="14">
        <f>'PIVOT TABLES'!$W$28-'PIVOT TABLES'!$W$27</f>
        <v>27.947999999999993</v>
      </c>
      <c r="X709" s="14">
        <f>200-SUM(Table3[[#This Row],[S - LIGHT]:[S - VIGOROUS]])</f>
        <v>88.208000000000013</v>
      </c>
    </row>
    <row r="710" spans="1:24" x14ac:dyDescent="0.25">
      <c r="A710" s="17" t="s">
        <v>2</v>
      </c>
      <c r="B710" s="13" t="str">
        <f t="shared" si="11"/>
        <v>Defender</v>
      </c>
      <c r="C710" s="7">
        <v>45341.693749999999</v>
      </c>
      <c r="D710" s="14">
        <v>7507</v>
      </c>
      <c r="E710" s="14">
        <v>150</v>
      </c>
      <c r="F710" s="14">
        <v>39</v>
      </c>
      <c r="G710" s="14">
        <v>28</v>
      </c>
      <c r="H710" s="14">
        <v>81.69</v>
      </c>
      <c r="I710" s="14">
        <f>'PIVOT TABLES'!$B$26</f>
        <v>60.283999999999999</v>
      </c>
      <c r="J710" s="14">
        <f>'PIVOT TABLES'!$B$27-'PIVOT TABLES'!$B$26</f>
        <v>30.142000000000003</v>
      </c>
      <c r="K710" s="14">
        <f>'PIVOT TABLES'!$B$28-'PIVOT TABLES'!$B$27</f>
        <v>30.141999999999996</v>
      </c>
      <c r="L710" s="14">
        <f>200-SUM(Table3[[#This Row],[D - LIGHT]:[D - VIGOROUS]])</f>
        <v>79.432000000000002</v>
      </c>
      <c r="M710" s="14">
        <f>'PIVOT TABLES'!$I$26</f>
        <v>65.603999999999999</v>
      </c>
      <c r="N710" s="14">
        <f>'PIVOT TABLES'!$I$27-'PIVOT TABLES'!$I$26</f>
        <v>32.802000000000007</v>
      </c>
      <c r="O710" s="14">
        <f>'PIVOT TABLES'!$I$28-'PIVOT TABLES'!$I$27</f>
        <v>32.801999999999992</v>
      </c>
      <c r="P710" s="14">
        <f>200-SUM(Table3[[#This Row],[M - LIGHT]:[M - VIGOROUS]])</f>
        <v>68.792000000000002</v>
      </c>
      <c r="Q710" s="14">
        <f>'PIVOT TABLES'!$P$26</f>
        <v>62.64</v>
      </c>
      <c r="R710" s="14">
        <f>'PIVOT TABLES'!$P$27-'PIVOT TABLES'!$P$26</f>
        <v>31.320000000000007</v>
      </c>
      <c r="S710" s="14">
        <f>'PIVOT TABLES'!$P$28-'PIVOT TABLES'!$P$27</f>
        <v>31.319999999999993</v>
      </c>
      <c r="T710" s="14">
        <f>200-SUM(Table3[[#This Row],[W - LIGHT]:[W - VIGOROUS]])</f>
        <v>74.72</v>
      </c>
      <c r="U710" s="14">
        <f>'PIVOT TABLES'!$W$26</f>
        <v>55.895999999999994</v>
      </c>
      <c r="V710" s="14">
        <f>'PIVOT TABLES'!$W$27-'PIVOT TABLES'!$W$26</f>
        <v>27.948</v>
      </c>
      <c r="W710" s="14">
        <f>'PIVOT TABLES'!$W$28-'PIVOT TABLES'!$W$27</f>
        <v>27.947999999999993</v>
      </c>
      <c r="X710" s="14">
        <f>200-SUM(Table3[[#This Row],[S - LIGHT]:[S - VIGOROUS]])</f>
        <v>88.208000000000013</v>
      </c>
    </row>
    <row r="711" spans="1:24" x14ac:dyDescent="0.25">
      <c r="A711" s="17" t="s">
        <v>58</v>
      </c>
      <c r="B711" s="13" t="str">
        <f t="shared" si="11"/>
        <v>Defender</v>
      </c>
      <c r="C711" s="7">
        <v>45341.693749999999</v>
      </c>
      <c r="D711" s="14">
        <v>8071</v>
      </c>
      <c r="E711" s="14">
        <v>159</v>
      </c>
      <c r="F711" s="14">
        <v>21</v>
      </c>
      <c r="G711" s="14">
        <v>19</v>
      </c>
      <c r="H711" s="14">
        <v>86.7</v>
      </c>
      <c r="I711" s="14">
        <f>'PIVOT TABLES'!$B$26</f>
        <v>60.283999999999999</v>
      </c>
      <c r="J711" s="14">
        <f>'PIVOT TABLES'!$B$27-'PIVOT TABLES'!$B$26</f>
        <v>30.142000000000003</v>
      </c>
      <c r="K711" s="14">
        <f>'PIVOT TABLES'!$B$28-'PIVOT TABLES'!$B$27</f>
        <v>30.141999999999996</v>
      </c>
      <c r="L711" s="14">
        <f>200-SUM(Table3[[#This Row],[D - LIGHT]:[D - VIGOROUS]])</f>
        <v>79.432000000000002</v>
      </c>
      <c r="M711" s="14">
        <f>'PIVOT TABLES'!$I$26</f>
        <v>65.603999999999999</v>
      </c>
      <c r="N711" s="14">
        <f>'PIVOT TABLES'!$I$27-'PIVOT TABLES'!$I$26</f>
        <v>32.802000000000007</v>
      </c>
      <c r="O711" s="14">
        <f>'PIVOT TABLES'!$I$28-'PIVOT TABLES'!$I$27</f>
        <v>32.801999999999992</v>
      </c>
      <c r="P711" s="14">
        <f>200-SUM(Table3[[#This Row],[M - LIGHT]:[M - VIGOROUS]])</f>
        <v>68.792000000000002</v>
      </c>
      <c r="Q711" s="14">
        <f>'PIVOT TABLES'!$P$26</f>
        <v>62.64</v>
      </c>
      <c r="R711" s="14">
        <f>'PIVOT TABLES'!$P$27-'PIVOT TABLES'!$P$26</f>
        <v>31.320000000000007</v>
      </c>
      <c r="S711" s="14">
        <f>'PIVOT TABLES'!$P$28-'PIVOT TABLES'!$P$27</f>
        <v>31.319999999999993</v>
      </c>
      <c r="T711" s="14">
        <f>200-SUM(Table3[[#This Row],[W - LIGHT]:[W - VIGOROUS]])</f>
        <v>74.72</v>
      </c>
      <c r="U711" s="14">
        <f>'PIVOT TABLES'!$W$26</f>
        <v>55.895999999999994</v>
      </c>
      <c r="V711" s="14">
        <f>'PIVOT TABLES'!$W$27-'PIVOT TABLES'!$W$26</f>
        <v>27.948</v>
      </c>
      <c r="W711" s="14">
        <f>'PIVOT TABLES'!$W$28-'PIVOT TABLES'!$W$27</f>
        <v>27.947999999999993</v>
      </c>
      <c r="X711" s="14">
        <f>200-SUM(Table3[[#This Row],[S - LIGHT]:[S - VIGOROUS]])</f>
        <v>88.208000000000013</v>
      </c>
    </row>
    <row r="712" spans="1:24" x14ac:dyDescent="0.25">
      <c r="A712" s="17" t="s">
        <v>94</v>
      </c>
      <c r="B712" s="13" t="str">
        <f t="shared" si="11"/>
        <v>Defender</v>
      </c>
      <c r="C712" s="7">
        <v>45341.693749999999</v>
      </c>
      <c r="D712" s="14">
        <v>7791</v>
      </c>
      <c r="E712" s="14">
        <v>103</v>
      </c>
      <c r="F712" s="14">
        <v>28</v>
      </c>
      <c r="G712" s="14">
        <v>22</v>
      </c>
      <c r="H712" s="14">
        <v>82.56</v>
      </c>
      <c r="I712" s="14">
        <f>'PIVOT TABLES'!$B$26</f>
        <v>60.283999999999999</v>
      </c>
      <c r="J712" s="14">
        <f>'PIVOT TABLES'!$B$27-'PIVOT TABLES'!$B$26</f>
        <v>30.142000000000003</v>
      </c>
      <c r="K712" s="14">
        <f>'PIVOT TABLES'!$B$28-'PIVOT TABLES'!$B$27</f>
        <v>30.141999999999996</v>
      </c>
      <c r="L712" s="14">
        <f>200-SUM(Table3[[#This Row],[D - LIGHT]:[D - VIGOROUS]])</f>
        <v>79.432000000000002</v>
      </c>
      <c r="M712" s="14">
        <f>'PIVOT TABLES'!$I$26</f>
        <v>65.603999999999999</v>
      </c>
      <c r="N712" s="14">
        <f>'PIVOT TABLES'!$I$27-'PIVOT TABLES'!$I$26</f>
        <v>32.802000000000007</v>
      </c>
      <c r="O712" s="14">
        <f>'PIVOT TABLES'!$I$28-'PIVOT TABLES'!$I$27</f>
        <v>32.801999999999992</v>
      </c>
      <c r="P712" s="14">
        <f>200-SUM(Table3[[#This Row],[M - LIGHT]:[M - VIGOROUS]])</f>
        <v>68.792000000000002</v>
      </c>
      <c r="Q712" s="14">
        <f>'PIVOT TABLES'!$P$26</f>
        <v>62.64</v>
      </c>
      <c r="R712" s="14">
        <f>'PIVOT TABLES'!$P$27-'PIVOT TABLES'!$P$26</f>
        <v>31.320000000000007</v>
      </c>
      <c r="S712" s="14">
        <f>'PIVOT TABLES'!$P$28-'PIVOT TABLES'!$P$27</f>
        <v>31.319999999999993</v>
      </c>
      <c r="T712" s="14">
        <f>200-SUM(Table3[[#This Row],[W - LIGHT]:[W - VIGOROUS]])</f>
        <v>74.72</v>
      </c>
      <c r="U712" s="14">
        <f>'PIVOT TABLES'!$W$26</f>
        <v>55.895999999999994</v>
      </c>
      <c r="V712" s="14">
        <f>'PIVOT TABLES'!$W$27-'PIVOT TABLES'!$W$26</f>
        <v>27.948</v>
      </c>
      <c r="W712" s="14">
        <f>'PIVOT TABLES'!$W$28-'PIVOT TABLES'!$W$27</f>
        <v>27.947999999999993</v>
      </c>
      <c r="X712" s="14">
        <f>200-SUM(Table3[[#This Row],[S - LIGHT]:[S - VIGOROUS]])</f>
        <v>88.208000000000013</v>
      </c>
    </row>
    <row r="713" spans="1:24" x14ac:dyDescent="0.25">
      <c r="A713" s="17" t="s">
        <v>3</v>
      </c>
      <c r="B713" s="13" t="str">
        <f t="shared" si="11"/>
        <v>Defender</v>
      </c>
      <c r="C713" s="7">
        <v>45341.693749999999</v>
      </c>
      <c r="D713" s="14">
        <v>1090</v>
      </c>
      <c r="E713" s="14">
        <v>0</v>
      </c>
      <c r="F713" s="14">
        <v>0</v>
      </c>
      <c r="G713" s="14">
        <v>0</v>
      </c>
      <c r="H713" s="14">
        <v>10.9</v>
      </c>
      <c r="I713" s="14">
        <f>'PIVOT TABLES'!$B$26</f>
        <v>60.283999999999999</v>
      </c>
      <c r="J713" s="14">
        <f>'PIVOT TABLES'!$B$27-'PIVOT TABLES'!$B$26</f>
        <v>30.142000000000003</v>
      </c>
      <c r="K713" s="14">
        <f>'PIVOT TABLES'!$B$28-'PIVOT TABLES'!$B$27</f>
        <v>30.141999999999996</v>
      </c>
      <c r="L713" s="14">
        <f>200-SUM(Table3[[#This Row],[D - LIGHT]:[D - VIGOROUS]])</f>
        <v>79.432000000000002</v>
      </c>
      <c r="M713" s="14">
        <f>'PIVOT TABLES'!$I$26</f>
        <v>65.603999999999999</v>
      </c>
      <c r="N713" s="14">
        <f>'PIVOT TABLES'!$I$27-'PIVOT TABLES'!$I$26</f>
        <v>32.802000000000007</v>
      </c>
      <c r="O713" s="14">
        <f>'PIVOT TABLES'!$I$28-'PIVOT TABLES'!$I$27</f>
        <v>32.801999999999992</v>
      </c>
      <c r="P713" s="14">
        <f>200-SUM(Table3[[#This Row],[M - LIGHT]:[M - VIGOROUS]])</f>
        <v>68.792000000000002</v>
      </c>
      <c r="Q713" s="14">
        <f>'PIVOT TABLES'!$P$26</f>
        <v>62.64</v>
      </c>
      <c r="R713" s="14">
        <f>'PIVOT TABLES'!$P$27-'PIVOT TABLES'!$P$26</f>
        <v>31.320000000000007</v>
      </c>
      <c r="S713" s="14">
        <f>'PIVOT TABLES'!$P$28-'PIVOT TABLES'!$P$27</f>
        <v>31.319999999999993</v>
      </c>
      <c r="T713" s="14">
        <f>200-SUM(Table3[[#This Row],[W - LIGHT]:[W - VIGOROUS]])</f>
        <v>74.72</v>
      </c>
      <c r="U713" s="14">
        <f>'PIVOT TABLES'!$W$26</f>
        <v>55.895999999999994</v>
      </c>
      <c r="V713" s="14">
        <f>'PIVOT TABLES'!$W$27-'PIVOT TABLES'!$W$26</f>
        <v>27.948</v>
      </c>
      <c r="W713" s="14">
        <f>'PIVOT TABLES'!$W$28-'PIVOT TABLES'!$W$27</f>
        <v>27.947999999999993</v>
      </c>
      <c r="X713" s="14">
        <f>200-SUM(Table3[[#This Row],[S - LIGHT]:[S - VIGOROUS]])</f>
        <v>88.208000000000013</v>
      </c>
    </row>
    <row r="714" spans="1:24" x14ac:dyDescent="0.25">
      <c r="A714" s="17" t="s">
        <v>59</v>
      </c>
      <c r="B714" s="13" t="str">
        <f t="shared" si="11"/>
        <v>Striker</v>
      </c>
      <c r="C714" s="7">
        <v>45341.693749999999</v>
      </c>
      <c r="D714" s="14">
        <v>5982</v>
      </c>
      <c r="E714" s="14">
        <v>97</v>
      </c>
      <c r="F714" s="14">
        <v>32</v>
      </c>
      <c r="G714" s="14">
        <v>23</v>
      </c>
      <c r="H714" s="14">
        <v>64.47</v>
      </c>
      <c r="I714" s="14">
        <f>'PIVOT TABLES'!$B$26</f>
        <v>60.283999999999999</v>
      </c>
      <c r="J714" s="14">
        <f>'PIVOT TABLES'!$B$27-'PIVOT TABLES'!$B$26</f>
        <v>30.142000000000003</v>
      </c>
      <c r="K714" s="14">
        <f>'PIVOT TABLES'!$B$28-'PIVOT TABLES'!$B$27</f>
        <v>30.141999999999996</v>
      </c>
      <c r="L714" s="14">
        <f>200-SUM(Table3[[#This Row],[D - LIGHT]:[D - VIGOROUS]])</f>
        <v>79.432000000000002</v>
      </c>
      <c r="M714" s="14">
        <f>'PIVOT TABLES'!$I$26</f>
        <v>65.603999999999999</v>
      </c>
      <c r="N714" s="14">
        <f>'PIVOT TABLES'!$I$27-'PIVOT TABLES'!$I$26</f>
        <v>32.802000000000007</v>
      </c>
      <c r="O714" s="14">
        <f>'PIVOT TABLES'!$I$28-'PIVOT TABLES'!$I$27</f>
        <v>32.801999999999992</v>
      </c>
      <c r="P714" s="14">
        <f>200-SUM(Table3[[#This Row],[M - LIGHT]:[M - VIGOROUS]])</f>
        <v>68.792000000000002</v>
      </c>
      <c r="Q714" s="14">
        <f>'PIVOT TABLES'!$P$26</f>
        <v>62.64</v>
      </c>
      <c r="R714" s="14">
        <f>'PIVOT TABLES'!$P$27-'PIVOT TABLES'!$P$26</f>
        <v>31.320000000000007</v>
      </c>
      <c r="S714" s="14">
        <f>'PIVOT TABLES'!$P$28-'PIVOT TABLES'!$P$27</f>
        <v>31.319999999999993</v>
      </c>
      <c r="T714" s="14">
        <f>200-SUM(Table3[[#This Row],[W - LIGHT]:[W - VIGOROUS]])</f>
        <v>74.72</v>
      </c>
      <c r="U714" s="14">
        <f>'PIVOT TABLES'!$W$26</f>
        <v>55.895999999999994</v>
      </c>
      <c r="V714" s="14">
        <f>'PIVOT TABLES'!$W$27-'PIVOT TABLES'!$W$26</f>
        <v>27.948</v>
      </c>
      <c r="W714" s="14">
        <f>'PIVOT TABLES'!$W$28-'PIVOT TABLES'!$W$27</f>
        <v>27.947999999999993</v>
      </c>
      <c r="X714" s="14">
        <f>200-SUM(Table3[[#This Row],[S - LIGHT]:[S - VIGOROUS]])</f>
        <v>88.208000000000013</v>
      </c>
    </row>
    <row r="715" spans="1:24" x14ac:dyDescent="0.25">
      <c r="A715" s="17" t="s">
        <v>4</v>
      </c>
      <c r="B715" s="13" t="str">
        <f t="shared" si="11"/>
        <v>Midfielder</v>
      </c>
      <c r="C715" s="7">
        <v>45341.693749999999</v>
      </c>
      <c r="D715" s="14">
        <v>7041</v>
      </c>
      <c r="E715" s="14">
        <v>103</v>
      </c>
      <c r="F715" s="14">
        <v>26</v>
      </c>
      <c r="G715" s="14">
        <v>27</v>
      </c>
      <c r="H715" s="14">
        <v>75.08</v>
      </c>
      <c r="I715" s="14">
        <f>'PIVOT TABLES'!$B$26</f>
        <v>60.283999999999999</v>
      </c>
      <c r="J715" s="14">
        <f>'PIVOT TABLES'!$B$27-'PIVOT TABLES'!$B$26</f>
        <v>30.142000000000003</v>
      </c>
      <c r="K715" s="14">
        <f>'PIVOT TABLES'!$B$28-'PIVOT TABLES'!$B$27</f>
        <v>30.141999999999996</v>
      </c>
      <c r="L715" s="14">
        <f>200-SUM(Table3[[#This Row],[D - LIGHT]:[D - VIGOROUS]])</f>
        <v>79.432000000000002</v>
      </c>
      <c r="M715" s="14">
        <f>'PIVOT TABLES'!$I$26</f>
        <v>65.603999999999999</v>
      </c>
      <c r="N715" s="14">
        <f>'PIVOT TABLES'!$I$27-'PIVOT TABLES'!$I$26</f>
        <v>32.802000000000007</v>
      </c>
      <c r="O715" s="14">
        <f>'PIVOT TABLES'!$I$28-'PIVOT TABLES'!$I$27</f>
        <v>32.801999999999992</v>
      </c>
      <c r="P715" s="14">
        <f>200-SUM(Table3[[#This Row],[M - LIGHT]:[M - VIGOROUS]])</f>
        <v>68.792000000000002</v>
      </c>
      <c r="Q715" s="14">
        <f>'PIVOT TABLES'!$P$26</f>
        <v>62.64</v>
      </c>
      <c r="R715" s="14">
        <f>'PIVOT TABLES'!$P$27-'PIVOT TABLES'!$P$26</f>
        <v>31.320000000000007</v>
      </c>
      <c r="S715" s="14">
        <f>'PIVOT TABLES'!$P$28-'PIVOT TABLES'!$P$27</f>
        <v>31.319999999999993</v>
      </c>
      <c r="T715" s="14">
        <f>200-SUM(Table3[[#This Row],[W - LIGHT]:[W - VIGOROUS]])</f>
        <v>74.72</v>
      </c>
      <c r="U715" s="14">
        <f>'PIVOT TABLES'!$W$26</f>
        <v>55.895999999999994</v>
      </c>
      <c r="V715" s="14">
        <f>'PIVOT TABLES'!$W$27-'PIVOT TABLES'!$W$26</f>
        <v>27.948</v>
      </c>
      <c r="W715" s="14">
        <f>'PIVOT TABLES'!$W$28-'PIVOT TABLES'!$W$27</f>
        <v>27.947999999999993</v>
      </c>
      <c r="X715" s="14">
        <f>200-SUM(Table3[[#This Row],[S - LIGHT]:[S - VIGOROUS]])</f>
        <v>88.208000000000013</v>
      </c>
    </row>
    <row r="716" spans="1:24" x14ac:dyDescent="0.25">
      <c r="A716" s="17" t="s">
        <v>60</v>
      </c>
      <c r="B716" s="13" t="str">
        <f t="shared" si="11"/>
        <v>Winger</v>
      </c>
      <c r="C716" s="7">
        <v>45341.693749999999</v>
      </c>
      <c r="D716" s="14">
        <v>3200</v>
      </c>
      <c r="E716" s="14">
        <v>46</v>
      </c>
      <c r="F716" s="14">
        <v>7</v>
      </c>
      <c r="G716" s="14">
        <v>3</v>
      </c>
      <c r="H716" s="14">
        <v>33.72</v>
      </c>
      <c r="I716" s="14">
        <f>'PIVOT TABLES'!$B$26</f>
        <v>60.283999999999999</v>
      </c>
      <c r="J716" s="14">
        <f>'PIVOT TABLES'!$B$27-'PIVOT TABLES'!$B$26</f>
        <v>30.142000000000003</v>
      </c>
      <c r="K716" s="14">
        <f>'PIVOT TABLES'!$B$28-'PIVOT TABLES'!$B$27</f>
        <v>30.141999999999996</v>
      </c>
      <c r="L716" s="14">
        <f>200-SUM(Table3[[#This Row],[D - LIGHT]:[D - VIGOROUS]])</f>
        <v>79.432000000000002</v>
      </c>
      <c r="M716" s="14">
        <f>'PIVOT TABLES'!$I$26</f>
        <v>65.603999999999999</v>
      </c>
      <c r="N716" s="14">
        <f>'PIVOT TABLES'!$I$27-'PIVOT TABLES'!$I$26</f>
        <v>32.802000000000007</v>
      </c>
      <c r="O716" s="14">
        <f>'PIVOT TABLES'!$I$28-'PIVOT TABLES'!$I$27</f>
        <v>32.801999999999992</v>
      </c>
      <c r="P716" s="14">
        <f>200-SUM(Table3[[#This Row],[M - LIGHT]:[M - VIGOROUS]])</f>
        <v>68.792000000000002</v>
      </c>
      <c r="Q716" s="14">
        <f>'PIVOT TABLES'!$P$26</f>
        <v>62.64</v>
      </c>
      <c r="R716" s="14">
        <f>'PIVOT TABLES'!$P$27-'PIVOT TABLES'!$P$26</f>
        <v>31.320000000000007</v>
      </c>
      <c r="S716" s="14">
        <f>'PIVOT TABLES'!$P$28-'PIVOT TABLES'!$P$27</f>
        <v>31.319999999999993</v>
      </c>
      <c r="T716" s="14">
        <f>200-SUM(Table3[[#This Row],[W - LIGHT]:[W - VIGOROUS]])</f>
        <v>74.72</v>
      </c>
      <c r="U716" s="14">
        <f>'PIVOT TABLES'!$W$26</f>
        <v>55.895999999999994</v>
      </c>
      <c r="V716" s="14">
        <f>'PIVOT TABLES'!$W$27-'PIVOT TABLES'!$W$26</f>
        <v>27.948</v>
      </c>
      <c r="W716" s="14">
        <f>'PIVOT TABLES'!$W$28-'PIVOT TABLES'!$W$27</f>
        <v>27.947999999999993</v>
      </c>
      <c r="X716" s="14">
        <f>200-SUM(Table3[[#This Row],[S - LIGHT]:[S - VIGOROUS]])</f>
        <v>88.208000000000013</v>
      </c>
    </row>
    <row r="717" spans="1:24" x14ac:dyDescent="0.25">
      <c r="A717" s="17" t="s">
        <v>71</v>
      </c>
      <c r="B717" s="13" t="str">
        <f t="shared" si="11"/>
        <v>Midfielder</v>
      </c>
      <c r="C717" s="7">
        <v>45341.693749999999</v>
      </c>
      <c r="D717" s="14">
        <v>6775</v>
      </c>
      <c r="E717" s="14">
        <v>105</v>
      </c>
      <c r="F717" s="14">
        <v>21</v>
      </c>
      <c r="G717" s="14">
        <v>16</v>
      </c>
      <c r="H717" s="14">
        <v>72.06</v>
      </c>
      <c r="I717" s="14">
        <f>'PIVOT TABLES'!$B$26</f>
        <v>60.283999999999999</v>
      </c>
      <c r="J717" s="14">
        <f>'PIVOT TABLES'!$B$27-'PIVOT TABLES'!$B$26</f>
        <v>30.142000000000003</v>
      </c>
      <c r="K717" s="14">
        <f>'PIVOT TABLES'!$B$28-'PIVOT TABLES'!$B$27</f>
        <v>30.141999999999996</v>
      </c>
      <c r="L717" s="14">
        <f>200-SUM(Table3[[#This Row],[D - LIGHT]:[D - VIGOROUS]])</f>
        <v>79.432000000000002</v>
      </c>
      <c r="M717" s="14">
        <f>'PIVOT TABLES'!$I$26</f>
        <v>65.603999999999999</v>
      </c>
      <c r="N717" s="14">
        <f>'PIVOT TABLES'!$I$27-'PIVOT TABLES'!$I$26</f>
        <v>32.802000000000007</v>
      </c>
      <c r="O717" s="14">
        <f>'PIVOT TABLES'!$I$28-'PIVOT TABLES'!$I$27</f>
        <v>32.801999999999992</v>
      </c>
      <c r="P717" s="14">
        <f>200-SUM(Table3[[#This Row],[M - LIGHT]:[M - VIGOROUS]])</f>
        <v>68.792000000000002</v>
      </c>
      <c r="Q717" s="14">
        <f>'PIVOT TABLES'!$P$26</f>
        <v>62.64</v>
      </c>
      <c r="R717" s="14">
        <f>'PIVOT TABLES'!$P$27-'PIVOT TABLES'!$P$26</f>
        <v>31.320000000000007</v>
      </c>
      <c r="S717" s="14">
        <f>'PIVOT TABLES'!$P$28-'PIVOT TABLES'!$P$27</f>
        <v>31.319999999999993</v>
      </c>
      <c r="T717" s="14">
        <f>200-SUM(Table3[[#This Row],[W - LIGHT]:[W - VIGOROUS]])</f>
        <v>74.72</v>
      </c>
      <c r="U717" s="14">
        <f>'PIVOT TABLES'!$W$26</f>
        <v>55.895999999999994</v>
      </c>
      <c r="V717" s="14">
        <f>'PIVOT TABLES'!$W$27-'PIVOT TABLES'!$W$26</f>
        <v>27.948</v>
      </c>
      <c r="W717" s="14">
        <f>'PIVOT TABLES'!$W$28-'PIVOT TABLES'!$W$27</f>
        <v>27.947999999999993</v>
      </c>
      <c r="X717" s="14">
        <f>200-SUM(Table3[[#This Row],[S - LIGHT]:[S - VIGOROUS]])</f>
        <v>88.208000000000013</v>
      </c>
    </row>
    <row r="718" spans="1:24" x14ac:dyDescent="0.25">
      <c r="A718" s="17" t="s">
        <v>5</v>
      </c>
      <c r="B718" s="13" t="str">
        <f t="shared" si="11"/>
        <v>Midfielder</v>
      </c>
      <c r="C718" s="7">
        <v>45341.693749999999</v>
      </c>
      <c r="D718" s="14">
        <v>6633</v>
      </c>
      <c r="E718" s="14">
        <v>100</v>
      </c>
      <c r="F718" s="14">
        <v>21</v>
      </c>
      <c r="G718" s="14">
        <v>13</v>
      </c>
      <c r="H718" s="14">
        <v>70.430000000000007</v>
      </c>
      <c r="I718" s="14">
        <f>'PIVOT TABLES'!$B$26</f>
        <v>60.283999999999999</v>
      </c>
      <c r="J718" s="14">
        <f>'PIVOT TABLES'!$B$27-'PIVOT TABLES'!$B$26</f>
        <v>30.142000000000003</v>
      </c>
      <c r="K718" s="14">
        <f>'PIVOT TABLES'!$B$28-'PIVOT TABLES'!$B$27</f>
        <v>30.141999999999996</v>
      </c>
      <c r="L718" s="14">
        <f>200-SUM(Table3[[#This Row],[D - LIGHT]:[D - VIGOROUS]])</f>
        <v>79.432000000000002</v>
      </c>
      <c r="M718" s="14">
        <f>'PIVOT TABLES'!$I$26</f>
        <v>65.603999999999999</v>
      </c>
      <c r="N718" s="14">
        <f>'PIVOT TABLES'!$I$27-'PIVOT TABLES'!$I$26</f>
        <v>32.802000000000007</v>
      </c>
      <c r="O718" s="14">
        <f>'PIVOT TABLES'!$I$28-'PIVOT TABLES'!$I$27</f>
        <v>32.801999999999992</v>
      </c>
      <c r="P718" s="14">
        <f>200-SUM(Table3[[#This Row],[M - LIGHT]:[M - VIGOROUS]])</f>
        <v>68.792000000000002</v>
      </c>
      <c r="Q718" s="14">
        <f>'PIVOT TABLES'!$P$26</f>
        <v>62.64</v>
      </c>
      <c r="R718" s="14">
        <f>'PIVOT TABLES'!$P$27-'PIVOT TABLES'!$P$26</f>
        <v>31.320000000000007</v>
      </c>
      <c r="S718" s="14">
        <f>'PIVOT TABLES'!$P$28-'PIVOT TABLES'!$P$27</f>
        <v>31.319999999999993</v>
      </c>
      <c r="T718" s="14">
        <f>200-SUM(Table3[[#This Row],[W - LIGHT]:[W - VIGOROUS]])</f>
        <v>74.72</v>
      </c>
      <c r="U718" s="14">
        <f>'PIVOT TABLES'!$W$26</f>
        <v>55.895999999999994</v>
      </c>
      <c r="V718" s="14">
        <f>'PIVOT TABLES'!$W$27-'PIVOT TABLES'!$W$26</f>
        <v>27.948</v>
      </c>
      <c r="W718" s="14">
        <f>'PIVOT TABLES'!$W$28-'PIVOT TABLES'!$W$27</f>
        <v>27.947999999999993</v>
      </c>
      <c r="X718" s="14">
        <f>200-SUM(Table3[[#This Row],[S - LIGHT]:[S - VIGOROUS]])</f>
        <v>88.208000000000013</v>
      </c>
    </row>
    <row r="719" spans="1:24" x14ac:dyDescent="0.25">
      <c r="A719" s="17" t="s">
        <v>6</v>
      </c>
      <c r="B719" s="13" t="str">
        <f t="shared" si="11"/>
        <v>Midfielder</v>
      </c>
      <c r="C719" s="7">
        <v>45341.693749999999</v>
      </c>
      <c r="D719" s="14">
        <v>9686</v>
      </c>
      <c r="E719" s="14">
        <v>191</v>
      </c>
      <c r="F719" s="14">
        <v>49</v>
      </c>
      <c r="G719" s="14">
        <v>37</v>
      </c>
      <c r="H719" s="14">
        <v>105.29</v>
      </c>
      <c r="I719" s="14">
        <f>'PIVOT TABLES'!$B$26</f>
        <v>60.283999999999999</v>
      </c>
      <c r="J719" s="14">
        <f>'PIVOT TABLES'!$B$27-'PIVOT TABLES'!$B$26</f>
        <v>30.142000000000003</v>
      </c>
      <c r="K719" s="14">
        <f>'PIVOT TABLES'!$B$28-'PIVOT TABLES'!$B$27</f>
        <v>30.141999999999996</v>
      </c>
      <c r="L719" s="14">
        <f>200-SUM(Table3[[#This Row],[D - LIGHT]:[D - VIGOROUS]])</f>
        <v>79.432000000000002</v>
      </c>
      <c r="M719" s="14">
        <f>'PIVOT TABLES'!$I$26</f>
        <v>65.603999999999999</v>
      </c>
      <c r="N719" s="14">
        <f>'PIVOT TABLES'!$I$27-'PIVOT TABLES'!$I$26</f>
        <v>32.802000000000007</v>
      </c>
      <c r="O719" s="14">
        <f>'PIVOT TABLES'!$I$28-'PIVOT TABLES'!$I$27</f>
        <v>32.801999999999992</v>
      </c>
      <c r="P719" s="14">
        <f>200-SUM(Table3[[#This Row],[M - LIGHT]:[M - VIGOROUS]])</f>
        <v>68.792000000000002</v>
      </c>
      <c r="Q719" s="14">
        <f>'PIVOT TABLES'!$P$26</f>
        <v>62.64</v>
      </c>
      <c r="R719" s="14">
        <f>'PIVOT TABLES'!$P$27-'PIVOT TABLES'!$P$26</f>
        <v>31.320000000000007</v>
      </c>
      <c r="S719" s="14">
        <f>'PIVOT TABLES'!$P$28-'PIVOT TABLES'!$P$27</f>
        <v>31.319999999999993</v>
      </c>
      <c r="T719" s="14">
        <f>200-SUM(Table3[[#This Row],[W - LIGHT]:[W - VIGOROUS]])</f>
        <v>74.72</v>
      </c>
      <c r="U719" s="14">
        <f>'PIVOT TABLES'!$W$26</f>
        <v>55.895999999999994</v>
      </c>
      <c r="V719" s="14">
        <f>'PIVOT TABLES'!$W$27-'PIVOT TABLES'!$W$26</f>
        <v>27.948</v>
      </c>
      <c r="W719" s="14">
        <f>'PIVOT TABLES'!$W$28-'PIVOT TABLES'!$W$27</f>
        <v>27.947999999999993</v>
      </c>
      <c r="X719" s="14">
        <f>200-SUM(Table3[[#This Row],[S - LIGHT]:[S - VIGOROUS]])</f>
        <v>88.208000000000013</v>
      </c>
    </row>
    <row r="720" spans="1:24" x14ac:dyDescent="0.25">
      <c r="A720" s="17" t="s">
        <v>62</v>
      </c>
      <c r="B720" s="13" t="str">
        <f t="shared" si="11"/>
        <v>Midfielder</v>
      </c>
      <c r="C720" s="7">
        <v>45341.693749999999</v>
      </c>
      <c r="D720" s="14">
        <v>8208</v>
      </c>
      <c r="E720" s="14">
        <v>101</v>
      </c>
      <c r="F720" s="14">
        <v>32</v>
      </c>
      <c r="G720" s="14">
        <v>26</v>
      </c>
      <c r="H720" s="14">
        <v>86.91</v>
      </c>
      <c r="I720" s="14">
        <f>'PIVOT TABLES'!$B$26</f>
        <v>60.283999999999999</v>
      </c>
      <c r="J720" s="14">
        <f>'PIVOT TABLES'!$B$27-'PIVOT TABLES'!$B$26</f>
        <v>30.142000000000003</v>
      </c>
      <c r="K720" s="14">
        <f>'PIVOT TABLES'!$B$28-'PIVOT TABLES'!$B$27</f>
        <v>30.141999999999996</v>
      </c>
      <c r="L720" s="14">
        <f>200-SUM(Table3[[#This Row],[D - LIGHT]:[D - VIGOROUS]])</f>
        <v>79.432000000000002</v>
      </c>
      <c r="M720" s="14">
        <f>'PIVOT TABLES'!$I$26</f>
        <v>65.603999999999999</v>
      </c>
      <c r="N720" s="14">
        <f>'PIVOT TABLES'!$I$27-'PIVOT TABLES'!$I$26</f>
        <v>32.802000000000007</v>
      </c>
      <c r="O720" s="14">
        <f>'PIVOT TABLES'!$I$28-'PIVOT TABLES'!$I$27</f>
        <v>32.801999999999992</v>
      </c>
      <c r="P720" s="14">
        <f>200-SUM(Table3[[#This Row],[M - LIGHT]:[M - VIGOROUS]])</f>
        <v>68.792000000000002</v>
      </c>
      <c r="Q720" s="14">
        <f>'PIVOT TABLES'!$P$26</f>
        <v>62.64</v>
      </c>
      <c r="R720" s="14">
        <f>'PIVOT TABLES'!$P$27-'PIVOT TABLES'!$P$26</f>
        <v>31.320000000000007</v>
      </c>
      <c r="S720" s="14">
        <f>'PIVOT TABLES'!$P$28-'PIVOT TABLES'!$P$27</f>
        <v>31.319999999999993</v>
      </c>
      <c r="T720" s="14">
        <f>200-SUM(Table3[[#This Row],[W - LIGHT]:[W - VIGOROUS]])</f>
        <v>74.72</v>
      </c>
      <c r="U720" s="14">
        <f>'PIVOT TABLES'!$W$26</f>
        <v>55.895999999999994</v>
      </c>
      <c r="V720" s="14">
        <f>'PIVOT TABLES'!$W$27-'PIVOT TABLES'!$W$26</f>
        <v>27.948</v>
      </c>
      <c r="W720" s="14">
        <f>'PIVOT TABLES'!$W$28-'PIVOT TABLES'!$W$27</f>
        <v>27.947999999999993</v>
      </c>
      <c r="X720" s="14">
        <f>200-SUM(Table3[[#This Row],[S - LIGHT]:[S - VIGOROUS]])</f>
        <v>88.208000000000013</v>
      </c>
    </row>
    <row r="721" spans="1:24" x14ac:dyDescent="0.25">
      <c r="A721" s="17" t="s">
        <v>64</v>
      </c>
      <c r="B721" s="13" t="str">
        <f t="shared" si="11"/>
        <v>Midfielder</v>
      </c>
      <c r="C721" s="7">
        <v>45341.693749999999</v>
      </c>
      <c r="D721" s="14">
        <v>9419</v>
      </c>
      <c r="E721" s="14">
        <v>26</v>
      </c>
      <c r="F721" s="14">
        <v>40</v>
      </c>
      <c r="G721" s="14">
        <v>26</v>
      </c>
      <c r="H721" s="14">
        <v>97.09</v>
      </c>
      <c r="I721" s="14">
        <f>'PIVOT TABLES'!$B$26</f>
        <v>60.283999999999999</v>
      </c>
      <c r="J721" s="14">
        <f>'PIVOT TABLES'!$B$27-'PIVOT TABLES'!$B$26</f>
        <v>30.142000000000003</v>
      </c>
      <c r="K721" s="14">
        <f>'PIVOT TABLES'!$B$28-'PIVOT TABLES'!$B$27</f>
        <v>30.141999999999996</v>
      </c>
      <c r="L721" s="14">
        <f>200-SUM(Table3[[#This Row],[D - LIGHT]:[D - VIGOROUS]])</f>
        <v>79.432000000000002</v>
      </c>
      <c r="M721" s="14">
        <f>'PIVOT TABLES'!$I$26</f>
        <v>65.603999999999999</v>
      </c>
      <c r="N721" s="14">
        <f>'PIVOT TABLES'!$I$27-'PIVOT TABLES'!$I$26</f>
        <v>32.802000000000007</v>
      </c>
      <c r="O721" s="14">
        <f>'PIVOT TABLES'!$I$28-'PIVOT TABLES'!$I$27</f>
        <v>32.801999999999992</v>
      </c>
      <c r="P721" s="14">
        <f>200-SUM(Table3[[#This Row],[M - LIGHT]:[M - VIGOROUS]])</f>
        <v>68.792000000000002</v>
      </c>
      <c r="Q721" s="14">
        <f>'PIVOT TABLES'!$P$26</f>
        <v>62.64</v>
      </c>
      <c r="R721" s="14">
        <f>'PIVOT TABLES'!$P$27-'PIVOT TABLES'!$P$26</f>
        <v>31.320000000000007</v>
      </c>
      <c r="S721" s="14">
        <f>'PIVOT TABLES'!$P$28-'PIVOT TABLES'!$P$27</f>
        <v>31.319999999999993</v>
      </c>
      <c r="T721" s="14">
        <f>200-SUM(Table3[[#This Row],[W - LIGHT]:[W - VIGOROUS]])</f>
        <v>74.72</v>
      </c>
      <c r="U721" s="14">
        <f>'PIVOT TABLES'!$W$26</f>
        <v>55.895999999999994</v>
      </c>
      <c r="V721" s="14">
        <f>'PIVOT TABLES'!$W$27-'PIVOT TABLES'!$W$26</f>
        <v>27.948</v>
      </c>
      <c r="W721" s="14">
        <f>'PIVOT TABLES'!$W$28-'PIVOT TABLES'!$W$27</f>
        <v>27.947999999999993</v>
      </c>
      <c r="X721" s="14">
        <f>200-SUM(Table3[[#This Row],[S - LIGHT]:[S - VIGOROUS]])</f>
        <v>88.208000000000013</v>
      </c>
    </row>
    <row r="722" spans="1:24" x14ac:dyDescent="0.25">
      <c r="A722" s="17" t="s">
        <v>65</v>
      </c>
      <c r="B722" s="13" t="str">
        <f t="shared" si="11"/>
        <v>Winger</v>
      </c>
      <c r="C722" s="7">
        <v>45341.693749999999</v>
      </c>
      <c r="D722" s="14">
        <v>8049</v>
      </c>
      <c r="E722" s="14">
        <v>274</v>
      </c>
      <c r="F722" s="14">
        <v>38</v>
      </c>
      <c r="G722" s="14">
        <v>26</v>
      </c>
      <c r="H722" s="14">
        <v>90.75</v>
      </c>
      <c r="I722" s="14">
        <f>'PIVOT TABLES'!$B$26</f>
        <v>60.283999999999999</v>
      </c>
      <c r="J722" s="14">
        <f>'PIVOT TABLES'!$B$27-'PIVOT TABLES'!$B$26</f>
        <v>30.142000000000003</v>
      </c>
      <c r="K722" s="14">
        <f>'PIVOT TABLES'!$B$28-'PIVOT TABLES'!$B$27</f>
        <v>30.141999999999996</v>
      </c>
      <c r="L722" s="14">
        <f>200-SUM(Table3[[#This Row],[D - LIGHT]:[D - VIGOROUS]])</f>
        <v>79.432000000000002</v>
      </c>
      <c r="M722" s="14">
        <f>'PIVOT TABLES'!$I$26</f>
        <v>65.603999999999999</v>
      </c>
      <c r="N722" s="14">
        <f>'PIVOT TABLES'!$I$27-'PIVOT TABLES'!$I$26</f>
        <v>32.802000000000007</v>
      </c>
      <c r="O722" s="14">
        <f>'PIVOT TABLES'!$I$28-'PIVOT TABLES'!$I$27</f>
        <v>32.801999999999992</v>
      </c>
      <c r="P722" s="14">
        <f>200-SUM(Table3[[#This Row],[M - LIGHT]:[M - VIGOROUS]])</f>
        <v>68.792000000000002</v>
      </c>
      <c r="Q722" s="14">
        <f>'PIVOT TABLES'!$P$26</f>
        <v>62.64</v>
      </c>
      <c r="R722" s="14">
        <f>'PIVOT TABLES'!$P$27-'PIVOT TABLES'!$P$26</f>
        <v>31.320000000000007</v>
      </c>
      <c r="S722" s="14">
        <f>'PIVOT TABLES'!$P$28-'PIVOT TABLES'!$P$27</f>
        <v>31.319999999999993</v>
      </c>
      <c r="T722" s="14">
        <f>200-SUM(Table3[[#This Row],[W - LIGHT]:[W - VIGOROUS]])</f>
        <v>74.72</v>
      </c>
      <c r="U722" s="14">
        <f>'PIVOT TABLES'!$W$26</f>
        <v>55.895999999999994</v>
      </c>
      <c r="V722" s="14">
        <f>'PIVOT TABLES'!$W$27-'PIVOT TABLES'!$W$26</f>
        <v>27.948</v>
      </c>
      <c r="W722" s="14">
        <f>'PIVOT TABLES'!$W$28-'PIVOT TABLES'!$W$27</f>
        <v>27.947999999999993</v>
      </c>
      <c r="X722" s="14">
        <f>200-SUM(Table3[[#This Row],[S - LIGHT]:[S - VIGOROUS]])</f>
        <v>88.208000000000013</v>
      </c>
    </row>
    <row r="723" spans="1:24" x14ac:dyDescent="0.25">
      <c r="A723" s="17" t="s">
        <v>77</v>
      </c>
      <c r="B723" s="13" t="str">
        <f t="shared" si="11"/>
        <v>Defender</v>
      </c>
      <c r="C723" s="7">
        <v>45341.693749999999</v>
      </c>
      <c r="D723" s="14">
        <v>7218</v>
      </c>
      <c r="E723" s="14">
        <v>131</v>
      </c>
      <c r="F723" s="14">
        <v>35</v>
      </c>
      <c r="G723" s="14">
        <v>23</v>
      </c>
      <c r="H723" s="14">
        <v>77.97</v>
      </c>
      <c r="I723" s="14">
        <f>'PIVOT TABLES'!$B$26</f>
        <v>60.283999999999999</v>
      </c>
      <c r="J723" s="14">
        <f>'PIVOT TABLES'!$B$27-'PIVOT TABLES'!$B$26</f>
        <v>30.142000000000003</v>
      </c>
      <c r="K723" s="14">
        <f>'PIVOT TABLES'!$B$28-'PIVOT TABLES'!$B$27</f>
        <v>30.141999999999996</v>
      </c>
      <c r="L723" s="14">
        <f>200-SUM(Table3[[#This Row],[D - LIGHT]:[D - VIGOROUS]])</f>
        <v>79.432000000000002</v>
      </c>
      <c r="M723" s="14">
        <f>'PIVOT TABLES'!$I$26</f>
        <v>65.603999999999999</v>
      </c>
      <c r="N723" s="14">
        <f>'PIVOT TABLES'!$I$27-'PIVOT TABLES'!$I$26</f>
        <v>32.802000000000007</v>
      </c>
      <c r="O723" s="14">
        <f>'PIVOT TABLES'!$I$28-'PIVOT TABLES'!$I$27</f>
        <v>32.801999999999992</v>
      </c>
      <c r="P723" s="14">
        <f>200-SUM(Table3[[#This Row],[M - LIGHT]:[M - VIGOROUS]])</f>
        <v>68.792000000000002</v>
      </c>
      <c r="Q723" s="14">
        <f>'PIVOT TABLES'!$P$26</f>
        <v>62.64</v>
      </c>
      <c r="R723" s="14">
        <f>'PIVOT TABLES'!$P$27-'PIVOT TABLES'!$P$26</f>
        <v>31.320000000000007</v>
      </c>
      <c r="S723" s="14">
        <f>'PIVOT TABLES'!$P$28-'PIVOT TABLES'!$P$27</f>
        <v>31.319999999999993</v>
      </c>
      <c r="T723" s="14">
        <f>200-SUM(Table3[[#This Row],[W - LIGHT]:[W - VIGOROUS]])</f>
        <v>74.72</v>
      </c>
      <c r="U723" s="14">
        <f>'PIVOT TABLES'!$W$26</f>
        <v>55.895999999999994</v>
      </c>
      <c r="V723" s="14">
        <f>'PIVOT TABLES'!$W$27-'PIVOT TABLES'!$W$26</f>
        <v>27.948</v>
      </c>
      <c r="W723" s="14">
        <f>'PIVOT TABLES'!$W$28-'PIVOT TABLES'!$W$27</f>
        <v>27.947999999999993</v>
      </c>
      <c r="X723" s="14">
        <f>200-SUM(Table3[[#This Row],[S - LIGHT]:[S - VIGOROUS]])</f>
        <v>88.208000000000013</v>
      </c>
    </row>
    <row r="724" spans="1:24" x14ac:dyDescent="0.25">
      <c r="A724" s="17" t="s">
        <v>66</v>
      </c>
      <c r="B724" s="13" t="str">
        <f t="shared" si="11"/>
        <v>Striker</v>
      </c>
      <c r="C724" s="7">
        <v>45341.693749999999</v>
      </c>
      <c r="D724" s="14">
        <v>3583</v>
      </c>
      <c r="E724" s="14">
        <v>0</v>
      </c>
      <c r="F724" s="14">
        <v>4</v>
      </c>
      <c r="G724" s="14">
        <v>3</v>
      </c>
      <c r="H724" s="14">
        <v>36.049999999999997</v>
      </c>
      <c r="I724" s="14">
        <f>'PIVOT TABLES'!$B$26</f>
        <v>60.283999999999999</v>
      </c>
      <c r="J724" s="14">
        <f>'PIVOT TABLES'!$B$27-'PIVOT TABLES'!$B$26</f>
        <v>30.142000000000003</v>
      </c>
      <c r="K724" s="14">
        <f>'PIVOT TABLES'!$B$28-'PIVOT TABLES'!$B$27</f>
        <v>30.141999999999996</v>
      </c>
      <c r="L724" s="14">
        <f>200-SUM(Table3[[#This Row],[D - LIGHT]:[D - VIGOROUS]])</f>
        <v>79.432000000000002</v>
      </c>
      <c r="M724" s="14">
        <f>'PIVOT TABLES'!$I$26</f>
        <v>65.603999999999999</v>
      </c>
      <c r="N724" s="14">
        <f>'PIVOT TABLES'!$I$27-'PIVOT TABLES'!$I$26</f>
        <v>32.802000000000007</v>
      </c>
      <c r="O724" s="14">
        <f>'PIVOT TABLES'!$I$28-'PIVOT TABLES'!$I$27</f>
        <v>32.801999999999992</v>
      </c>
      <c r="P724" s="14">
        <f>200-SUM(Table3[[#This Row],[M - LIGHT]:[M - VIGOROUS]])</f>
        <v>68.792000000000002</v>
      </c>
      <c r="Q724" s="14">
        <f>'PIVOT TABLES'!$P$26</f>
        <v>62.64</v>
      </c>
      <c r="R724" s="14">
        <f>'PIVOT TABLES'!$P$27-'PIVOT TABLES'!$P$26</f>
        <v>31.320000000000007</v>
      </c>
      <c r="S724" s="14">
        <f>'PIVOT TABLES'!$P$28-'PIVOT TABLES'!$P$27</f>
        <v>31.319999999999993</v>
      </c>
      <c r="T724" s="14">
        <f>200-SUM(Table3[[#This Row],[W - LIGHT]:[W - VIGOROUS]])</f>
        <v>74.72</v>
      </c>
      <c r="U724" s="14">
        <f>'PIVOT TABLES'!$W$26</f>
        <v>55.895999999999994</v>
      </c>
      <c r="V724" s="14">
        <f>'PIVOT TABLES'!$W$27-'PIVOT TABLES'!$W$26</f>
        <v>27.948</v>
      </c>
      <c r="W724" s="14">
        <f>'PIVOT TABLES'!$W$28-'PIVOT TABLES'!$W$27</f>
        <v>27.947999999999993</v>
      </c>
      <c r="X724" s="14">
        <f>200-SUM(Table3[[#This Row],[S - LIGHT]:[S - VIGOROUS]])</f>
        <v>88.208000000000013</v>
      </c>
    </row>
    <row r="725" spans="1:24" x14ac:dyDescent="0.25">
      <c r="A725" s="17" t="s">
        <v>78</v>
      </c>
      <c r="B725" s="13" t="str">
        <f t="shared" si="11"/>
        <v>Defender</v>
      </c>
      <c r="C725" s="7">
        <v>45341.693749999999</v>
      </c>
      <c r="D725" s="14">
        <v>8314</v>
      </c>
      <c r="E725" s="14">
        <v>109</v>
      </c>
      <c r="F725" s="14">
        <v>32</v>
      </c>
      <c r="G725" s="14">
        <v>25</v>
      </c>
      <c r="H725" s="14">
        <v>88.19</v>
      </c>
      <c r="I725" s="14">
        <f>'PIVOT TABLES'!$B$26</f>
        <v>60.283999999999999</v>
      </c>
      <c r="J725" s="14">
        <f>'PIVOT TABLES'!$B$27-'PIVOT TABLES'!$B$26</f>
        <v>30.142000000000003</v>
      </c>
      <c r="K725" s="14">
        <f>'PIVOT TABLES'!$B$28-'PIVOT TABLES'!$B$27</f>
        <v>30.141999999999996</v>
      </c>
      <c r="L725" s="14">
        <f>200-SUM(Table3[[#This Row],[D - LIGHT]:[D - VIGOROUS]])</f>
        <v>79.432000000000002</v>
      </c>
      <c r="M725" s="14">
        <f>'PIVOT TABLES'!$I$26</f>
        <v>65.603999999999999</v>
      </c>
      <c r="N725" s="14">
        <f>'PIVOT TABLES'!$I$27-'PIVOT TABLES'!$I$26</f>
        <v>32.802000000000007</v>
      </c>
      <c r="O725" s="14">
        <f>'PIVOT TABLES'!$I$28-'PIVOT TABLES'!$I$27</f>
        <v>32.801999999999992</v>
      </c>
      <c r="P725" s="14">
        <f>200-SUM(Table3[[#This Row],[M - LIGHT]:[M - VIGOROUS]])</f>
        <v>68.792000000000002</v>
      </c>
      <c r="Q725" s="14">
        <f>'PIVOT TABLES'!$P$26</f>
        <v>62.64</v>
      </c>
      <c r="R725" s="14">
        <f>'PIVOT TABLES'!$P$27-'PIVOT TABLES'!$P$26</f>
        <v>31.320000000000007</v>
      </c>
      <c r="S725" s="14">
        <f>'PIVOT TABLES'!$P$28-'PIVOT TABLES'!$P$27</f>
        <v>31.319999999999993</v>
      </c>
      <c r="T725" s="14">
        <f>200-SUM(Table3[[#This Row],[W - LIGHT]:[W - VIGOROUS]])</f>
        <v>74.72</v>
      </c>
      <c r="U725" s="14">
        <f>'PIVOT TABLES'!$W$26</f>
        <v>55.895999999999994</v>
      </c>
      <c r="V725" s="14">
        <f>'PIVOT TABLES'!$W$27-'PIVOT TABLES'!$W$26</f>
        <v>27.948</v>
      </c>
      <c r="W725" s="14">
        <f>'PIVOT TABLES'!$W$28-'PIVOT TABLES'!$W$27</f>
        <v>27.947999999999993</v>
      </c>
      <c r="X725" s="14">
        <f>200-SUM(Table3[[#This Row],[S - LIGHT]:[S - VIGOROUS]])</f>
        <v>88.208000000000013</v>
      </c>
    </row>
    <row r="726" spans="1:24" x14ac:dyDescent="0.25">
      <c r="A726" s="17" t="s">
        <v>95</v>
      </c>
      <c r="B726" s="13" t="str">
        <f t="shared" si="11"/>
        <v>Winger</v>
      </c>
      <c r="C726" s="7">
        <v>45341.693749999999</v>
      </c>
      <c r="D726" s="14">
        <v>5731</v>
      </c>
      <c r="E726" s="14">
        <v>125</v>
      </c>
      <c r="F726" s="14">
        <v>21</v>
      </c>
      <c r="G726" s="14">
        <v>14</v>
      </c>
      <c r="H726" s="14">
        <v>62.18</v>
      </c>
      <c r="I726" s="14">
        <f>'PIVOT TABLES'!$B$26</f>
        <v>60.283999999999999</v>
      </c>
      <c r="J726" s="14">
        <f>'PIVOT TABLES'!$B$27-'PIVOT TABLES'!$B$26</f>
        <v>30.142000000000003</v>
      </c>
      <c r="K726" s="14">
        <f>'PIVOT TABLES'!$B$28-'PIVOT TABLES'!$B$27</f>
        <v>30.141999999999996</v>
      </c>
      <c r="L726" s="14">
        <f>200-SUM(Table3[[#This Row],[D - LIGHT]:[D - VIGOROUS]])</f>
        <v>79.432000000000002</v>
      </c>
      <c r="M726" s="14">
        <f>'PIVOT TABLES'!$I$26</f>
        <v>65.603999999999999</v>
      </c>
      <c r="N726" s="14">
        <f>'PIVOT TABLES'!$I$27-'PIVOT TABLES'!$I$26</f>
        <v>32.802000000000007</v>
      </c>
      <c r="O726" s="14">
        <f>'PIVOT TABLES'!$I$28-'PIVOT TABLES'!$I$27</f>
        <v>32.801999999999992</v>
      </c>
      <c r="P726" s="14">
        <f>200-SUM(Table3[[#This Row],[M - LIGHT]:[M - VIGOROUS]])</f>
        <v>68.792000000000002</v>
      </c>
      <c r="Q726" s="14">
        <f>'PIVOT TABLES'!$P$26</f>
        <v>62.64</v>
      </c>
      <c r="R726" s="14">
        <f>'PIVOT TABLES'!$P$27-'PIVOT TABLES'!$P$26</f>
        <v>31.320000000000007</v>
      </c>
      <c r="S726" s="14">
        <f>'PIVOT TABLES'!$P$28-'PIVOT TABLES'!$P$27</f>
        <v>31.319999999999993</v>
      </c>
      <c r="T726" s="14">
        <f>200-SUM(Table3[[#This Row],[W - LIGHT]:[W - VIGOROUS]])</f>
        <v>74.72</v>
      </c>
      <c r="U726" s="14">
        <f>'PIVOT TABLES'!$W$26</f>
        <v>55.895999999999994</v>
      </c>
      <c r="V726" s="14">
        <f>'PIVOT TABLES'!$W$27-'PIVOT TABLES'!$W$26</f>
        <v>27.948</v>
      </c>
      <c r="W726" s="14">
        <f>'PIVOT TABLES'!$W$28-'PIVOT TABLES'!$W$27</f>
        <v>27.947999999999993</v>
      </c>
      <c r="X726" s="14">
        <f>200-SUM(Table3[[#This Row],[S - LIGHT]:[S - VIGOROUS]])</f>
        <v>88.208000000000013</v>
      </c>
    </row>
    <row r="727" spans="1:24" x14ac:dyDescent="0.25">
      <c r="A727" s="17" t="s">
        <v>96</v>
      </c>
      <c r="B727" s="13" t="str">
        <f t="shared" si="11"/>
        <v>Winger</v>
      </c>
      <c r="C727" s="7">
        <v>45341.693749999999</v>
      </c>
      <c r="D727" s="14">
        <v>8197</v>
      </c>
      <c r="E727" s="14">
        <v>121</v>
      </c>
      <c r="F727" s="14">
        <v>35</v>
      </c>
      <c r="G727" s="14">
        <v>25</v>
      </c>
      <c r="H727" s="14">
        <v>87.5</v>
      </c>
      <c r="I727" s="14">
        <f>'PIVOT TABLES'!$B$26</f>
        <v>60.283999999999999</v>
      </c>
      <c r="J727" s="14">
        <f>'PIVOT TABLES'!$B$27-'PIVOT TABLES'!$B$26</f>
        <v>30.142000000000003</v>
      </c>
      <c r="K727" s="14">
        <f>'PIVOT TABLES'!$B$28-'PIVOT TABLES'!$B$27</f>
        <v>30.141999999999996</v>
      </c>
      <c r="L727" s="14">
        <f>200-SUM(Table3[[#This Row],[D - LIGHT]:[D - VIGOROUS]])</f>
        <v>79.432000000000002</v>
      </c>
      <c r="M727" s="14">
        <f>'PIVOT TABLES'!$I$26</f>
        <v>65.603999999999999</v>
      </c>
      <c r="N727" s="14">
        <f>'PIVOT TABLES'!$I$27-'PIVOT TABLES'!$I$26</f>
        <v>32.802000000000007</v>
      </c>
      <c r="O727" s="14">
        <f>'PIVOT TABLES'!$I$28-'PIVOT TABLES'!$I$27</f>
        <v>32.801999999999992</v>
      </c>
      <c r="P727" s="14">
        <f>200-SUM(Table3[[#This Row],[M - LIGHT]:[M - VIGOROUS]])</f>
        <v>68.792000000000002</v>
      </c>
      <c r="Q727" s="14">
        <f>'PIVOT TABLES'!$P$26</f>
        <v>62.64</v>
      </c>
      <c r="R727" s="14">
        <f>'PIVOT TABLES'!$P$27-'PIVOT TABLES'!$P$26</f>
        <v>31.320000000000007</v>
      </c>
      <c r="S727" s="14">
        <f>'PIVOT TABLES'!$P$28-'PIVOT TABLES'!$P$27</f>
        <v>31.319999999999993</v>
      </c>
      <c r="T727" s="14">
        <f>200-SUM(Table3[[#This Row],[W - LIGHT]:[W - VIGOROUS]])</f>
        <v>74.72</v>
      </c>
      <c r="U727" s="14">
        <f>'PIVOT TABLES'!$W$26</f>
        <v>55.895999999999994</v>
      </c>
      <c r="V727" s="14">
        <f>'PIVOT TABLES'!$W$27-'PIVOT TABLES'!$W$26</f>
        <v>27.948</v>
      </c>
      <c r="W727" s="14">
        <f>'PIVOT TABLES'!$W$28-'PIVOT TABLES'!$W$27</f>
        <v>27.947999999999993</v>
      </c>
      <c r="X727" s="14">
        <f>200-SUM(Table3[[#This Row],[S - LIGHT]:[S - VIGOROUS]])</f>
        <v>88.208000000000013</v>
      </c>
    </row>
    <row r="728" spans="1:24" x14ac:dyDescent="0.25">
      <c r="A728" s="17" t="s">
        <v>8</v>
      </c>
      <c r="B728" s="13" t="str">
        <f t="shared" si="11"/>
        <v>Striker</v>
      </c>
      <c r="C728" s="7">
        <v>45341.693749999999</v>
      </c>
      <c r="D728" s="14">
        <v>3126</v>
      </c>
      <c r="E728" s="14">
        <v>10</v>
      </c>
      <c r="F728" s="14">
        <v>6</v>
      </c>
      <c r="G728" s="14">
        <v>9</v>
      </c>
      <c r="H728" s="14">
        <v>31.98</v>
      </c>
      <c r="I728" s="14">
        <f>'PIVOT TABLES'!$B$26</f>
        <v>60.283999999999999</v>
      </c>
      <c r="J728" s="14">
        <f>'PIVOT TABLES'!$B$27-'PIVOT TABLES'!$B$26</f>
        <v>30.142000000000003</v>
      </c>
      <c r="K728" s="14">
        <f>'PIVOT TABLES'!$B$28-'PIVOT TABLES'!$B$27</f>
        <v>30.141999999999996</v>
      </c>
      <c r="L728" s="14">
        <f>200-SUM(Table3[[#This Row],[D - LIGHT]:[D - VIGOROUS]])</f>
        <v>79.432000000000002</v>
      </c>
      <c r="M728" s="14">
        <f>'PIVOT TABLES'!$I$26</f>
        <v>65.603999999999999</v>
      </c>
      <c r="N728" s="14">
        <f>'PIVOT TABLES'!$I$27-'PIVOT TABLES'!$I$26</f>
        <v>32.802000000000007</v>
      </c>
      <c r="O728" s="14">
        <f>'PIVOT TABLES'!$I$28-'PIVOT TABLES'!$I$27</f>
        <v>32.801999999999992</v>
      </c>
      <c r="P728" s="14">
        <f>200-SUM(Table3[[#This Row],[M - LIGHT]:[M - VIGOROUS]])</f>
        <v>68.792000000000002</v>
      </c>
      <c r="Q728" s="14">
        <f>'PIVOT TABLES'!$P$26</f>
        <v>62.64</v>
      </c>
      <c r="R728" s="14">
        <f>'PIVOT TABLES'!$P$27-'PIVOT TABLES'!$P$26</f>
        <v>31.320000000000007</v>
      </c>
      <c r="S728" s="14">
        <f>'PIVOT TABLES'!$P$28-'PIVOT TABLES'!$P$27</f>
        <v>31.319999999999993</v>
      </c>
      <c r="T728" s="14">
        <f>200-SUM(Table3[[#This Row],[W - LIGHT]:[W - VIGOROUS]])</f>
        <v>74.72</v>
      </c>
      <c r="U728" s="14">
        <f>'PIVOT TABLES'!$W$26</f>
        <v>55.895999999999994</v>
      </c>
      <c r="V728" s="14">
        <f>'PIVOT TABLES'!$W$27-'PIVOT TABLES'!$W$26</f>
        <v>27.948</v>
      </c>
      <c r="W728" s="14">
        <f>'PIVOT TABLES'!$W$28-'PIVOT TABLES'!$W$27</f>
        <v>27.947999999999993</v>
      </c>
      <c r="X728" s="14">
        <f>200-SUM(Table3[[#This Row],[S - LIGHT]:[S - VIGOROUS]])</f>
        <v>88.208000000000013</v>
      </c>
    </row>
    <row r="729" spans="1:24" x14ac:dyDescent="0.25">
      <c r="A729" s="17" t="s">
        <v>67</v>
      </c>
      <c r="B729" s="13" t="str">
        <f t="shared" si="11"/>
        <v>Midfielder</v>
      </c>
      <c r="C729" s="7">
        <v>45341.693749999999</v>
      </c>
      <c r="D729" s="14">
        <v>5908</v>
      </c>
      <c r="E729" s="14">
        <v>129</v>
      </c>
      <c r="F729" s="14">
        <v>37</v>
      </c>
      <c r="G729" s="14">
        <v>31</v>
      </c>
      <c r="H729" s="14">
        <v>65.05</v>
      </c>
      <c r="I729" s="14">
        <f>'PIVOT TABLES'!$B$26</f>
        <v>60.283999999999999</v>
      </c>
      <c r="J729" s="14">
        <f>'PIVOT TABLES'!$B$27-'PIVOT TABLES'!$B$26</f>
        <v>30.142000000000003</v>
      </c>
      <c r="K729" s="14">
        <f>'PIVOT TABLES'!$B$28-'PIVOT TABLES'!$B$27</f>
        <v>30.141999999999996</v>
      </c>
      <c r="L729" s="14">
        <f>200-SUM(Table3[[#This Row],[D - LIGHT]:[D - VIGOROUS]])</f>
        <v>79.432000000000002</v>
      </c>
      <c r="M729" s="14">
        <f>'PIVOT TABLES'!$I$26</f>
        <v>65.603999999999999</v>
      </c>
      <c r="N729" s="14">
        <f>'PIVOT TABLES'!$I$27-'PIVOT TABLES'!$I$26</f>
        <v>32.802000000000007</v>
      </c>
      <c r="O729" s="14">
        <f>'PIVOT TABLES'!$I$28-'PIVOT TABLES'!$I$27</f>
        <v>32.801999999999992</v>
      </c>
      <c r="P729" s="14">
        <f>200-SUM(Table3[[#This Row],[M - LIGHT]:[M - VIGOROUS]])</f>
        <v>68.792000000000002</v>
      </c>
      <c r="Q729" s="14">
        <f>'PIVOT TABLES'!$P$26</f>
        <v>62.64</v>
      </c>
      <c r="R729" s="14">
        <f>'PIVOT TABLES'!$P$27-'PIVOT TABLES'!$P$26</f>
        <v>31.320000000000007</v>
      </c>
      <c r="S729" s="14">
        <f>'PIVOT TABLES'!$P$28-'PIVOT TABLES'!$P$27</f>
        <v>31.319999999999993</v>
      </c>
      <c r="T729" s="14">
        <f>200-SUM(Table3[[#This Row],[W - LIGHT]:[W - VIGOROUS]])</f>
        <v>74.72</v>
      </c>
      <c r="U729" s="14">
        <f>'PIVOT TABLES'!$W$26</f>
        <v>55.895999999999994</v>
      </c>
      <c r="V729" s="14">
        <f>'PIVOT TABLES'!$W$27-'PIVOT TABLES'!$W$26</f>
        <v>27.948</v>
      </c>
      <c r="W729" s="14">
        <f>'PIVOT TABLES'!$W$28-'PIVOT TABLES'!$W$27</f>
        <v>27.947999999999993</v>
      </c>
      <c r="X729" s="14">
        <f>200-SUM(Table3[[#This Row],[S - LIGHT]:[S - VIGOROUS]])</f>
        <v>88.208000000000013</v>
      </c>
    </row>
    <row r="730" spans="1:24" x14ac:dyDescent="0.25">
      <c r="A730" s="17" t="s">
        <v>9</v>
      </c>
      <c r="B730" s="13" t="str">
        <f t="shared" si="11"/>
        <v>Striker</v>
      </c>
      <c r="C730" s="7">
        <v>45341.693749999999</v>
      </c>
      <c r="D730" s="14">
        <v>3987</v>
      </c>
      <c r="E730" s="14">
        <v>15</v>
      </c>
      <c r="F730" s="14">
        <v>14</v>
      </c>
      <c r="G730" s="14">
        <v>13</v>
      </c>
      <c r="H730" s="14">
        <v>41.14</v>
      </c>
      <c r="I730" s="14">
        <f>'PIVOT TABLES'!$B$26</f>
        <v>60.283999999999999</v>
      </c>
      <c r="J730" s="14">
        <f>'PIVOT TABLES'!$B$27-'PIVOT TABLES'!$B$26</f>
        <v>30.142000000000003</v>
      </c>
      <c r="K730" s="14">
        <f>'PIVOT TABLES'!$B$28-'PIVOT TABLES'!$B$27</f>
        <v>30.141999999999996</v>
      </c>
      <c r="L730" s="14">
        <f>200-SUM(Table3[[#This Row],[D - LIGHT]:[D - VIGOROUS]])</f>
        <v>79.432000000000002</v>
      </c>
      <c r="M730" s="14">
        <f>'PIVOT TABLES'!$I$26</f>
        <v>65.603999999999999</v>
      </c>
      <c r="N730" s="14">
        <f>'PIVOT TABLES'!$I$27-'PIVOT TABLES'!$I$26</f>
        <v>32.802000000000007</v>
      </c>
      <c r="O730" s="14">
        <f>'PIVOT TABLES'!$I$28-'PIVOT TABLES'!$I$27</f>
        <v>32.801999999999992</v>
      </c>
      <c r="P730" s="14">
        <f>200-SUM(Table3[[#This Row],[M - LIGHT]:[M - VIGOROUS]])</f>
        <v>68.792000000000002</v>
      </c>
      <c r="Q730" s="14">
        <f>'PIVOT TABLES'!$P$26</f>
        <v>62.64</v>
      </c>
      <c r="R730" s="14">
        <f>'PIVOT TABLES'!$P$27-'PIVOT TABLES'!$P$26</f>
        <v>31.320000000000007</v>
      </c>
      <c r="S730" s="14">
        <f>'PIVOT TABLES'!$P$28-'PIVOT TABLES'!$P$27</f>
        <v>31.319999999999993</v>
      </c>
      <c r="T730" s="14">
        <f>200-SUM(Table3[[#This Row],[W - LIGHT]:[W - VIGOROUS]])</f>
        <v>74.72</v>
      </c>
      <c r="U730" s="14">
        <f>'PIVOT TABLES'!$W$26</f>
        <v>55.895999999999994</v>
      </c>
      <c r="V730" s="14">
        <f>'PIVOT TABLES'!$W$27-'PIVOT TABLES'!$W$26</f>
        <v>27.948</v>
      </c>
      <c r="W730" s="14">
        <f>'PIVOT TABLES'!$W$28-'PIVOT TABLES'!$W$27</f>
        <v>27.947999999999993</v>
      </c>
      <c r="X730" s="14">
        <f>200-SUM(Table3[[#This Row],[S - LIGHT]:[S - VIGOROUS]])</f>
        <v>88.208000000000013</v>
      </c>
    </row>
    <row r="731" spans="1:24" x14ac:dyDescent="0.25">
      <c r="A731" s="17" t="s">
        <v>69</v>
      </c>
      <c r="B731" s="13" t="str">
        <f t="shared" si="11"/>
        <v>Midfielder</v>
      </c>
      <c r="C731" s="7">
        <v>45341.693749999999</v>
      </c>
      <c r="D731" s="14">
        <v>7791</v>
      </c>
      <c r="E731" s="14">
        <v>254</v>
      </c>
      <c r="F731" s="14">
        <v>30</v>
      </c>
      <c r="G731" s="14">
        <v>33</v>
      </c>
      <c r="H731" s="14">
        <v>87.39</v>
      </c>
      <c r="I731" s="14">
        <f>'PIVOT TABLES'!$B$26</f>
        <v>60.283999999999999</v>
      </c>
      <c r="J731" s="14">
        <f>'PIVOT TABLES'!$B$27-'PIVOT TABLES'!$B$26</f>
        <v>30.142000000000003</v>
      </c>
      <c r="K731" s="14">
        <f>'PIVOT TABLES'!$B$28-'PIVOT TABLES'!$B$27</f>
        <v>30.141999999999996</v>
      </c>
      <c r="L731" s="14">
        <f>200-SUM(Table3[[#This Row],[D - LIGHT]:[D - VIGOROUS]])</f>
        <v>79.432000000000002</v>
      </c>
      <c r="M731" s="14">
        <f>'PIVOT TABLES'!$I$26</f>
        <v>65.603999999999999</v>
      </c>
      <c r="N731" s="14">
        <f>'PIVOT TABLES'!$I$27-'PIVOT TABLES'!$I$26</f>
        <v>32.802000000000007</v>
      </c>
      <c r="O731" s="14">
        <f>'PIVOT TABLES'!$I$28-'PIVOT TABLES'!$I$27</f>
        <v>32.801999999999992</v>
      </c>
      <c r="P731" s="14">
        <f>200-SUM(Table3[[#This Row],[M - LIGHT]:[M - VIGOROUS]])</f>
        <v>68.792000000000002</v>
      </c>
      <c r="Q731" s="14">
        <f>'PIVOT TABLES'!$P$26</f>
        <v>62.64</v>
      </c>
      <c r="R731" s="14">
        <f>'PIVOT TABLES'!$P$27-'PIVOT TABLES'!$P$26</f>
        <v>31.320000000000007</v>
      </c>
      <c r="S731" s="14">
        <f>'PIVOT TABLES'!$P$28-'PIVOT TABLES'!$P$27</f>
        <v>31.319999999999993</v>
      </c>
      <c r="T731" s="14">
        <f>200-SUM(Table3[[#This Row],[W - LIGHT]:[W - VIGOROUS]])</f>
        <v>74.72</v>
      </c>
      <c r="U731" s="14">
        <f>'PIVOT TABLES'!$W$26</f>
        <v>55.895999999999994</v>
      </c>
      <c r="V731" s="14">
        <f>'PIVOT TABLES'!$W$27-'PIVOT TABLES'!$W$26</f>
        <v>27.948</v>
      </c>
      <c r="W731" s="14">
        <f>'PIVOT TABLES'!$W$28-'PIVOT TABLES'!$W$27</f>
        <v>27.947999999999993</v>
      </c>
      <c r="X731" s="14">
        <f>200-SUM(Table3[[#This Row],[S - LIGHT]:[S - VIGOROUS]])</f>
        <v>88.208000000000013</v>
      </c>
    </row>
    <row r="732" spans="1:24" x14ac:dyDescent="0.25">
      <c r="A732" s="17" t="s">
        <v>70</v>
      </c>
      <c r="B732" s="13" t="str">
        <f t="shared" si="11"/>
        <v>Winger</v>
      </c>
      <c r="C732" s="7">
        <v>45342.422442129631</v>
      </c>
      <c r="D732" s="14">
        <v>4710</v>
      </c>
      <c r="E732" s="14">
        <v>35</v>
      </c>
      <c r="F732" s="14">
        <v>16</v>
      </c>
      <c r="G732" s="14">
        <v>13</v>
      </c>
      <c r="H732" s="14">
        <v>49.05</v>
      </c>
      <c r="I732" s="14">
        <f>'PIVOT TABLES'!$B$26</f>
        <v>60.283999999999999</v>
      </c>
      <c r="J732" s="14">
        <f>'PIVOT TABLES'!$B$27-'PIVOT TABLES'!$B$26</f>
        <v>30.142000000000003</v>
      </c>
      <c r="K732" s="14">
        <f>'PIVOT TABLES'!$B$28-'PIVOT TABLES'!$B$27</f>
        <v>30.141999999999996</v>
      </c>
      <c r="L732" s="14">
        <f>200-SUM(Table3[[#This Row],[D - LIGHT]:[D - VIGOROUS]])</f>
        <v>79.432000000000002</v>
      </c>
      <c r="M732" s="14">
        <f>'PIVOT TABLES'!$I$26</f>
        <v>65.603999999999999</v>
      </c>
      <c r="N732" s="14">
        <f>'PIVOT TABLES'!$I$27-'PIVOT TABLES'!$I$26</f>
        <v>32.802000000000007</v>
      </c>
      <c r="O732" s="14">
        <f>'PIVOT TABLES'!$I$28-'PIVOT TABLES'!$I$27</f>
        <v>32.801999999999992</v>
      </c>
      <c r="P732" s="14">
        <f>200-SUM(Table3[[#This Row],[M - LIGHT]:[M - VIGOROUS]])</f>
        <v>68.792000000000002</v>
      </c>
      <c r="Q732" s="14">
        <f>'PIVOT TABLES'!$P$26</f>
        <v>62.64</v>
      </c>
      <c r="R732" s="14">
        <f>'PIVOT TABLES'!$P$27-'PIVOT TABLES'!$P$26</f>
        <v>31.320000000000007</v>
      </c>
      <c r="S732" s="14">
        <f>'PIVOT TABLES'!$P$28-'PIVOT TABLES'!$P$27</f>
        <v>31.319999999999993</v>
      </c>
      <c r="T732" s="14">
        <f>200-SUM(Table3[[#This Row],[W - LIGHT]:[W - VIGOROUS]])</f>
        <v>74.72</v>
      </c>
      <c r="U732" s="14">
        <f>'PIVOT TABLES'!$W$26</f>
        <v>55.895999999999994</v>
      </c>
      <c r="V732" s="14">
        <f>'PIVOT TABLES'!$W$27-'PIVOT TABLES'!$W$26</f>
        <v>27.948</v>
      </c>
      <c r="W732" s="14">
        <f>'PIVOT TABLES'!$W$28-'PIVOT TABLES'!$W$27</f>
        <v>27.947999999999993</v>
      </c>
      <c r="X732" s="14">
        <f>200-SUM(Table3[[#This Row],[S - LIGHT]:[S - VIGOROUS]])</f>
        <v>88.208000000000013</v>
      </c>
    </row>
    <row r="733" spans="1:24" x14ac:dyDescent="0.25">
      <c r="A733" s="17" t="s">
        <v>53</v>
      </c>
      <c r="B733" s="13" t="str">
        <f t="shared" si="11"/>
        <v>Midfielder</v>
      </c>
      <c r="C733" s="7">
        <v>45342.422442129631</v>
      </c>
      <c r="D733" s="14">
        <v>3279</v>
      </c>
      <c r="E733" s="14">
        <v>0</v>
      </c>
      <c r="F733" s="14">
        <v>2</v>
      </c>
      <c r="G733" s="14">
        <v>7</v>
      </c>
      <c r="H733" s="14">
        <v>33.01</v>
      </c>
      <c r="I733" s="14">
        <f>'PIVOT TABLES'!$B$26</f>
        <v>60.283999999999999</v>
      </c>
      <c r="J733" s="14">
        <f>'PIVOT TABLES'!$B$27-'PIVOT TABLES'!$B$26</f>
        <v>30.142000000000003</v>
      </c>
      <c r="K733" s="14">
        <f>'PIVOT TABLES'!$B$28-'PIVOT TABLES'!$B$27</f>
        <v>30.141999999999996</v>
      </c>
      <c r="L733" s="14">
        <f>200-SUM(Table3[[#This Row],[D - LIGHT]:[D - VIGOROUS]])</f>
        <v>79.432000000000002</v>
      </c>
      <c r="M733" s="14">
        <f>'PIVOT TABLES'!$I$26</f>
        <v>65.603999999999999</v>
      </c>
      <c r="N733" s="14">
        <f>'PIVOT TABLES'!$I$27-'PIVOT TABLES'!$I$26</f>
        <v>32.802000000000007</v>
      </c>
      <c r="O733" s="14">
        <f>'PIVOT TABLES'!$I$28-'PIVOT TABLES'!$I$27</f>
        <v>32.801999999999992</v>
      </c>
      <c r="P733" s="14">
        <f>200-SUM(Table3[[#This Row],[M - LIGHT]:[M - VIGOROUS]])</f>
        <v>68.792000000000002</v>
      </c>
      <c r="Q733" s="14">
        <f>'PIVOT TABLES'!$P$26</f>
        <v>62.64</v>
      </c>
      <c r="R733" s="14">
        <f>'PIVOT TABLES'!$P$27-'PIVOT TABLES'!$P$26</f>
        <v>31.320000000000007</v>
      </c>
      <c r="S733" s="14">
        <f>'PIVOT TABLES'!$P$28-'PIVOT TABLES'!$P$27</f>
        <v>31.319999999999993</v>
      </c>
      <c r="T733" s="14">
        <f>200-SUM(Table3[[#This Row],[W - LIGHT]:[W - VIGOROUS]])</f>
        <v>74.72</v>
      </c>
      <c r="U733" s="14">
        <f>'PIVOT TABLES'!$W$26</f>
        <v>55.895999999999994</v>
      </c>
      <c r="V733" s="14">
        <f>'PIVOT TABLES'!$W$27-'PIVOT TABLES'!$W$26</f>
        <v>27.948</v>
      </c>
      <c r="W733" s="14">
        <f>'PIVOT TABLES'!$W$28-'PIVOT TABLES'!$W$27</f>
        <v>27.947999999999993</v>
      </c>
      <c r="X733" s="14">
        <f>200-SUM(Table3[[#This Row],[S - LIGHT]:[S - VIGOROUS]])</f>
        <v>88.208000000000013</v>
      </c>
    </row>
    <row r="734" spans="1:24" x14ac:dyDescent="0.25">
      <c r="A734" s="17" t="s">
        <v>54</v>
      </c>
      <c r="B734" s="13" t="str">
        <f t="shared" si="11"/>
        <v>Striker</v>
      </c>
      <c r="C734" s="7">
        <v>45342.422442129631</v>
      </c>
      <c r="D734" s="14">
        <v>3306</v>
      </c>
      <c r="E734" s="14">
        <v>13</v>
      </c>
      <c r="F734" s="14">
        <v>4</v>
      </c>
      <c r="G734" s="14">
        <v>5</v>
      </c>
      <c r="H734" s="14">
        <v>33.71</v>
      </c>
      <c r="I734" s="14">
        <f>'PIVOT TABLES'!$B$26</f>
        <v>60.283999999999999</v>
      </c>
      <c r="J734" s="14">
        <f>'PIVOT TABLES'!$B$27-'PIVOT TABLES'!$B$26</f>
        <v>30.142000000000003</v>
      </c>
      <c r="K734" s="14">
        <f>'PIVOT TABLES'!$B$28-'PIVOT TABLES'!$B$27</f>
        <v>30.141999999999996</v>
      </c>
      <c r="L734" s="14">
        <f>200-SUM(Table3[[#This Row],[D - LIGHT]:[D - VIGOROUS]])</f>
        <v>79.432000000000002</v>
      </c>
      <c r="M734" s="14">
        <f>'PIVOT TABLES'!$I$26</f>
        <v>65.603999999999999</v>
      </c>
      <c r="N734" s="14">
        <f>'PIVOT TABLES'!$I$27-'PIVOT TABLES'!$I$26</f>
        <v>32.802000000000007</v>
      </c>
      <c r="O734" s="14">
        <f>'PIVOT TABLES'!$I$28-'PIVOT TABLES'!$I$27</f>
        <v>32.801999999999992</v>
      </c>
      <c r="P734" s="14">
        <f>200-SUM(Table3[[#This Row],[M - LIGHT]:[M - VIGOROUS]])</f>
        <v>68.792000000000002</v>
      </c>
      <c r="Q734" s="14">
        <f>'PIVOT TABLES'!$P$26</f>
        <v>62.64</v>
      </c>
      <c r="R734" s="14">
        <f>'PIVOT TABLES'!$P$27-'PIVOT TABLES'!$P$26</f>
        <v>31.320000000000007</v>
      </c>
      <c r="S734" s="14">
        <f>'PIVOT TABLES'!$P$28-'PIVOT TABLES'!$P$27</f>
        <v>31.319999999999993</v>
      </c>
      <c r="T734" s="14">
        <f>200-SUM(Table3[[#This Row],[W - LIGHT]:[W - VIGOROUS]])</f>
        <v>74.72</v>
      </c>
      <c r="U734" s="14">
        <f>'PIVOT TABLES'!$W$26</f>
        <v>55.895999999999994</v>
      </c>
      <c r="V734" s="14">
        <f>'PIVOT TABLES'!$W$27-'PIVOT TABLES'!$W$26</f>
        <v>27.948</v>
      </c>
      <c r="W734" s="14">
        <f>'PIVOT TABLES'!$W$28-'PIVOT TABLES'!$W$27</f>
        <v>27.947999999999993</v>
      </c>
      <c r="X734" s="14">
        <f>200-SUM(Table3[[#This Row],[S - LIGHT]:[S - VIGOROUS]])</f>
        <v>88.208000000000013</v>
      </c>
    </row>
    <row r="735" spans="1:24" x14ac:dyDescent="0.25">
      <c r="A735" s="17" t="s">
        <v>55</v>
      </c>
      <c r="B735" s="13" t="str">
        <f t="shared" si="11"/>
        <v>Striker</v>
      </c>
      <c r="C735" s="7">
        <v>45342.422442129631</v>
      </c>
      <c r="D735" s="14">
        <v>2646</v>
      </c>
      <c r="E735" s="14">
        <v>25</v>
      </c>
      <c r="F735" s="14">
        <v>7</v>
      </c>
      <c r="G735" s="14">
        <v>10</v>
      </c>
      <c r="H735" s="14">
        <v>27.69</v>
      </c>
      <c r="I735" s="14">
        <f>'PIVOT TABLES'!$B$26</f>
        <v>60.283999999999999</v>
      </c>
      <c r="J735" s="14">
        <f>'PIVOT TABLES'!$B$27-'PIVOT TABLES'!$B$26</f>
        <v>30.142000000000003</v>
      </c>
      <c r="K735" s="14">
        <f>'PIVOT TABLES'!$B$28-'PIVOT TABLES'!$B$27</f>
        <v>30.141999999999996</v>
      </c>
      <c r="L735" s="14">
        <f>200-SUM(Table3[[#This Row],[D - LIGHT]:[D - VIGOROUS]])</f>
        <v>79.432000000000002</v>
      </c>
      <c r="M735" s="14">
        <f>'PIVOT TABLES'!$I$26</f>
        <v>65.603999999999999</v>
      </c>
      <c r="N735" s="14">
        <f>'PIVOT TABLES'!$I$27-'PIVOT TABLES'!$I$26</f>
        <v>32.802000000000007</v>
      </c>
      <c r="O735" s="14">
        <f>'PIVOT TABLES'!$I$28-'PIVOT TABLES'!$I$27</f>
        <v>32.801999999999992</v>
      </c>
      <c r="P735" s="14">
        <f>200-SUM(Table3[[#This Row],[M - LIGHT]:[M - VIGOROUS]])</f>
        <v>68.792000000000002</v>
      </c>
      <c r="Q735" s="14">
        <f>'PIVOT TABLES'!$P$26</f>
        <v>62.64</v>
      </c>
      <c r="R735" s="14">
        <f>'PIVOT TABLES'!$P$27-'PIVOT TABLES'!$P$26</f>
        <v>31.320000000000007</v>
      </c>
      <c r="S735" s="14">
        <f>'PIVOT TABLES'!$P$28-'PIVOT TABLES'!$P$27</f>
        <v>31.319999999999993</v>
      </c>
      <c r="T735" s="14">
        <f>200-SUM(Table3[[#This Row],[W - LIGHT]:[W - VIGOROUS]])</f>
        <v>74.72</v>
      </c>
      <c r="U735" s="14">
        <f>'PIVOT TABLES'!$W$26</f>
        <v>55.895999999999994</v>
      </c>
      <c r="V735" s="14">
        <f>'PIVOT TABLES'!$W$27-'PIVOT TABLES'!$W$26</f>
        <v>27.948</v>
      </c>
      <c r="W735" s="14">
        <f>'PIVOT TABLES'!$W$28-'PIVOT TABLES'!$W$27</f>
        <v>27.947999999999993</v>
      </c>
      <c r="X735" s="14">
        <f>200-SUM(Table3[[#This Row],[S - LIGHT]:[S - VIGOROUS]])</f>
        <v>88.208000000000013</v>
      </c>
    </row>
    <row r="736" spans="1:24" x14ac:dyDescent="0.25">
      <c r="A736" s="17" t="s">
        <v>1</v>
      </c>
      <c r="B736" s="13" t="str">
        <f t="shared" si="11"/>
        <v>Defender</v>
      </c>
      <c r="C736" s="7">
        <v>45342.422442129631</v>
      </c>
      <c r="D736" s="14">
        <v>4045</v>
      </c>
      <c r="E736" s="14">
        <v>16</v>
      </c>
      <c r="F736" s="14">
        <v>13</v>
      </c>
      <c r="G736" s="14">
        <v>13</v>
      </c>
      <c r="H736" s="14">
        <v>41.71</v>
      </c>
      <c r="I736" s="14">
        <f>'PIVOT TABLES'!$B$26</f>
        <v>60.283999999999999</v>
      </c>
      <c r="J736" s="14">
        <f>'PIVOT TABLES'!$B$27-'PIVOT TABLES'!$B$26</f>
        <v>30.142000000000003</v>
      </c>
      <c r="K736" s="14">
        <f>'PIVOT TABLES'!$B$28-'PIVOT TABLES'!$B$27</f>
        <v>30.141999999999996</v>
      </c>
      <c r="L736" s="14">
        <f>200-SUM(Table3[[#This Row],[D - LIGHT]:[D - VIGOROUS]])</f>
        <v>79.432000000000002</v>
      </c>
      <c r="M736" s="14">
        <f>'PIVOT TABLES'!$I$26</f>
        <v>65.603999999999999</v>
      </c>
      <c r="N736" s="14">
        <f>'PIVOT TABLES'!$I$27-'PIVOT TABLES'!$I$26</f>
        <v>32.802000000000007</v>
      </c>
      <c r="O736" s="14">
        <f>'PIVOT TABLES'!$I$28-'PIVOT TABLES'!$I$27</f>
        <v>32.801999999999992</v>
      </c>
      <c r="P736" s="14">
        <f>200-SUM(Table3[[#This Row],[M - LIGHT]:[M - VIGOROUS]])</f>
        <v>68.792000000000002</v>
      </c>
      <c r="Q736" s="14">
        <f>'PIVOT TABLES'!$P$26</f>
        <v>62.64</v>
      </c>
      <c r="R736" s="14">
        <f>'PIVOT TABLES'!$P$27-'PIVOT TABLES'!$P$26</f>
        <v>31.320000000000007</v>
      </c>
      <c r="S736" s="14">
        <f>'PIVOT TABLES'!$P$28-'PIVOT TABLES'!$P$27</f>
        <v>31.319999999999993</v>
      </c>
      <c r="T736" s="14">
        <f>200-SUM(Table3[[#This Row],[W - LIGHT]:[W - VIGOROUS]])</f>
        <v>74.72</v>
      </c>
      <c r="U736" s="14">
        <f>'PIVOT TABLES'!$W$26</f>
        <v>55.895999999999994</v>
      </c>
      <c r="V736" s="14">
        <f>'PIVOT TABLES'!$W$27-'PIVOT TABLES'!$W$26</f>
        <v>27.948</v>
      </c>
      <c r="W736" s="14">
        <f>'PIVOT TABLES'!$W$28-'PIVOT TABLES'!$W$27</f>
        <v>27.947999999999993</v>
      </c>
      <c r="X736" s="14">
        <f>200-SUM(Table3[[#This Row],[S - LIGHT]:[S - VIGOROUS]])</f>
        <v>88.208000000000013</v>
      </c>
    </row>
    <row r="737" spans="1:24" x14ac:dyDescent="0.25">
      <c r="A737" s="17" t="s">
        <v>56</v>
      </c>
      <c r="B737" s="13" t="str">
        <f t="shared" si="11"/>
        <v>Midfielder</v>
      </c>
      <c r="C737" s="7">
        <v>45342.422442129631</v>
      </c>
      <c r="D737" s="14">
        <v>3574</v>
      </c>
      <c r="E737" s="14">
        <v>5</v>
      </c>
      <c r="F737" s="14">
        <v>7</v>
      </c>
      <c r="G737" s="14">
        <v>4</v>
      </c>
      <c r="H737" s="14">
        <v>36.25</v>
      </c>
      <c r="I737" s="14">
        <f>'PIVOT TABLES'!$B$26</f>
        <v>60.283999999999999</v>
      </c>
      <c r="J737" s="14">
        <f>'PIVOT TABLES'!$B$27-'PIVOT TABLES'!$B$26</f>
        <v>30.142000000000003</v>
      </c>
      <c r="K737" s="14">
        <f>'PIVOT TABLES'!$B$28-'PIVOT TABLES'!$B$27</f>
        <v>30.141999999999996</v>
      </c>
      <c r="L737" s="14">
        <f>200-SUM(Table3[[#This Row],[D - LIGHT]:[D - VIGOROUS]])</f>
        <v>79.432000000000002</v>
      </c>
      <c r="M737" s="14">
        <f>'PIVOT TABLES'!$I$26</f>
        <v>65.603999999999999</v>
      </c>
      <c r="N737" s="14">
        <f>'PIVOT TABLES'!$I$27-'PIVOT TABLES'!$I$26</f>
        <v>32.802000000000007</v>
      </c>
      <c r="O737" s="14">
        <f>'PIVOT TABLES'!$I$28-'PIVOT TABLES'!$I$27</f>
        <v>32.801999999999992</v>
      </c>
      <c r="P737" s="14">
        <f>200-SUM(Table3[[#This Row],[M - LIGHT]:[M - VIGOROUS]])</f>
        <v>68.792000000000002</v>
      </c>
      <c r="Q737" s="14">
        <f>'PIVOT TABLES'!$P$26</f>
        <v>62.64</v>
      </c>
      <c r="R737" s="14">
        <f>'PIVOT TABLES'!$P$27-'PIVOT TABLES'!$P$26</f>
        <v>31.320000000000007</v>
      </c>
      <c r="S737" s="14">
        <f>'PIVOT TABLES'!$P$28-'PIVOT TABLES'!$P$27</f>
        <v>31.319999999999993</v>
      </c>
      <c r="T737" s="14">
        <f>200-SUM(Table3[[#This Row],[W - LIGHT]:[W - VIGOROUS]])</f>
        <v>74.72</v>
      </c>
      <c r="U737" s="14">
        <f>'PIVOT TABLES'!$W$26</f>
        <v>55.895999999999994</v>
      </c>
      <c r="V737" s="14">
        <f>'PIVOT TABLES'!$W$27-'PIVOT TABLES'!$W$26</f>
        <v>27.948</v>
      </c>
      <c r="W737" s="14">
        <f>'PIVOT TABLES'!$W$28-'PIVOT TABLES'!$W$27</f>
        <v>27.947999999999993</v>
      </c>
      <c r="X737" s="14">
        <f>200-SUM(Table3[[#This Row],[S - LIGHT]:[S - VIGOROUS]])</f>
        <v>88.208000000000013</v>
      </c>
    </row>
    <row r="738" spans="1:24" x14ac:dyDescent="0.25">
      <c r="A738" s="17" t="s">
        <v>2</v>
      </c>
      <c r="B738" s="13" t="str">
        <f t="shared" si="11"/>
        <v>Defender</v>
      </c>
      <c r="C738" s="7">
        <v>45342.422442129631</v>
      </c>
      <c r="D738" s="14">
        <v>2775</v>
      </c>
      <c r="E738" s="14">
        <v>0</v>
      </c>
      <c r="F738" s="14">
        <v>3</v>
      </c>
      <c r="G738" s="14">
        <v>3</v>
      </c>
      <c r="H738" s="14">
        <v>27.93</v>
      </c>
      <c r="I738" s="14">
        <f>'PIVOT TABLES'!$B$26</f>
        <v>60.283999999999999</v>
      </c>
      <c r="J738" s="14">
        <f>'PIVOT TABLES'!$B$27-'PIVOT TABLES'!$B$26</f>
        <v>30.142000000000003</v>
      </c>
      <c r="K738" s="14">
        <f>'PIVOT TABLES'!$B$28-'PIVOT TABLES'!$B$27</f>
        <v>30.141999999999996</v>
      </c>
      <c r="L738" s="14">
        <f>200-SUM(Table3[[#This Row],[D - LIGHT]:[D - VIGOROUS]])</f>
        <v>79.432000000000002</v>
      </c>
      <c r="M738" s="14">
        <f>'PIVOT TABLES'!$I$26</f>
        <v>65.603999999999999</v>
      </c>
      <c r="N738" s="14">
        <f>'PIVOT TABLES'!$I$27-'PIVOT TABLES'!$I$26</f>
        <v>32.802000000000007</v>
      </c>
      <c r="O738" s="14">
        <f>'PIVOT TABLES'!$I$28-'PIVOT TABLES'!$I$27</f>
        <v>32.801999999999992</v>
      </c>
      <c r="P738" s="14">
        <f>200-SUM(Table3[[#This Row],[M - LIGHT]:[M - VIGOROUS]])</f>
        <v>68.792000000000002</v>
      </c>
      <c r="Q738" s="14">
        <f>'PIVOT TABLES'!$P$26</f>
        <v>62.64</v>
      </c>
      <c r="R738" s="14">
        <f>'PIVOT TABLES'!$P$27-'PIVOT TABLES'!$P$26</f>
        <v>31.320000000000007</v>
      </c>
      <c r="S738" s="14">
        <f>'PIVOT TABLES'!$P$28-'PIVOT TABLES'!$P$27</f>
        <v>31.319999999999993</v>
      </c>
      <c r="T738" s="14">
        <f>200-SUM(Table3[[#This Row],[W - LIGHT]:[W - VIGOROUS]])</f>
        <v>74.72</v>
      </c>
      <c r="U738" s="14">
        <f>'PIVOT TABLES'!$W$26</f>
        <v>55.895999999999994</v>
      </c>
      <c r="V738" s="14">
        <f>'PIVOT TABLES'!$W$27-'PIVOT TABLES'!$W$26</f>
        <v>27.948</v>
      </c>
      <c r="W738" s="14">
        <f>'PIVOT TABLES'!$W$28-'PIVOT TABLES'!$W$27</f>
        <v>27.947999999999993</v>
      </c>
      <c r="X738" s="14">
        <f>200-SUM(Table3[[#This Row],[S - LIGHT]:[S - VIGOROUS]])</f>
        <v>88.208000000000013</v>
      </c>
    </row>
    <row r="739" spans="1:24" x14ac:dyDescent="0.25">
      <c r="A739" s="17" t="s">
        <v>58</v>
      </c>
      <c r="B739" s="13" t="str">
        <f t="shared" si="11"/>
        <v>Defender</v>
      </c>
      <c r="C739" s="7">
        <v>45342.422442129631</v>
      </c>
      <c r="D739" s="14">
        <v>4303</v>
      </c>
      <c r="E739" s="14">
        <v>1</v>
      </c>
      <c r="F739" s="14">
        <v>12</v>
      </c>
      <c r="G739" s="14">
        <v>15</v>
      </c>
      <c r="H739" s="14">
        <v>43.84</v>
      </c>
      <c r="I739" s="14">
        <f>'PIVOT TABLES'!$B$26</f>
        <v>60.283999999999999</v>
      </c>
      <c r="J739" s="14">
        <f>'PIVOT TABLES'!$B$27-'PIVOT TABLES'!$B$26</f>
        <v>30.142000000000003</v>
      </c>
      <c r="K739" s="14">
        <f>'PIVOT TABLES'!$B$28-'PIVOT TABLES'!$B$27</f>
        <v>30.141999999999996</v>
      </c>
      <c r="L739" s="14">
        <f>200-SUM(Table3[[#This Row],[D - LIGHT]:[D - VIGOROUS]])</f>
        <v>79.432000000000002</v>
      </c>
      <c r="M739" s="14">
        <f>'PIVOT TABLES'!$I$26</f>
        <v>65.603999999999999</v>
      </c>
      <c r="N739" s="14">
        <f>'PIVOT TABLES'!$I$27-'PIVOT TABLES'!$I$26</f>
        <v>32.802000000000007</v>
      </c>
      <c r="O739" s="14">
        <f>'PIVOT TABLES'!$I$28-'PIVOT TABLES'!$I$27</f>
        <v>32.801999999999992</v>
      </c>
      <c r="P739" s="14">
        <f>200-SUM(Table3[[#This Row],[M - LIGHT]:[M - VIGOROUS]])</f>
        <v>68.792000000000002</v>
      </c>
      <c r="Q739" s="14">
        <f>'PIVOT TABLES'!$P$26</f>
        <v>62.64</v>
      </c>
      <c r="R739" s="14">
        <f>'PIVOT TABLES'!$P$27-'PIVOT TABLES'!$P$26</f>
        <v>31.320000000000007</v>
      </c>
      <c r="S739" s="14">
        <f>'PIVOT TABLES'!$P$28-'PIVOT TABLES'!$P$27</f>
        <v>31.319999999999993</v>
      </c>
      <c r="T739" s="14">
        <f>200-SUM(Table3[[#This Row],[W - LIGHT]:[W - VIGOROUS]])</f>
        <v>74.72</v>
      </c>
      <c r="U739" s="14">
        <f>'PIVOT TABLES'!$W$26</f>
        <v>55.895999999999994</v>
      </c>
      <c r="V739" s="14">
        <f>'PIVOT TABLES'!$W$27-'PIVOT TABLES'!$W$26</f>
        <v>27.948</v>
      </c>
      <c r="W739" s="14">
        <f>'PIVOT TABLES'!$W$28-'PIVOT TABLES'!$W$27</f>
        <v>27.947999999999993</v>
      </c>
      <c r="X739" s="14">
        <f>200-SUM(Table3[[#This Row],[S - LIGHT]:[S - VIGOROUS]])</f>
        <v>88.208000000000013</v>
      </c>
    </row>
    <row r="740" spans="1:24" x14ac:dyDescent="0.25">
      <c r="A740" s="17" t="s">
        <v>94</v>
      </c>
      <c r="B740" s="13" t="str">
        <f t="shared" si="11"/>
        <v>Defender</v>
      </c>
      <c r="C740" s="7">
        <v>45342.422442129631</v>
      </c>
      <c r="D740" s="14">
        <v>4028</v>
      </c>
      <c r="E740" s="14">
        <v>0</v>
      </c>
      <c r="F740" s="14">
        <v>6</v>
      </c>
      <c r="G740" s="14">
        <v>8</v>
      </c>
      <c r="H740" s="14">
        <v>40.68</v>
      </c>
      <c r="I740" s="14">
        <f>'PIVOT TABLES'!$B$26</f>
        <v>60.283999999999999</v>
      </c>
      <c r="J740" s="14">
        <f>'PIVOT TABLES'!$B$27-'PIVOT TABLES'!$B$26</f>
        <v>30.142000000000003</v>
      </c>
      <c r="K740" s="14">
        <f>'PIVOT TABLES'!$B$28-'PIVOT TABLES'!$B$27</f>
        <v>30.141999999999996</v>
      </c>
      <c r="L740" s="14">
        <f>200-SUM(Table3[[#This Row],[D - LIGHT]:[D - VIGOROUS]])</f>
        <v>79.432000000000002</v>
      </c>
      <c r="M740" s="14">
        <f>'PIVOT TABLES'!$I$26</f>
        <v>65.603999999999999</v>
      </c>
      <c r="N740" s="14">
        <f>'PIVOT TABLES'!$I$27-'PIVOT TABLES'!$I$26</f>
        <v>32.802000000000007</v>
      </c>
      <c r="O740" s="14">
        <f>'PIVOT TABLES'!$I$28-'PIVOT TABLES'!$I$27</f>
        <v>32.801999999999992</v>
      </c>
      <c r="P740" s="14">
        <f>200-SUM(Table3[[#This Row],[M - LIGHT]:[M - VIGOROUS]])</f>
        <v>68.792000000000002</v>
      </c>
      <c r="Q740" s="14">
        <f>'PIVOT TABLES'!$P$26</f>
        <v>62.64</v>
      </c>
      <c r="R740" s="14">
        <f>'PIVOT TABLES'!$P$27-'PIVOT TABLES'!$P$26</f>
        <v>31.320000000000007</v>
      </c>
      <c r="S740" s="14">
        <f>'PIVOT TABLES'!$P$28-'PIVOT TABLES'!$P$27</f>
        <v>31.319999999999993</v>
      </c>
      <c r="T740" s="14">
        <f>200-SUM(Table3[[#This Row],[W - LIGHT]:[W - VIGOROUS]])</f>
        <v>74.72</v>
      </c>
      <c r="U740" s="14">
        <f>'PIVOT TABLES'!$W$26</f>
        <v>55.895999999999994</v>
      </c>
      <c r="V740" s="14">
        <f>'PIVOT TABLES'!$W$27-'PIVOT TABLES'!$W$26</f>
        <v>27.948</v>
      </c>
      <c r="W740" s="14">
        <f>'PIVOT TABLES'!$W$28-'PIVOT TABLES'!$W$27</f>
        <v>27.947999999999993</v>
      </c>
      <c r="X740" s="14">
        <f>200-SUM(Table3[[#This Row],[S - LIGHT]:[S - VIGOROUS]])</f>
        <v>88.208000000000013</v>
      </c>
    </row>
    <row r="741" spans="1:24" x14ac:dyDescent="0.25">
      <c r="A741" s="17" t="s">
        <v>3</v>
      </c>
      <c r="B741" s="13" t="str">
        <f t="shared" si="11"/>
        <v>Defender</v>
      </c>
      <c r="C741" s="7">
        <v>45342.422442129631</v>
      </c>
      <c r="D741" s="14">
        <v>4566</v>
      </c>
      <c r="E741" s="14">
        <v>39</v>
      </c>
      <c r="F741" s="14">
        <v>2</v>
      </c>
      <c r="G741" s="14">
        <v>6</v>
      </c>
      <c r="H741" s="14">
        <v>47.03</v>
      </c>
      <c r="I741" s="14">
        <f>'PIVOT TABLES'!$B$26</f>
        <v>60.283999999999999</v>
      </c>
      <c r="J741" s="14">
        <f>'PIVOT TABLES'!$B$27-'PIVOT TABLES'!$B$26</f>
        <v>30.142000000000003</v>
      </c>
      <c r="K741" s="14">
        <f>'PIVOT TABLES'!$B$28-'PIVOT TABLES'!$B$27</f>
        <v>30.141999999999996</v>
      </c>
      <c r="L741" s="14">
        <f>200-SUM(Table3[[#This Row],[D - LIGHT]:[D - VIGOROUS]])</f>
        <v>79.432000000000002</v>
      </c>
      <c r="M741" s="14">
        <f>'PIVOT TABLES'!$I$26</f>
        <v>65.603999999999999</v>
      </c>
      <c r="N741" s="14">
        <f>'PIVOT TABLES'!$I$27-'PIVOT TABLES'!$I$26</f>
        <v>32.802000000000007</v>
      </c>
      <c r="O741" s="14">
        <f>'PIVOT TABLES'!$I$28-'PIVOT TABLES'!$I$27</f>
        <v>32.801999999999992</v>
      </c>
      <c r="P741" s="14">
        <f>200-SUM(Table3[[#This Row],[M - LIGHT]:[M - VIGOROUS]])</f>
        <v>68.792000000000002</v>
      </c>
      <c r="Q741" s="14">
        <f>'PIVOT TABLES'!$P$26</f>
        <v>62.64</v>
      </c>
      <c r="R741" s="14">
        <f>'PIVOT TABLES'!$P$27-'PIVOT TABLES'!$P$26</f>
        <v>31.320000000000007</v>
      </c>
      <c r="S741" s="14">
        <f>'PIVOT TABLES'!$P$28-'PIVOT TABLES'!$P$27</f>
        <v>31.319999999999993</v>
      </c>
      <c r="T741" s="14">
        <f>200-SUM(Table3[[#This Row],[W - LIGHT]:[W - VIGOROUS]])</f>
        <v>74.72</v>
      </c>
      <c r="U741" s="14">
        <f>'PIVOT TABLES'!$W$26</f>
        <v>55.895999999999994</v>
      </c>
      <c r="V741" s="14">
        <f>'PIVOT TABLES'!$W$27-'PIVOT TABLES'!$W$26</f>
        <v>27.948</v>
      </c>
      <c r="W741" s="14">
        <f>'PIVOT TABLES'!$W$28-'PIVOT TABLES'!$W$27</f>
        <v>27.947999999999993</v>
      </c>
      <c r="X741" s="14">
        <f>200-SUM(Table3[[#This Row],[S - LIGHT]:[S - VIGOROUS]])</f>
        <v>88.208000000000013</v>
      </c>
    </row>
    <row r="742" spans="1:24" x14ac:dyDescent="0.25">
      <c r="A742" s="17" t="s">
        <v>59</v>
      </c>
      <c r="B742" s="13" t="str">
        <f t="shared" si="11"/>
        <v>Striker</v>
      </c>
      <c r="C742" s="7">
        <v>45342.422442129631</v>
      </c>
      <c r="D742" s="14">
        <v>4920</v>
      </c>
      <c r="E742" s="14">
        <v>36</v>
      </c>
      <c r="F742" s="14">
        <v>23</v>
      </c>
      <c r="G742" s="14">
        <v>18</v>
      </c>
      <c r="H742" s="14">
        <v>51.56</v>
      </c>
      <c r="I742" s="14">
        <f>'PIVOT TABLES'!$B$26</f>
        <v>60.283999999999999</v>
      </c>
      <c r="J742" s="14">
        <f>'PIVOT TABLES'!$B$27-'PIVOT TABLES'!$B$26</f>
        <v>30.142000000000003</v>
      </c>
      <c r="K742" s="14">
        <f>'PIVOT TABLES'!$B$28-'PIVOT TABLES'!$B$27</f>
        <v>30.141999999999996</v>
      </c>
      <c r="L742" s="14">
        <f>200-SUM(Table3[[#This Row],[D - LIGHT]:[D - VIGOROUS]])</f>
        <v>79.432000000000002</v>
      </c>
      <c r="M742" s="14">
        <f>'PIVOT TABLES'!$I$26</f>
        <v>65.603999999999999</v>
      </c>
      <c r="N742" s="14">
        <f>'PIVOT TABLES'!$I$27-'PIVOT TABLES'!$I$26</f>
        <v>32.802000000000007</v>
      </c>
      <c r="O742" s="14">
        <f>'PIVOT TABLES'!$I$28-'PIVOT TABLES'!$I$27</f>
        <v>32.801999999999992</v>
      </c>
      <c r="P742" s="14">
        <f>200-SUM(Table3[[#This Row],[M - LIGHT]:[M - VIGOROUS]])</f>
        <v>68.792000000000002</v>
      </c>
      <c r="Q742" s="14">
        <f>'PIVOT TABLES'!$P$26</f>
        <v>62.64</v>
      </c>
      <c r="R742" s="14">
        <f>'PIVOT TABLES'!$P$27-'PIVOT TABLES'!$P$26</f>
        <v>31.320000000000007</v>
      </c>
      <c r="S742" s="14">
        <f>'PIVOT TABLES'!$P$28-'PIVOT TABLES'!$P$27</f>
        <v>31.319999999999993</v>
      </c>
      <c r="T742" s="14">
        <f>200-SUM(Table3[[#This Row],[W - LIGHT]:[W - VIGOROUS]])</f>
        <v>74.72</v>
      </c>
      <c r="U742" s="14">
        <f>'PIVOT TABLES'!$W$26</f>
        <v>55.895999999999994</v>
      </c>
      <c r="V742" s="14">
        <f>'PIVOT TABLES'!$W$27-'PIVOT TABLES'!$W$26</f>
        <v>27.948</v>
      </c>
      <c r="W742" s="14">
        <f>'PIVOT TABLES'!$W$28-'PIVOT TABLES'!$W$27</f>
        <v>27.947999999999993</v>
      </c>
      <c r="X742" s="14">
        <f>200-SUM(Table3[[#This Row],[S - LIGHT]:[S - VIGOROUS]])</f>
        <v>88.208000000000013</v>
      </c>
    </row>
    <row r="743" spans="1:24" x14ac:dyDescent="0.25">
      <c r="A743" s="17" t="s">
        <v>4</v>
      </c>
      <c r="B743" s="13" t="str">
        <f t="shared" si="11"/>
        <v>Midfielder</v>
      </c>
      <c r="C743" s="7">
        <v>45342.422442129631</v>
      </c>
      <c r="D743" s="14">
        <v>3284</v>
      </c>
      <c r="E743" s="14">
        <v>38</v>
      </c>
      <c r="F743" s="14">
        <v>9</v>
      </c>
      <c r="G743" s="14">
        <v>4</v>
      </c>
      <c r="H743" s="14">
        <v>34.42</v>
      </c>
      <c r="I743" s="14">
        <f>'PIVOT TABLES'!$B$26</f>
        <v>60.283999999999999</v>
      </c>
      <c r="J743" s="14">
        <f>'PIVOT TABLES'!$B$27-'PIVOT TABLES'!$B$26</f>
        <v>30.142000000000003</v>
      </c>
      <c r="K743" s="14">
        <f>'PIVOT TABLES'!$B$28-'PIVOT TABLES'!$B$27</f>
        <v>30.141999999999996</v>
      </c>
      <c r="L743" s="14">
        <f>200-SUM(Table3[[#This Row],[D - LIGHT]:[D - VIGOROUS]])</f>
        <v>79.432000000000002</v>
      </c>
      <c r="M743" s="14">
        <f>'PIVOT TABLES'!$I$26</f>
        <v>65.603999999999999</v>
      </c>
      <c r="N743" s="14">
        <f>'PIVOT TABLES'!$I$27-'PIVOT TABLES'!$I$26</f>
        <v>32.802000000000007</v>
      </c>
      <c r="O743" s="14">
        <f>'PIVOT TABLES'!$I$28-'PIVOT TABLES'!$I$27</f>
        <v>32.801999999999992</v>
      </c>
      <c r="P743" s="14">
        <f>200-SUM(Table3[[#This Row],[M - LIGHT]:[M - VIGOROUS]])</f>
        <v>68.792000000000002</v>
      </c>
      <c r="Q743" s="14">
        <f>'PIVOT TABLES'!$P$26</f>
        <v>62.64</v>
      </c>
      <c r="R743" s="14">
        <f>'PIVOT TABLES'!$P$27-'PIVOT TABLES'!$P$26</f>
        <v>31.320000000000007</v>
      </c>
      <c r="S743" s="14">
        <f>'PIVOT TABLES'!$P$28-'PIVOT TABLES'!$P$27</f>
        <v>31.319999999999993</v>
      </c>
      <c r="T743" s="14">
        <f>200-SUM(Table3[[#This Row],[W - LIGHT]:[W - VIGOROUS]])</f>
        <v>74.72</v>
      </c>
      <c r="U743" s="14">
        <f>'PIVOT TABLES'!$W$26</f>
        <v>55.895999999999994</v>
      </c>
      <c r="V743" s="14">
        <f>'PIVOT TABLES'!$W$27-'PIVOT TABLES'!$W$26</f>
        <v>27.948</v>
      </c>
      <c r="W743" s="14">
        <f>'PIVOT TABLES'!$W$28-'PIVOT TABLES'!$W$27</f>
        <v>27.947999999999993</v>
      </c>
      <c r="X743" s="14">
        <f>200-SUM(Table3[[#This Row],[S - LIGHT]:[S - VIGOROUS]])</f>
        <v>88.208000000000013</v>
      </c>
    </row>
    <row r="744" spans="1:24" x14ac:dyDescent="0.25">
      <c r="A744" s="17" t="s">
        <v>60</v>
      </c>
      <c r="B744" s="13" t="str">
        <f t="shared" si="11"/>
        <v>Winger</v>
      </c>
      <c r="C744" s="7">
        <v>45342.422442129631</v>
      </c>
      <c r="D744" s="14">
        <v>3611</v>
      </c>
      <c r="E744" s="14">
        <v>111</v>
      </c>
      <c r="F744" s="14">
        <v>6</v>
      </c>
      <c r="G744" s="14">
        <v>5</v>
      </c>
      <c r="H744" s="14">
        <v>39.78</v>
      </c>
      <c r="I744" s="14">
        <f>'PIVOT TABLES'!$B$26</f>
        <v>60.283999999999999</v>
      </c>
      <c r="J744" s="14">
        <f>'PIVOT TABLES'!$B$27-'PIVOT TABLES'!$B$26</f>
        <v>30.142000000000003</v>
      </c>
      <c r="K744" s="14">
        <f>'PIVOT TABLES'!$B$28-'PIVOT TABLES'!$B$27</f>
        <v>30.141999999999996</v>
      </c>
      <c r="L744" s="14">
        <f>200-SUM(Table3[[#This Row],[D - LIGHT]:[D - VIGOROUS]])</f>
        <v>79.432000000000002</v>
      </c>
      <c r="M744" s="14">
        <f>'PIVOT TABLES'!$I$26</f>
        <v>65.603999999999999</v>
      </c>
      <c r="N744" s="14">
        <f>'PIVOT TABLES'!$I$27-'PIVOT TABLES'!$I$26</f>
        <v>32.802000000000007</v>
      </c>
      <c r="O744" s="14">
        <f>'PIVOT TABLES'!$I$28-'PIVOT TABLES'!$I$27</f>
        <v>32.801999999999992</v>
      </c>
      <c r="P744" s="14">
        <f>200-SUM(Table3[[#This Row],[M - LIGHT]:[M - VIGOROUS]])</f>
        <v>68.792000000000002</v>
      </c>
      <c r="Q744" s="14">
        <f>'PIVOT TABLES'!$P$26</f>
        <v>62.64</v>
      </c>
      <c r="R744" s="14">
        <f>'PIVOT TABLES'!$P$27-'PIVOT TABLES'!$P$26</f>
        <v>31.320000000000007</v>
      </c>
      <c r="S744" s="14">
        <f>'PIVOT TABLES'!$P$28-'PIVOT TABLES'!$P$27</f>
        <v>31.319999999999993</v>
      </c>
      <c r="T744" s="14">
        <f>200-SUM(Table3[[#This Row],[W - LIGHT]:[W - VIGOROUS]])</f>
        <v>74.72</v>
      </c>
      <c r="U744" s="14">
        <f>'PIVOT TABLES'!$W$26</f>
        <v>55.895999999999994</v>
      </c>
      <c r="V744" s="14">
        <f>'PIVOT TABLES'!$W$27-'PIVOT TABLES'!$W$26</f>
        <v>27.948</v>
      </c>
      <c r="W744" s="14">
        <f>'PIVOT TABLES'!$W$28-'PIVOT TABLES'!$W$27</f>
        <v>27.947999999999993</v>
      </c>
      <c r="X744" s="14">
        <f>200-SUM(Table3[[#This Row],[S - LIGHT]:[S - VIGOROUS]])</f>
        <v>88.208000000000013</v>
      </c>
    </row>
    <row r="745" spans="1:24" x14ac:dyDescent="0.25">
      <c r="A745" s="17" t="s">
        <v>71</v>
      </c>
      <c r="B745" s="13" t="str">
        <f t="shared" si="11"/>
        <v>Midfielder</v>
      </c>
      <c r="C745" s="7">
        <v>45342.422442129631</v>
      </c>
      <c r="D745" s="14">
        <v>4350</v>
      </c>
      <c r="E745" s="14">
        <v>0</v>
      </c>
      <c r="F745" s="14">
        <v>2</v>
      </c>
      <c r="G745" s="14">
        <v>3</v>
      </c>
      <c r="H745" s="14">
        <v>43.64</v>
      </c>
      <c r="I745" s="14">
        <f>'PIVOT TABLES'!$B$26</f>
        <v>60.283999999999999</v>
      </c>
      <c r="J745" s="14">
        <f>'PIVOT TABLES'!$B$27-'PIVOT TABLES'!$B$26</f>
        <v>30.142000000000003</v>
      </c>
      <c r="K745" s="14">
        <f>'PIVOT TABLES'!$B$28-'PIVOT TABLES'!$B$27</f>
        <v>30.141999999999996</v>
      </c>
      <c r="L745" s="14">
        <f>200-SUM(Table3[[#This Row],[D - LIGHT]:[D - VIGOROUS]])</f>
        <v>79.432000000000002</v>
      </c>
      <c r="M745" s="14">
        <f>'PIVOT TABLES'!$I$26</f>
        <v>65.603999999999999</v>
      </c>
      <c r="N745" s="14">
        <f>'PIVOT TABLES'!$I$27-'PIVOT TABLES'!$I$26</f>
        <v>32.802000000000007</v>
      </c>
      <c r="O745" s="14">
        <f>'PIVOT TABLES'!$I$28-'PIVOT TABLES'!$I$27</f>
        <v>32.801999999999992</v>
      </c>
      <c r="P745" s="14">
        <f>200-SUM(Table3[[#This Row],[M - LIGHT]:[M - VIGOROUS]])</f>
        <v>68.792000000000002</v>
      </c>
      <c r="Q745" s="14">
        <f>'PIVOT TABLES'!$P$26</f>
        <v>62.64</v>
      </c>
      <c r="R745" s="14">
        <f>'PIVOT TABLES'!$P$27-'PIVOT TABLES'!$P$26</f>
        <v>31.320000000000007</v>
      </c>
      <c r="S745" s="14">
        <f>'PIVOT TABLES'!$P$28-'PIVOT TABLES'!$P$27</f>
        <v>31.319999999999993</v>
      </c>
      <c r="T745" s="14">
        <f>200-SUM(Table3[[#This Row],[W - LIGHT]:[W - VIGOROUS]])</f>
        <v>74.72</v>
      </c>
      <c r="U745" s="14">
        <f>'PIVOT TABLES'!$W$26</f>
        <v>55.895999999999994</v>
      </c>
      <c r="V745" s="14">
        <f>'PIVOT TABLES'!$W$27-'PIVOT TABLES'!$W$26</f>
        <v>27.948</v>
      </c>
      <c r="W745" s="14">
        <f>'PIVOT TABLES'!$W$28-'PIVOT TABLES'!$W$27</f>
        <v>27.947999999999993</v>
      </c>
      <c r="X745" s="14">
        <f>200-SUM(Table3[[#This Row],[S - LIGHT]:[S - VIGOROUS]])</f>
        <v>88.208000000000013</v>
      </c>
    </row>
    <row r="746" spans="1:24" x14ac:dyDescent="0.25">
      <c r="A746" s="17" t="s">
        <v>5</v>
      </c>
      <c r="B746" s="13" t="str">
        <f t="shared" si="11"/>
        <v>Midfielder</v>
      </c>
      <c r="C746" s="7">
        <v>45342.422442129631</v>
      </c>
      <c r="D746" s="14">
        <v>3760</v>
      </c>
      <c r="E746" s="14">
        <v>53</v>
      </c>
      <c r="F746" s="14">
        <v>8</v>
      </c>
      <c r="G746" s="14">
        <v>13</v>
      </c>
      <c r="H746" s="14">
        <v>39.770000000000003</v>
      </c>
      <c r="I746" s="14">
        <f>'PIVOT TABLES'!$B$26</f>
        <v>60.283999999999999</v>
      </c>
      <c r="J746" s="14">
        <f>'PIVOT TABLES'!$B$27-'PIVOT TABLES'!$B$26</f>
        <v>30.142000000000003</v>
      </c>
      <c r="K746" s="14">
        <f>'PIVOT TABLES'!$B$28-'PIVOT TABLES'!$B$27</f>
        <v>30.141999999999996</v>
      </c>
      <c r="L746" s="14">
        <f>200-SUM(Table3[[#This Row],[D - LIGHT]:[D - VIGOROUS]])</f>
        <v>79.432000000000002</v>
      </c>
      <c r="M746" s="14">
        <f>'PIVOT TABLES'!$I$26</f>
        <v>65.603999999999999</v>
      </c>
      <c r="N746" s="14">
        <f>'PIVOT TABLES'!$I$27-'PIVOT TABLES'!$I$26</f>
        <v>32.802000000000007</v>
      </c>
      <c r="O746" s="14">
        <f>'PIVOT TABLES'!$I$28-'PIVOT TABLES'!$I$27</f>
        <v>32.801999999999992</v>
      </c>
      <c r="P746" s="14">
        <f>200-SUM(Table3[[#This Row],[M - LIGHT]:[M - VIGOROUS]])</f>
        <v>68.792000000000002</v>
      </c>
      <c r="Q746" s="14">
        <f>'PIVOT TABLES'!$P$26</f>
        <v>62.64</v>
      </c>
      <c r="R746" s="14">
        <f>'PIVOT TABLES'!$P$27-'PIVOT TABLES'!$P$26</f>
        <v>31.320000000000007</v>
      </c>
      <c r="S746" s="14">
        <f>'PIVOT TABLES'!$P$28-'PIVOT TABLES'!$P$27</f>
        <v>31.319999999999993</v>
      </c>
      <c r="T746" s="14">
        <f>200-SUM(Table3[[#This Row],[W - LIGHT]:[W - VIGOROUS]])</f>
        <v>74.72</v>
      </c>
      <c r="U746" s="14">
        <f>'PIVOT TABLES'!$W$26</f>
        <v>55.895999999999994</v>
      </c>
      <c r="V746" s="14">
        <f>'PIVOT TABLES'!$W$27-'PIVOT TABLES'!$W$26</f>
        <v>27.948</v>
      </c>
      <c r="W746" s="14">
        <f>'PIVOT TABLES'!$W$28-'PIVOT TABLES'!$W$27</f>
        <v>27.947999999999993</v>
      </c>
      <c r="X746" s="14">
        <f>200-SUM(Table3[[#This Row],[S - LIGHT]:[S - VIGOROUS]])</f>
        <v>88.208000000000013</v>
      </c>
    </row>
    <row r="747" spans="1:24" x14ac:dyDescent="0.25">
      <c r="A747" s="17" t="s">
        <v>6</v>
      </c>
      <c r="B747" s="13" t="str">
        <f t="shared" si="11"/>
        <v>Midfielder</v>
      </c>
      <c r="C747" s="7">
        <v>45342.422442129631</v>
      </c>
      <c r="D747" s="14">
        <v>4112</v>
      </c>
      <c r="E747" s="14">
        <v>77</v>
      </c>
      <c r="F747" s="14">
        <v>10</v>
      </c>
      <c r="G747" s="14">
        <v>7</v>
      </c>
      <c r="H747" s="14">
        <v>43.97</v>
      </c>
      <c r="I747" s="14">
        <f>'PIVOT TABLES'!$B$26</f>
        <v>60.283999999999999</v>
      </c>
      <c r="J747" s="14">
        <f>'PIVOT TABLES'!$B$27-'PIVOT TABLES'!$B$26</f>
        <v>30.142000000000003</v>
      </c>
      <c r="K747" s="14">
        <f>'PIVOT TABLES'!$B$28-'PIVOT TABLES'!$B$27</f>
        <v>30.141999999999996</v>
      </c>
      <c r="L747" s="14">
        <f>200-SUM(Table3[[#This Row],[D - LIGHT]:[D - VIGOROUS]])</f>
        <v>79.432000000000002</v>
      </c>
      <c r="M747" s="14">
        <f>'PIVOT TABLES'!$I$26</f>
        <v>65.603999999999999</v>
      </c>
      <c r="N747" s="14">
        <f>'PIVOT TABLES'!$I$27-'PIVOT TABLES'!$I$26</f>
        <v>32.802000000000007</v>
      </c>
      <c r="O747" s="14">
        <f>'PIVOT TABLES'!$I$28-'PIVOT TABLES'!$I$27</f>
        <v>32.801999999999992</v>
      </c>
      <c r="P747" s="14">
        <f>200-SUM(Table3[[#This Row],[M - LIGHT]:[M - VIGOROUS]])</f>
        <v>68.792000000000002</v>
      </c>
      <c r="Q747" s="14">
        <f>'PIVOT TABLES'!$P$26</f>
        <v>62.64</v>
      </c>
      <c r="R747" s="14">
        <f>'PIVOT TABLES'!$P$27-'PIVOT TABLES'!$P$26</f>
        <v>31.320000000000007</v>
      </c>
      <c r="S747" s="14">
        <f>'PIVOT TABLES'!$P$28-'PIVOT TABLES'!$P$27</f>
        <v>31.319999999999993</v>
      </c>
      <c r="T747" s="14">
        <f>200-SUM(Table3[[#This Row],[W - LIGHT]:[W - VIGOROUS]])</f>
        <v>74.72</v>
      </c>
      <c r="U747" s="14">
        <f>'PIVOT TABLES'!$W$26</f>
        <v>55.895999999999994</v>
      </c>
      <c r="V747" s="14">
        <f>'PIVOT TABLES'!$W$27-'PIVOT TABLES'!$W$26</f>
        <v>27.948</v>
      </c>
      <c r="W747" s="14">
        <f>'PIVOT TABLES'!$W$28-'PIVOT TABLES'!$W$27</f>
        <v>27.947999999999993</v>
      </c>
      <c r="X747" s="14">
        <f>200-SUM(Table3[[#This Row],[S - LIGHT]:[S - VIGOROUS]])</f>
        <v>88.208000000000013</v>
      </c>
    </row>
    <row r="748" spans="1:24" x14ac:dyDescent="0.25">
      <c r="A748" s="17" t="s">
        <v>62</v>
      </c>
      <c r="B748" s="13" t="str">
        <f t="shared" si="11"/>
        <v>Midfielder</v>
      </c>
      <c r="C748" s="7">
        <v>45342.422442129631</v>
      </c>
      <c r="D748" s="14">
        <v>4018</v>
      </c>
      <c r="E748" s="14">
        <v>0</v>
      </c>
      <c r="F748" s="14">
        <v>9</v>
      </c>
      <c r="G748" s="14">
        <v>13</v>
      </c>
      <c r="H748" s="14">
        <v>40.799999999999997</v>
      </c>
      <c r="I748" s="14">
        <f>'PIVOT TABLES'!$B$26</f>
        <v>60.283999999999999</v>
      </c>
      <c r="J748" s="14">
        <f>'PIVOT TABLES'!$B$27-'PIVOT TABLES'!$B$26</f>
        <v>30.142000000000003</v>
      </c>
      <c r="K748" s="14">
        <f>'PIVOT TABLES'!$B$28-'PIVOT TABLES'!$B$27</f>
        <v>30.141999999999996</v>
      </c>
      <c r="L748" s="14">
        <f>200-SUM(Table3[[#This Row],[D - LIGHT]:[D - VIGOROUS]])</f>
        <v>79.432000000000002</v>
      </c>
      <c r="M748" s="14">
        <f>'PIVOT TABLES'!$I$26</f>
        <v>65.603999999999999</v>
      </c>
      <c r="N748" s="14">
        <f>'PIVOT TABLES'!$I$27-'PIVOT TABLES'!$I$26</f>
        <v>32.802000000000007</v>
      </c>
      <c r="O748" s="14">
        <f>'PIVOT TABLES'!$I$28-'PIVOT TABLES'!$I$27</f>
        <v>32.801999999999992</v>
      </c>
      <c r="P748" s="14">
        <f>200-SUM(Table3[[#This Row],[M - LIGHT]:[M - VIGOROUS]])</f>
        <v>68.792000000000002</v>
      </c>
      <c r="Q748" s="14">
        <f>'PIVOT TABLES'!$P$26</f>
        <v>62.64</v>
      </c>
      <c r="R748" s="14">
        <f>'PIVOT TABLES'!$P$27-'PIVOT TABLES'!$P$26</f>
        <v>31.320000000000007</v>
      </c>
      <c r="S748" s="14">
        <f>'PIVOT TABLES'!$P$28-'PIVOT TABLES'!$P$27</f>
        <v>31.319999999999993</v>
      </c>
      <c r="T748" s="14">
        <f>200-SUM(Table3[[#This Row],[W - LIGHT]:[W - VIGOROUS]])</f>
        <v>74.72</v>
      </c>
      <c r="U748" s="14">
        <f>'PIVOT TABLES'!$W$26</f>
        <v>55.895999999999994</v>
      </c>
      <c r="V748" s="14">
        <f>'PIVOT TABLES'!$W$27-'PIVOT TABLES'!$W$26</f>
        <v>27.948</v>
      </c>
      <c r="W748" s="14">
        <f>'PIVOT TABLES'!$W$28-'PIVOT TABLES'!$W$27</f>
        <v>27.947999999999993</v>
      </c>
      <c r="X748" s="14">
        <f>200-SUM(Table3[[#This Row],[S - LIGHT]:[S - VIGOROUS]])</f>
        <v>88.208000000000013</v>
      </c>
    </row>
    <row r="749" spans="1:24" x14ac:dyDescent="0.25">
      <c r="A749" s="17" t="s">
        <v>64</v>
      </c>
      <c r="B749" s="13" t="str">
        <f t="shared" si="11"/>
        <v>Midfielder</v>
      </c>
      <c r="C749" s="7">
        <v>45342.422442129631</v>
      </c>
      <c r="D749" s="14">
        <v>4548</v>
      </c>
      <c r="E749" s="14">
        <v>0</v>
      </c>
      <c r="F749" s="14">
        <v>14</v>
      </c>
      <c r="G749" s="14">
        <v>14</v>
      </c>
      <c r="H749" s="14">
        <v>46.32</v>
      </c>
      <c r="I749" s="14">
        <f>'PIVOT TABLES'!$B$26</f>
        <v>60.283999999999999</v>
      </c>
      <c r="J749" s="14">
        <f>'PIVOT TABLES'!$B$27-'PIVOT TABLES'!$B$26</f>
        <v>30.142000000000003</v>
      </c>
      <c r="K749" s="14">
        <f>'PIVOT TABLES'!$B$28-'PIVOT TABLES'!$B$27</f>
        <v>30.141999999999996</v>
      </c>
      <c r="L749" s="14">
        <f>200-SUM(Table3[[#This Row],[D - LIGHT]:[D - VIGOROUS]])</f>
        <v>79.432000000000002</v>
      </c>
      <c r="M749" s="14">
        <f>'PIVOT TABLES'!$I$26</f>
        <v>65.603999999999999</v>
      </c>
      <c r="N749" s="14">
        <f>'PIVOT TABLES'!$I$27-'PIVOT TABLES'!$I$26</f>
        <v>32.802000000000007</v>
      </c>
      <c r="O749" s="14">
        <f>'PIVOT TABLES'!$I$28-'PIVOT TABLES'!$I$27</f>
        <v>32.801999999999992</v>
      </c>
      <c r="P749" s="14">
        <f>200-SUM(Table3[[#This Row],[M - LIGHT]:[M - VIGOROUS]])</f>
        <v>68.792000000000002</v>
      </c>
      <c r="Q749" s="14">
        <f>'PIVOT TABLES'!$P$26</f>
        <v>62.64</v>
      </c>
      <c r="R749" s="14">
        <f>'PIVOT TABLES'!$P$27-'PIVOT TABLES'!$P$26</f>
        <v>31.320000000000007</v>
      </c>
      <c r="S749" s="14">
        <f>'PIVOT TABLES'!$P$28-'PIVOT TABLES'!$P$27</f>
        <v>31.319999999999993</v>
      </c>
      <c r="T749" s="14">
        <f>200-SUM(Table3[[#This Row],[W - LIGHT]:[W - VIGOROUS]])</f>
        <v>74.72</v>
      </c>
      <c r="U749" s="14">
        <f>'PIVOT TABLES'!$W$26</f>
        <v>55.895999999999994</v>
      </c>
      <c r="V749" s="14">
        <f>'PIVOT TABLES'!$W$27-'PIVOT TABLES'!$W$26</f>
        <v>27.948</v>
      </c>
      <c r="W749" s="14">
        <f>'PIVOT TABLES'!$W$28-'PIVOT TABLES'!$W$27</f>
        <v>27.947999999999993</v>
      </c>
      <c r="X749" s="14">
        <f>200-SUM(Table3[[#This Row],[S - LIGHT]:[S - VIGOROUS]])</f>
        <v>88.208000000000013</v>
      </c>
    </row>
    <row r="750" spans="1:24" x14ac:dyDescent="0.25">
      <c r="A750" s="17" t="s">
        <v>65</v>
      </c>
      <c r="B750" s="13" t="str">
        <f t="shared" si="11"/>
        <v>Winger</v>
      </c>
      <c r="C750" s="7">
        <v>45342.422442129631</v>
      </c>
      <c r="D750" s="14">
        <v>3489</v>
      </c>
      <c r="E750" s="14">
        <v>37</v>
      </c>
      <c r="F750" s="14">
        <v>10</v>
      </c>
      <c r="G750" s="14">
        <v>4</v>
      </c>
      <c r="H750" s="14">
        <v>36.479999999999997</v>
      </c>
      <c r="I750" s="14">
        <f>'PIVOT TABLES'!$B$26</f>
        <v>60.283999999999999</v>
      </c>
      <c r="J750" s="14">
        <f>'PIVOT TABLES'!$B$27-'PIVOT TABLES'!$B$26</f>
        <v>30.142000000000003</v>
      </c>
      <c r="K750" s="14">
        <f>'PIVOT TABLES'!$B$28-'PIVOT TABLES'!$B$27</f>
        <v>30.141999999999996</v>
      </c>
      <c r="L750" s="14">
        <f>200-SUM(Table3[[#This Row],[D - LIGHT]:[D - VIGOROUS]])</f>
        <v>79.432000000000002</v>
      </c>
      <c r="M750" s="14">
        <f>'PIVOT TABLES'!$I$26</f>
        <v>65.603999999999999</v>
      </c>
      <c r="N750" s="14">
        <f>'PIVOT TABLES'!$I$27-'PIVOT TABLES'!$I$26</f>
        <v>32.802000000000007</v>
      </c>
      <c r="O750" s="14">
        <f>'PIVOT TABLES'!$I$28-'PIVOT TABLES'!$I$27</f>
        <v>32.801999999999992</v>
      </c>
      <c r="P750" s="14">
        <f>200-SUM(Table3[[#This Row],[M - LIGHT]:[M - VIGOROUS]])</f>
        <v>68.792000000000002</v>
      </c>
      <c r="Q750" s="14">
        <f>'PIVOT TABLES'!$P$26</f>
        <v>62.64</v>
      </c>
      <c r="R750" s="14">
        <f>'PIVOT TABLES'!$P$27-'PIVOT TABLES'!$P$26</f>
        <v>31.320000000000007</v>
      </c>
      <c r="S750" s="14">
        <f>'PIVOT TABLES'!$P$28-'PIVOT TABLES'!$P$27</f>
        <v>31.319999999999993</v>
      </c>
      <c r="T750" s="14">
        <f>200-SUM(Table3[[#This Row],[W - LIGHT]:[W - VIGOROUS]])</f>
        <v>74.72</v>
      </c>
      <c r="U750" s="14">
        <f>'PIVOT TABLES'!$W$26</f>
        <v>55.895999999999994</v>
      </c>
      <c r="V750" s="14">
        <f>'PIVOT TABLES'!$W$27-'PIVOT TABLES'!$W$26</f>
        <v>27.948</v>
      </c>
      <c r="W750" s="14">
        <f>'PIVOT TABLES'!$W$28-'PIVOT TABLES'!$W$27</f>
        <v>27.947999999999993</v>
      </c>
      <c r="X750" s="14">
        <f>200-SUM(Table3[[#This Row],[S - LIGHT]:[S - VIGOROUS]])</f>
        <v>88.208000000000013</v>
      </c>
    </row>
    <row r="751" spans="1:24" x14ac:dyDescent="0.25">
      <c r="A751" s="17" t="s">
        <v>66</v>
      </c>
      <c r="B751" s="13" t="str">
        <f t="shared" si="11"/>
        <v>Striker</v>
      </c>
      <c r="C751" s="7">
        <v>45342.422442129631</v>
      </c>
      <c r="D751" s="14">
        <v>3753</v>
      </c>
      <c r="E751" s="14">
        <v>6</v>
      </c>
      <c r="F751" s="14">
        <v>14</v>
      </c>
      <c r="G751" s="14">
        <v>13</v>
      </c>
      <c r="H751" s="14">
        <v>38.53</v>
      </c>
      <c r="I751" s="14">
        <f>'PIVOT TABLES'!$B$26</f>
        <v>60.283999999999999</v>
      </c>
      <c r="J751" s="14">
        <f>'PIVOT TABLES'!$B$27-'PIVOT TABLES'!$B$26</f>
        <v>30.142000000000003</v>
      </c>
      <c r="K751" s="14">
        <f>'PIVOT TABLES'!$B$28-'PIVOT TABLES'!$B$27</f>
        <v>30.141999999999996</v>
      </c>
      <c r="L751" s="14">
        <f>200-SUM(Table3[[#This Row],[D - LIGHT]:[D - VIGOROUS]])</f>
        <v>79.432000000000002</v>
      </c>
      <c r="M751" s="14">
        <f>'PIVOT TABLES'!$I$26</f>
        <v>65.603999999999999</v>
      </c>
      <c r="N751" s="14">
        <f>'PIVOT TABLES'!$I$27-'PIVOT TABLES'!$I$26</f>
        <v>32.802000000000007</v>
      </c>
      <c r="O751" s="14">
        <f>'PIVOT TABLES'!$I$28-'PIVOT TABLES'!$I$27</f>
        <v>32.801999999999992</v>
      </c>
      <c r="P751" s="14">
        <f>200-SUM(Table3[[#This Row],[M - LIGHT]:[M - VIGOROUS]])</f>
        <v>68.792000000000002</v>
      </c>
      <c r="Q751" s="14">
        <f>'PIVOT TABLES'!$P$26</f>
        <v>62.64</v>
      </c>
      <c r="R751" s="14">
        <f>'PIVOT TABLES'!$P$27-'PIVOT TABLES'!$P$26</f>
        <v>31.320000000000007</v>
      </c>
      <c r="S751" s="14">
        <f>'PIVOT TABLES'!$P$28-'PIVOT TABLES'!$P$27</f>
        <v>31.319999999999993</v>
      </c>
      <c r="T751" s="14">
        <f>200-SUM(Table3[[#This Row],[W - LIGHT]:[W - VIGOROUS]])</f>
        <v>74.72</v>
      </c>
      <c r="U751" s="14">
        <f>'PIVOT TABLES'!$W$26</f>
        <v>55.895999999999994</v>
      </c>
      <c r="V751" s="14">
        <f>'PIVOT TABLES'!$W$27-'PIVOT TABLES'!$W$26</f>
        <v>27.948</v>
      </c>
      <c r="W751" s="14">
        <f>'PIVOT TABLES'!$W$28-'PIVOT TABLES'!$W$27</f>
        <v>27.947999999999993</v>
      </c>
      <c r="X751" s="14">
        <f>200-SUM(Table3[[#This Row],[S - LIGHT]:[S - VIGOROUS]])</f>
        <v>88.208000000000013</v>
      </c>
    </row>
    <row r="752" spans="1:24" x14ac:dyDescent="0.25">
      <c r="A752" s="17" t="s">
        <v>78</v>
      </c>
      <c r="B752" s="13" t="str">
        <f t="shared" si="11"/>
        <v>Defender</v>
      </c>
      <c r="C752" s="7">
        <v>45342.422442129631</v>
      </c>
      <c r="D752" s="14">
        <v>3477</v>
      </c>
      <c r="E752" s="14">
        <v>0</v>
      </c>
      <c r="F752" s="14">
        <v>0</v>
      </c>
      <c r="G752" s="14">
        <v>8</v>
      </c>
      <c r="H752" s="14">
        <v>34.93</v>
      </c>
      <c r="I752" s="14">
        <f>'PIVOT TABLES'!$B$26</f>
        <v>60.283999999999999</v>
      </c>
      <c r="J752" s="14">
        <f>'PIVOT TABLES'!$B$27-'PIVOT TABLES'!$B$26</f>
        <v>30.142000000000003</v>
      </c>
      <c r="K752" s="14">
        <f>'PIVOT TABLES'!$B$28-'PIVOT TABLES'!$B$27</f>
        <v>30.141999999999996</v>
      </c>
      <c r="L752" s="14">
        <f>200-SUM(Table3[[#This Row],[D - LIGHT]:[D - VIGOROUS]])</f>
        <v>79.432000000000002</v>
      </c>
      <c r="M752" s="14">
        <f>'PIVOT TABLES'!$I$26</f>
        <v>65.603999999999999</v>
      </c>
      <c r="N752" s="14">
        <f>'PIVOT TABLES'!$I$27-'PIVOT TABLES'!$I$26</f>
        <v>32.802000000000007</v>
      </c>
      <c r="O752" s="14">
        <f>'PIVOT TABLES'!$I$28-'PIVOT TABLES'!$I$27</f>
        <v>32.801999999999992</v>
      </c>
      <c r="P752" s="14">
        <f>200-SUM(Table3[[#This Row],[M - LIGHT]:[M - VIGOROUS]])</f>
        <v>68.792000000000002</v>
      </c>
      <c r="Q752" s="14">
        <f>'PIVOT TABLES'!$P$26</f>
        <v>62.64</v>
      </c>
      <c r="R752" s="14">
        <f>'PIVOT TABLES'!$P$27-'PIVOT TABLES'!$P$26</f>
        <v>31.320000000000007</v>
      </c>
      <c r="S752" s="14">
        <f>'PIVOT TABLES'!$P$28-'PIVOT TABLES'!$P$27</f>
        <v>31.319999999999993</v>
      </c>
      <c r="T752" s="14">
        <f>200-SUM(Table3[[#This Row],[W - LIGHT]:[W - VIGOROUS]])</f>
        <v>74.72</v>
      </c>
      <c r="U752" s="14">
        <f>'PIVOT TABLES'!$W$26</f>
        <v>55.895999999999994</v>
      </c>
      <c r="V752" s="14">
        <f>'PIVOT TABLES'!$W$27-'PIVOT TABLES'!$W$26</f>
        <v>27.948</v>
      </c>
      <c r="W752" s="14">
        <f>'PIVOT TABLES'!$W$28-'PIVOT TABLES'!$W$27</f>
        <v>27.947999999999993</v>
      </c>
      <c r="X752" s="14">
        <f>200-SUM(Table3[[#This Row],[S - LIGHT]:[S - VIGOROUS]])</f>
        <v>88.208000000000013</v>
      </c>
    </row>
    <row r="753" spans="1:24" x14ac:dyDescent="0.25">
      <c r="A753" s="17" t="s">
        <v>7</v>
      </c>
      <c r="B753" s="13" t="str">
        <f t="shared" si="11"/>
        <v>Winger</v>
      </c>
      <c r="C753" s="7">
        <v>45342.422442129631</v>
      </c>
      <c r="D753" s="14">
        <v>3652</v>
      </c>
      <c r="E753" s="14">
        <v>85</v>
      </c>
      <c r="F753" s="14">
        <v>9</v>
      </c>
      <c r="G753" s="14">
        <v>3</v>
      </c>
      <c r="H753" s="14">
        <v>39.49</v>
      </c>
      <c r="I753" s="14">
        <f>'PIVOT TABLES'!$B$26</f>
        <v>60.283999999999999</v>
      </c>
      <c r="J753" s="14">
        <f>'PIVOT TABLES'!$B$27-'PIVOT TABLES'!$B$26</f>
        <v>30.142000000000003</v>
      </c>
      <c r="K753" s="14">
        <f>'PIVOT TABLES'!$B$28-'PIVOT TABLES'!$B$27</f>
        <v>30.141999999999996</v>
      </c>
      <c r="L753" s="14">
        <f>200-SUM(Table3[[#This Row],[D - LIGHT]:[D - VIGOROUS]])</f>
        <v>79.432000000000002</v>
      </c>
      <c r="M753" s="14">
        <f>'PIVOT TABLES'!$I$26</f>
        <v>65.603999999999999</v>
      </c>
      <c r="N753" s="14">
        <f>'PIVOT TABLES'!$I$27-'PIVOT TABLES'!$I$26</f>
        <v>32.802000000000007</v>
      </c>
      <c r="O753" s="14">
        <f>'PIVOT TABLES'!$I$28-'PIVOT TABLES'!$I$27</f>
        <v>32.801999999999992</v>
      </c>
      <c r="P753" s="14">
        <f>200-SUM(Table3[[#This Row],[M - LIGHT]:[M - VIGOROUS]])</f>
        <v>68.792000000000002</v>
      </c>
      <c r="Q753" s="14">
        <f>'PIVOT TABLES'!$P$26</f>
        <v>62.64</v>
      </c>
      <c r="R753" s="14">
        <f>'PIVOT TABLES'!$P$27-'PIVOT TABLES'!$P$26</f>
        <v>31.320000000000007</v>
      </c>
      <c r="S753" s="14">
        <f>'PIVOT TABLES'!$P$28-'PIVOT TABLES'!$P$27</f>
        <v>31.319999999999993</v>
      </c>
      <c r="T753" s="14">
        <f>200-SUM(Table3[[#This Row],[W - LIGHT]:[W - VIGOROUS]])</f>
        <v>74.72</v>
      </c>
      <c r="U753" s="14">
        <f>'PIVOT TABLES'!$W$26</f>
        <v>55.895999999999994</v>
      </c>
      <c r="V753" s="14">
        <f>'PIVOT TABLES'!$W$27-'PIVOT TABLES'!$W$26</f>
        <v>27.948</v>
      </c>
      <c r="W753" s="14">
        <f>'PIVOT TABLES'!$W$28-'PIVOT TABLES'!$W$27</f>
        <v>27.947999999999993</v>
      </c>
      <c r="X753" s="14">
        <f>200-SUM(Table3[[#This Row],[S - LIGHT]:[S - VIGOROUS]])</f>
        <v>88.208000000000013</v>
      </c>
    </row>
    <row r="754" spans="1:24" x14ac:dyDescent="0.25">
      <c r="A754" s="17" t="s">
        <v>95</v>
      </c>
      <c r="B754" s="13" t="str">
        <f t="shared" si="11"/>
        <v>Winger</v>
      </c>
      <c r="C754" s="7">
        <v>45342.422442129631</v>
      </c>
      <c r="D754" s="14">
        <v>3672</v>
      </c>
      <c r="E754" s="14">
        <v>37</v>
      </c>
      <c r="F754" s="14">
        <v>6</v>
      </c>
      <c r="G754" s="14">
        <v>0</v>
      </c>
      <c r="H754" s="14">
        <v>38.07</v>
      </c>
      <c r="I754" s="14">
        <f>'PIVOT TABLES'!$B$26</f>
        <v>60.283999999999999</v>
      </c>
      <c r="J754" s="14">
        <f>'PIVOT TABLES'!$B$27-'PIVOT TABLES'!$B$26</f>
        <v>30.142000000000003</v>
      </c>
      <c r="K754" s="14">
        <f>'PIVOT TABLES'!$B$28-'PIVOT TABLES'!$B$27</f>
        <v>30.141999999999996</v>
      </c>
      <c r="L754" s="14">
        <f>200-SUM(Table3[[#This Row],[D - LIGHT]:[D - VIGOROUS]])</f>
        <v>79.432000000000002</v>
      </c>
      <c r="M754" s="14">
        <f>'PIVOT TABLES'!$I$26</f>
        <v>65.603999999999999</v>
      </c>
      <c r="N754" s="14">
        <f>'PIVOT TABLES'!$I$27-'PIVOT TABLES'!$I$26</f>
        <v>32.802000000000007</v>
      </c>
      <c r="O754" s="14">
        <f>'PIVOT TABLES'!$I$28-'PIVOT TABLES'!$I$27</f>
        <v>32.801999999999992</v>
      </c>
      <c r="P754" s="14">
        <f>200-SUM(Table3[[#This Row],[M - LIGHT]:[M - VIGOROUS]])</f>
        <v>68.792000000000002</v>
      </c>
      <c r="Q754" s="14">
        <f>'PIVOT TABLES'!$P$26</f>
        <v>62.64</v>
      </c>
      <c r="R754" s="14">
        <f>'PIVOT TABLES'!$P$27-'PIVOT TABLES'!$P$26</f>
        <v>31.320000000000007</v>
      </c>
      <c r="S754" s="14">
        <f>'PIVOT TABLES'!$P$28-'PIVOT TABLES'!$P$27</f>
        <v>31.319999999999993</v>
      </c>
      <c r="T754" s="14">
        <f>200-SUM(Table3[[#This Row],[W - LIGHT]:[W - VIGOROUS]])</f>
        <v>74.72</v>
      </c>
      <c r="U754" s="14">
        <f>'PIVOT TABLES'!$W$26</f>
        <v>55.895999999999994</v>
      </c>
      <c r="V754" s="14">
        <f>'PIVOT TABLES'!$W$27-'PIVOT TABLES'!$W$26</f>
        <v>27.948</v>
      </c>
      <c r="W754" s="14">
        <f>'PIVOT TABLES'!$W$28-'PIVOT TABLES'!$W$27</f>
        <v>27.947999999999993</v>
      </c>
      <c r="X754" s="14">
        <f>200-SUM(Table3[[#This Row],[S - LIGHT]:[S - VIGOROUS]])</f>
        <v>88.208000000000013</v>
      </c>
    </row>
    <row r="755" spans="1:24" x14ac:dyDescent="0.25">
      <c r="A755" s="17" t="s">
        <v>96</v>
      </c>
      <c r="B755" s="13" t="str">
        <f t="shared" si="11"/>
        <v>Winger</v>
      </c>
      <c r="C755" s="7">
        <v>45342.422442129631</v>
      </c>
      <c r="D755" s="14">
        <v>2967</v>
      </c>
      <c r="E755" s="14">
        <v>0</v>
      </c>
      <c r="F755" s="14">
        <v>4</v>
      </c>
      <c r="G755" s="14">
        <v>4</v>
      </c>
      <c r="H755" s="14">
        <v>29.91</v>
      </c>
      <c r="I755" s="14">
        <f>'PIVOT TABLES'!$B$26</f>
        <v>60.283999999999999</v>
      </c>
      <c r="J755" s="14">
        <f>'PIVOT TABLES'!$B$27-'PIVOT TABLES'!$B$26</f>
        <v>30.142000000000003</v>
      </c>
      <c r="K755" s="14">
        <f>'PIVOT TABLES'!$B$28-'PIVOT TABLES'!$B$27</f>
        <v>30.141999999999996</v>
      </c>
      <c r="L755" s="14">
        <f>200-SUM(Table3[[#This Row],[D - LIGHT]:[D - VIGOROUS]])</f>
        <v>79.432000000000002</v>
      </c>
      <c r="M755" s="14">
        <f>'PIVOT TABLES'!$I$26</f>
        <v>65.603999999999999</v>
      </c>
      <c r="N755" s="14">
        <f>'PIVOT TABLES'!$I$27-'PIVOT TABLES'!$I$26</f>
        <v>32.802000000000007</v>
      </c>
      <c r="O755" s="14">
        <f>'PIVOT TABLES'!$I$28-'PIVOT TABLES'!$I$27</f>
        <v>32.801999999999992</v>
      </c>
      <c r="P755" s="14">
        <f>200-SUM(Table3[[#This Row],[M - LIGHT]:[M - VIGOROUS]])</f>
        <v>68.792000000000002</v>
      </c>
      <c r="Q755" s="14">
        <f>'PIVOT TABLES'!$P$26</f>
        <v>62.64</v>
      </c>
      <c r="R755" s="14">
        <f>'PIVOT TABLES'!$P$27-'PIVOT TABLES'!$P$26</f>
        <v>31.320000000000007</v>
      </c>
      <c r="S755" s="14">
        <f>'PIVOT TABLES'!$P$28-'PIVOT TABLES'!$P$27</f>
        <v>31.319999999999993</v>
      </c>
      <c r="T755" s="14">
        <f>200-SUM(Table3[[#This Row],[W - LIGHT]:[W - VIGOROUS]])</f>
        <v>74.72</v>
      </c>
      <c r="U755" s="14">
        <f>'PIVOT TABLES'!$W$26</f>
        <v>55.895999999999994</v>
      </c>
      <c r="V755" s="14">
        <f>'PIVOT TABLES'!$W$27-'PIVOT TABLES'!$W$26</f>
        <v>27.948</v>
      </c>
      <c r="W755" s="14">
        <f>'PIVOT TABLES'!$W$28-'PIVOT TABLES'!$W$27</f>
        <v>27.947999999999993</v>
      </c>
      <c r="X755" s="14">
        <f>200-SUM(Table3[[#This Row],[S - LIGHT]:[S - VIGOROUS]])</f>
        <v>88.208000000000013</v>
      </c>
    </row>
    <row r="756" spans="1:24" x14ac:dyDescent="0.25">
      <c r="A756" s="17" t="s">
        <v>8</v>
      </c>
      <c r="B756" s="13" t="str">
        <f t="shared" si="11"/>
        <v>Striker</v>
      </c>
      <c r="C756" s="7">
        <v>45342.422442129631</v>
      </c>
      <c r="D756" s="14">
        <v>3427</v>
      </c>
      <c r="E756" s="14">
        <v>0</v>
      </c>
      <c r="F756" s="14">
        <v>6</v>
      </c>
      <c r="G756" s="14">
        <v>15</v>
      </c>
      <c r="H756" s="14">
        <v>34.81</v>
      </c>
      <c r="I756" s="14">
        <f>'PIVOT TABLES'!$B$26</f>
        <v>60.283999999999999</v>
      </c>
      <c r="J756" s="14">
        <f>'PIVOT TABLES'!$B$27-'PIVOT TABLES'!$B$26</f>
        <v>30.142000000000003</v>
      </c>
      <c r="K756" s="14">
        <f>'PIVOT TABLES'!$B$28-'PIVOT TABLES'!$B$27</f>
        <v>30.141999999999996</v>
      </c>
      <c r="L756" s="14">
        <f>200-SUM(Table3[[#This Row],[D - LIGHT]:[D - VIGOROUS]])</f>
        <v>79.432000000000002</v>
      </c>
      <c r="M756" s="14">
        <f>'PIVOT TABLES'!$I$26</f>
        <v>65.603999999999999</v>
      </c>
      <c r="N756" s="14">
        <f>'PIVOT TABLES'!$I$27-'PIVOT TABLES'!$I$26</f>
        <v>32.802000000000007</v>
      </c>
      <c r="O756" s="14">
        <f>'PIVOT TABLES'!$I$28-'PIVOT TABLES'!$I$27</f>
        <v>32.801999999999992</v>
      </c>
      <c r="P756" s="14">
        <f>200-SUM(Table3[[#This Row],[M - LIGHT]:[M - VIGOROUS]])</f>
        <v>68.792000000000002</v>
      </c>
      <c r="Q756" s="14">
        <f>'PIVOT TABLES'!$P$26</f>
        <v>62.64</v>
      </c>
      <c r="R756" s="14">
        <f>'PIVOT TABLES'!$P$27-'PIVOT TABLES'!$P$26</f>
        <v>31.320000000000007</v>
      </c>
      <c r="S756" s="14">
        <f>'PIVOT TABLES'!$P$28-'PIVOT TABLES'!$P$27</f>
        <v>31.319999999999993</v>
      </c>
      <c r="T756" s="14">
        <f>200-SUM(Table3[[#This Row],[W - LIGHT]:[W - VIGOROUS]])</f>
        <v>74.72</v>
      </c>
      <c r="U756" s="14">
        <f>'PIVOT TABLES'!$W$26</f>
        <v>55.895999999999994</v>
      </c>
      <c r="V756" s="14">
        <f>'PIVOT TABLES'!$W$27-'PIVOT TABLES'!$W$26</f>
        <v>27.948</v>
      </c>
      <c r="W756" s="14">
        <f>'PIVOT TABLES'!$W$28-'PIVOT TABLES'!$W$27</f>
        <v>27.947999999999993</v>
      </c>
      <c r="X756" s="14">
        <f>200-SUM(Table3[[#This Row],[S - LIGHT]:[S - VIGOROUS]])</f>
        <v>88.208000000000013</v>
      </c>
    </row>
    <row r="757" spans="1:24" x14ac:dyDescent="0.25">
      <c r="A757" s="17" t="s">
        <v>67</v>
      </c>
      <c r="B757" s="13" t="str">
        <f t="shared" si="11"/>
        <v>Midfielder</v>
      </c>
      <c r="C757" s="7">
        <v>45342.422442129631</v>
      </c>
      <c r="D757" s="14">
        <v>2989</v>
      </c>
      <c r="E757" s="14">
        <v>0</v>
      </c>
      <c r="F757" s="14">
        <v>8</v>
      </c>
      <c r="G757" s="14">
        <v>9</v>
      </c>
      <c r="H757" s="14">
        <v>30.39</v>
      </c>
      <c r="I757" s="14">
        <f>'PIVOT TABLES'!$B$26</f>
        <v>60.283999999999999</v>
      </c>
      <c r="J757" s="14">
        <f>'PIVOT TABLES'!$B$27-'PIVOT TABLES'!$B$26</f>
        <v>30.142000000000003</v>
      </c>
      <c r="K757" s="14">
        <f>'PIVOT TABLES'!$B$28-'PIVOT TABLES'!$B$27</f>
        <v>30.141999999999996</v>
      </c>
      <c r="L757" s="14">
        <f>200-SUM(Table3[[#This Row],[D - LIGHT]:[D - VIGOROUS]])</f>
        <v>79.432000000000002</v>
      </c>
      <c r="M757" s="14">
        <f>'PIVOT TABLES'!$I$26</f>
        <v>65.603999999999999</v>
      </c>
      <c r="N757" s="14">
        <f>'PIVOT TABLES'!$I$27-'PIVOT TABLES'!$I$26</f>
        <v>32.802000000000007</v>
      </c>
      <c r="O757" s="14">
        <f>'PIVOT TABLES'!$I$28-'PIVOT TABLES'!$I$27</f>
        <v>32.801999999999992</v>
      </c>
      <c r="P757" s="14">
        <f>200-SUM(Table3[[#This Row],[M - LIGHT]:[M - VIGOROUS]])</f>
        <v>68.792000000000002</v>
      </c>
      <c r="Q757" s="14">
        <f>'PIVOT TABLES'!$P$26</f>
        <v>62.64</v>
      </c>
      <c r="R757" s="14">
        <f>'PIVOT TABLES'!$P$27-'PIVOT TABLES'!$P$26</f>
        <v>31.320000000000007</v>
      </c>
      <c r="S757" s="14">
        <f>'PIVOT TABLES'!$P$28-'PIVOT TABLES'!$P$27</f>
        <v>31.319999999999993</v>
      </c>
      <c r="T757" s="14">
        <f>200-SUM(Table3[[#This Row],[W - LIGHT]:[W - VIGOROUS]])</f>
        <v>74.72</v>
      </c>
      <c r="U757" s="14">
        <f>'PIVOT TABLES'!$W$26</f>
        <v>55.895999999999994</v>
      </c>
      <c r="V757" s="14">
        <f>'PIVOT TABLES'!$W$27-'PIVOT TABLES'!$W$26</f>
        <v>27.948</v>
      </c>
      <c r="W757" s="14">
        <f>'PIVOT TABLES'!$W$28-'PIVOT TABLES'!$W$27</f>
        <v>27.947999999999993</v>
      </c>
      <c r="X757" s="14">
        <f>200-SUM(Table3[[#This Row],[S - LIGHT]:[S - VIGOROUS]])</f>
        <v>88.208000000000013</v>
      </c>
    </row>
    <row r="758" spans="1:24" x14ac:dyDescent="0.25">
      <c r="A758" s="17" t="s">
        <v>9</v>
      </c>
      <c r="B758" s="13" t="str">
        <f t="shared" si="11"/>
        <v>Striker</v>
      </c>
      <c r="C758" s="7">
        <v>45342.422442129631</v>
      </c>
      <c r="D758" s="14">
        <v>4044</v>
      </c>
      <c r="E758" s="14">
        <v>0</v>
      </c>
      <c r="F758" s="14">
        <v>1</v>
      </c>
      <c r="G758" s="14">
        <v>4</v>
      </c>
      <c r="H758" s="14">
        <v>40.56</v>
      </c>
      <c r="I758" s="14">
        <f>'PIVOT TABLES'!$B$26</f>
        <v>60.283999999999999</v>
      </c>
      <c r="J758" s="14">
        <f>'PIVOT TABLES'!$B$27-'PIVOT TABLES'!$B$26</f>
        <v>30.142000000000003</v>
      </c>
      <c r="K758" s="14">
        <f>'PIVOT TABLES'!$B$28-'PIVOT TABLES'!$B$27</f>
        <v>30.141999999999996</v>
      </c>
      <c r="L758" s="14">
        <f>200-SUM(Table3[[#This Row],[D - LIGHT]:[D - VIGOROUS]])</f>
        <v>79.432000000000002</v>
      </c>
      <c r="M758" s="14">
        <f>'PIVOT TABLES'!$I$26</f>
        <v>65.603999999999999</v>
      </c>
      <c r="N758" s="14">
        <f>'PIVOT TABLES'!$I$27-'PIVOT TABLES'!$I$26</f>
        <v>32.802000000000007</v>
      </c>
      <c r="O758" s="14">
        <f>'PIVOT TABLES'!$I$28-'PIVOT TABLES'!$I$27</f>
        <v>32.801999999999992</v>
      </c>
      <c r="P758" s="14">
        <f>200-SUM(Table3[[#This Row],[M - LIGHT]:[M - VIGOROUS]])</f>
        <v>68.792000000000002</v>
      </c>
      <c r="Q758" s="14">
        <f>'PIVOT TABLES'!$P$26</f>
        <v>62.64</v>
      </c>
      <c r="R758" s="14">
        <f>'PIVOT TABLES'!$P$27-'PIVOT TABLES'!$P$26</f>
        <v>31.320000000000007</v>
      </c>
      <c r="S758" s="14">
        <f>'PIVOT TABLES'!$P$28-'PIVOT TABLES'!$P$27</f>
        <v>31.319999999999993</v>
      </c>
      <c r="T758" s="14">
        <f>200-SUM(Table3[[#This Row],[W - LIGHT]:[W - VIGOROUS]])</f>
        <v>74.72</v>
      </c>
      <c r="U758" s="14">
        <f>'PIVOT TABLES'!$W$26</f>
        <v>55.895999999999994</v>
      </c>
      <c r="V758" s="14">
        <f>'PIVOT TABLES'!$W$27-'PIVOT TABLES'!$W$26</f>
        <v>27.948</v>
      </c>
      <c r="W758" s="14">
        <f>'PIVOT TABLES'!$W$28-'PIVOT TABLES'!$W$27</f>
        <v>27.947999999999993</v>
      </c>
      <c r="X758" s="14">
        <f>200-SUM(Table3[[#This Row],[S - LIGHT]:[S - VIGOROUS]])</f>
        <v>88.208000000000013</v>
      </c>
    </row>
    <row r="759" spans="1:24" x14ac:dyDescent="0.25">
      <c r="A759" s="17" t="s">
        <v>69</v>
      </c>
      <c r="B759" s="13" t="str">
        <f t="shared" si="11"/>
        <v>Midfielder</v>
      </c>
      <c r="C759" s="7">
        <v>45342.422442129631</v>
      </c>
      <c r="D759" s="14">
        <v>4047</v>
      </c>
      <c r="E759" s="14">
        <v>114</v>
      </c>
      <c r="F759" s="14">
        <v>19</v>
      </c>
      <c r="G759" s="14">
        <v>8</v>
      </c>
      <c r="H759" s="14">
        <v>44.81</v>
      </c>
      <c r="I759" s="14">
        <f>'PIVOT TABLES'!$B$26</f>
        <v>60.283999999999999</v>
      </c>
      <c r="J759" s="14">
        <f>'PIVOT TABLES'!$B$27-'PIVOT TABLES'!$B$26</f>
        <v>30.142000000000003</v>
      </c>
      <c r="K759" s="14">
        <f>'PIVOT TABLES'!$B$28-'PIVOT TABLES'!$B$27</f>
        <v>30.141999999999996</v>
      </c>
      <c r="L759" s="14">
        <f>200-SUM(Table3[[#This Row],[D - LIGHT]:[D - VIGOROUS]])</f>
        <v>79.432000000000002</v>
      </c>
      <c r="M759" s="14">
        <f>'PIVOT TABLES'!$I$26</f>
        <v>65.603999999999999</v>
      </c>
      <c r="N759" s="14">
        <f>'PIVOT TABLES'!$I$27-'PIVOT TABLES'!$I$26</f>
        <v>32.802000000000007</v>
      </c>
      <c r="O759" s="14">
        <f>'PIVOT TABLES'!$I$28-'PIVOT TABLES'!$I$27</f>
        <v>32.801999999999992</v>
      </c>
      <c r="P759" s="14">
        <f>200-SUM(Table3[[#This Row],[M - LIGHT]:[M - VIGOROUS]])</f>
        <v>68.792000000000002</v>
      </c>
      <c r="Q759" s="14">
        <f>'PIVOT TABLES'!$P$26</f>
        <v>62.64</v>
      </c>
      <c r="R759" s="14">
        <f>'PIVOT TABLES'!$P$27-'PIVOT TABLES'!$P$26</f>
        <v>31.320000000000007</v>
      </c>
      <c r="S759" s="14">
        <f>'PIVOT TABLES'!$P$28-'PIVOT TABLES'!$P$27</f>
        <v>31.319999999999993</v>
      </c>
      <c r="T759" s="14">
        <f>200-SUM(Table3[[#This Row],[W - LIGHT]:[W - VIGOROUS]])</f>
        <v>74.72</v>
      </c>
      <c r="U759" s="14">
        <f>'PIVOT TABLES'!$W$26</f>
        <v>55.895999999999994</v>
      </c>
      <c r="V759" s="14">
        <f>'PIVOT TABLES'!$W$27-'PIVOT TABLES'!$W$26</f>
        <v>27.948</v>
      </c>
      <c r="W759" s="14">
        <f>'PIVOT TABLES'!$W$28-'PIVOT TABLES'!$W$27</f>
        <v>27.947999999999993</v>
      </c>
      <c r="X759" s="14">
        <f>200-SUM(Table3[[#This Row],[S - LIGHT]:[S - VIGOROUS]])</f>
        <v>88.208000000000013</v>
      </c>
    </row>
    <row r="760" spans="1:24" x14ac:dyDescent="0.25">
      <c r="A760" s="17" t="s">
        <v>55</v>
      </c>
      <c r="B760" s="13" t="str">
        <f t="shared" si="11"/>
        <v>Striker</v>
      </c>
      <c r="C760" s="7">
        <v>45343</v>
      </c>
      <c r="D760" s="14">
        <v>6019</v>
      </c>
      <c r="E760" s="14">
        <v>73</v>
      </c>
      <c r="F760" s="14">
        <v>23</v>
      </c>
      <c r="G760" s="14">
        <v>21</v>
      </c>
      <c r="H760" s="14">
        <v>63.72</v>
      </c>
      <c r="I760" s="14">
        <f>'PIVOT TABLES'!$B$26</f>
        <v>60.283999999999999</v>
      </c>
      <c r="J760" s="14">
        <f>'PIVOT TABLES'!$B$27-'PIVOT TABLES'!$B$26</f>
        <v>30.142000000000003</v>
      </c>
      <c r="K760" s="14">
        <f>'PIVOT TABLES'!$B$28-'PIVOT TABLES'!$B$27</f>
        <v>30.141999999999996</v>
      </c>
      <c r="L760" s="14">
        <f>200-SUM(Table3[[#This Row],[D - LIGHT]:[D - VIGOROUS]])</f>
        <v>79.432000000000002</v>
      </c>
      <c r="M760" s="14">
        <f>'PIVOT TABLES'!$I$26</f>
        <v>65.603999999999999</v>
      </c>
      <c r="N760" s="14">
        <f>'PIVOT TABLES'!$I$27-'PIVOT TABLES'!$I$26</f>
        <v>32.802000000000007</v>
      </c>
      <c r="O760" s="14">
        <f>'PIVOT TABLES'!$I$28-'PIVOT TABLES'!$I$27</f>
        <v>32.801999999999992</v>
      </c>
      <c r="P760" s="14">
        <f>200-SUM(Table3[[#This Row],[M - LIGHT]:[M - VIGOROUS]])</f>
        <v>68.792000000000002</v>
      </c>
      <c r="Q760" s="14">
        <f>'PIVOT TABLES'!$P$26</f>
        <v>62.64</v>
      </c>
      <c r="R760" s="14">
        <f>'PIVOT TABLES'!$P$27-'PIVOT TABLES'!$P$26</f>
        <v>31.320000000000007</v>
      </c>
      <c r="S760" s="14">
        <f>'PIVOT TABLES'!$P$28-'PIVOT TABLES'!$P$27</f>
        <v>31.319999999999993</v>
      </c>
      <c r="T760" s="14">
        <f>200-SUM(Table3[[#This Row],[W - LIGHT]:[W - VIGOROUS]])</f>
        <v>74.72</v>
      </c>
      <c r="U760" s="14">
        <f>'PIVOT TABLES'!$W$26</f>
        <v>55.895999999999994</v>
      </c>
      <c r="V760" s="14">
        <f>'PIVOT TABLES'!$W$27-'PIVOT TABLES'!$W$26</f>
        <v>27.948</v>
      </c>
      <c r="W760" s="14">
        <f>'PIVOT TABLES'!$W$28-'PIVOT TABLES'!$W$27</f>
        <v>27.947999999999993</v>
      </c>
      <c r="X760" s="14">
        <f>200-SUM(Table3[[#This Row],[S - LIGHT]:[S - VIGOROUS]])</f>
        <v>88.208000000000013</v>
      </c>
    </row>
    <row r="761" spans="1:24" x14ac:dyDescent="0.25">
      <c r="A761" s="17" t="s">
        <v>1</v>
      </c>
      <c r="B761" s="13" t="str">
        <f t="shared" si="11"/>
        <v>Defender</v>
      </c>
      <c r="C761" s="7">
        <v>45343</v>
      </c>
      <c r="D761" s="14">
        <v>10703</v>
      </c>
      <c r="E761" s="14">
        <v>75</v>
      </c>
      <c r="F761" s="14">
        <v>29</v>
      </c>
      <c r="G761" s="14">
        <v>31</v>
      </c>
      <c r="H761" s="14">
        <v>111.06</v>
      </c>
      <c r="I761" s="14">
        <f>'PIVOT TABLES'!$B$26</f>
        <v>60.283999999999999</v>
      </c>
      <c r="J761" s="14">
        <f>'PIVOT TABLES'!$B$27-'PIVOT TABLES'!$B$26</f>
        <v>30.142000000000003</v>
      </c>
      <c r="K761" s="14">
        <f>'PIVOT TABLES'!$B$28-'PIVOT TABLES'!$B$27</f>
        <v>30.141999999999996</v>
      </c>
      <c r="L761" s="14">
        <f>200-SUM(Table3[[#This Row],[D - LIGHT]:[D - VIGOROUS]])</f>
        <v>79.432000000000002</v>
      </c>
      <c r="M761" s="14">
        <f>'PIVOT TABLES'!$I$26</f>
        <v>65.603999999999999</v>
      </c>
      <c r="N761" s="14">
        <f>'PIVOT TABLES'!$I$27-'PIVOT TABLES'!$I$26</f>
        <v>32.802000000000007</v>
      </c>
      <c r="O761" s="14">
        <f>'PIVOT TABLES'!$I$28-'PIVOT TABLES'!$I$27</f>
        <v>32.801999999999992</v>
      </c>
      <c r="P761" s="14">
        <f>200-SUM(Table3[[#This Row],[M - LIGHT]:[M - VIGOROUS]])</f>
        <v>68.792000000000002</v>
      </c>
      <c r="Q761" s="14">
        <f>'PIVOT TABLES'!$P$26</f>
        <v>62.64</v>
      </c>
      <c r="R761" s="14">
        <f>'PIVOT TABLES'!$P$27-'PIVOT TABLES'!$P$26</f>
        <v>31.320000000000007</v>
      </c>
      <c r="S761" s="14">
        <f>'PIVOT TABLES'!$P$28-'PIVOT TABLES'!$P$27</f>
        <v>31.319999999999993</v>
      </c>
      <c r="T761" s="14">
        <f>200-SUM(Table3[[#This Row],[W - LIGHT]:[W - VIGOROUS]])</f>
        <v>74.72</v>
      </c>
      <c r="U761" s="14">
        <f>'PIVOT TABLES'!$W$26</f>
        <v>55.895999999999994</v>
      </c>
      <c r="V761" s="14">
        <f>'PIVOT TABLES'!$W$27-'PIVOT TABLES'!$W$26</f>
        <v>27.948</v>
      </c>
      <c r="W761" s="14">
        <f>'PIVOT TABLES'!$W$28-'PIVOT TABLES'!$W$27</f>
        <v>27.947999999999993</v>
      </c>
      <c r="X761" s="14">
        <f>200-SUM(Table3[[#This Row],[S - LIGHT]:[S - VIGOROUS]])</f>
        <v>88.208000000000013</v>
      </c>
    </row>
    <row r="762" spans="1:24" x14ac:dyDescent="0.25">
      <c r="A762" s="17" t="s">
        <v>58</v>
      </c>
      <c r="B762" s="13" t="str">
        <f t="shared" si="11"/>
        <v>Defender</v>
      </c>
      <c r="C762" s="7">
        <v>45343</v>
      </c>
      <c r="D762" s="14">
        <v>12713</v>
      </c>
      <c r="E762" s="14">
        <v>99</v>
      </c>
      <c r="F762" s="14">
        <v>40</v>
      </c>
      <c r="G762" s="14">
        <v>34</v>
      </c>
      <c r="H762" s="14">
        <v>132.38</v>
      </c>
      <c r="I762" s="14">
        <f>'PIVOT TABLES'!$B$26</f>
        <v>60.283999999999999</v>
      </c>
      <c r="J762" s="14">
        <f>'PIVOT TABLES'!$B$27-'PIVOT TABLES'!$B$26</f>
        <v>30.142000000000003</v>
      </c>
      <c r="K762" s="14">
        <f>'PIVOT TABLES'!$B$28-'PIVOT TABLES'!$B$27</f>
        <v>30.141999999999996</v>
      </c>
      <c r="L762" s="14">
        <f>200-SUM(Table3[[#This Row],[D - LIGHT]:[D - VIGOROUS]])</f>
        <v>79.432000000000002</v>
      </c>
      <c r="M762" s="14">
        <f>'PIVOT TABLES'!$I$26</f>
        <v>65.603999999999999</v>
      </c>
      <c r="N762" s="14">
        <f>'PIVOT TABLES'!$I$27-'PIVOT TABLES'!$I$26</f>
        <v>32.802000000000007</v>
      </c>
      <c r="O762" s="14">
        <f>'PIVOT TABLES'!$I$28-'PIVOT TABLES'!$I$27</f>
        <v>32.801999999999992</v>
      </c>
      <c r="P762" s="14">
        <f>200-SUM(Table3[[#This Row],[M - LIGHT]:[M - VIGOROUS]])</f>
        <v>68.792000000000002</v>
      </c>
      <c r="Q762" s="14">
        <f>'PIVOT TABLES'!$P$26</f>
        <v>62.64</v>
      </c>
      <c r="R762" s="14">
        <f>'PIVOT TABLES'!$P$27-'PIVOT TABLES'!$P$26</f>
        <v>31.320000000000007</v>
      </c>
      <c r="S762" s="14">
        <f>'PIVOT TABLES'!$P$28-'PIVOT TABLES'!$P$27</f>
        <v>31.319999999999993</v>
      </c>
      <c r="T762" s="14">
        <f>200-SUM(Table3[[#This Row],[W - LIGHT]:[W - VIGOROUS]])</f>
        <v>74.72</v>
      </c>
      <c r="U762" s="14">
        <f>'PIVOT TABLES'!$W$26</f>
        <v>55.895999999999994</v>
      </c>
      <c r="V762" s="14">
        <f>'PIVOT TABLES'!$W$27-'PIVOT TABLES'!$W$26</f>
        <v>27.948</v>
      </c>
      <c r="W762" s="14">
        <f>'PIVOT TABLES'!$W$28-'PIVOT TABLES'!$W$27</f>
        <v>27.947999999999993</v>
      </c>
      <c r="X762" s="14">
        <f>200-SUM(Table3[[#This Row],[S - LIGHT]:[S - VIGOROUS]])</f>
        <v>88.208000000000013</v>
      </c>
    </row>
    <row r="763" spans="1:24" x14ac:dyDescent="0.25">
      <c r="A763" s="17" t="s">
        <v>94</v>
      </c>
      <c r="B763" s="13" t="str">
        <f t="shared" si="11"/>
        <v>Defender</v>
      </c>
      <c r="C763" s="7">
        <v>45343</v>
      </c>
      <c r="D763" s="14">
        <v>11617</v>
      </c>
      <c r="E763" s="14">
        <v>171</v>
      </c>
      <c r="F763" s="14">
        <v>23</v>
      </c>
      <c r="G763" s="14">
        <v>26</v>
      </c>
      <c r="H763" s="14">
        <v>122.74</v>
      </c>
      <c r="I763" s="14">
        <f>'PIVOT TABLES'!$B$26</f>
        <v>60.283999999999999</v>
      </c>
      <c r="J763" s="14">
        <f>'PIVOT TABLES'!$B$27-'PIVOT TABLES'!$B$26</f>
        <v>30.142000000000003</v>
      </c>
      <c r="K763" s="14">
        <f>'PIVOT TABLES'!$B$28-'PIVOT TABLES'!$B$27</f>
        <v>30.141999999999996</v>
      </c>
      <c r="L763" s="14">
        <f>200-SUM(Table3[[#This Row],[D - LIGHT]:[D - VIGOROUS]])</f>
        <v>79.432000000000002</v>
      </c>
      <c r="M763" s="14">
        <f>'PIVOT TABLES'!$I$26</f>
        <v>65.603999999999999</v>
      </c>
      <c r="N763" s="14">
        <f>'PIVOT TABLES'!$I$27-'PIVOT TABLES'!$I$26</f>
        <v>32.802000000000007</v>
      </c>
      <c r="O763" s="14">
        <f>'PIVOT TABLES'!$I$28-'PIVOT TABLES'!$I$27</f>
        <v>32.801999999999992</v>
      </c>
      <c r="P763" s="14">
        <f>200-SUM(Table3[[#This Row],[M - LIGHT]:[M - VIGOROUS]])</f>
        <v>68.792000000000002</v>
      </c>
      <c r="Q763" s="14">
        <f>'PIVOT TABLES'!$P$26</f>
        <v>62.64</v>
      </c>
      <c r="R763" s="14">
        <f>'PIVOT TABLES'!$P$27-'PIVOT TABLES'!$P$26</f>
        <v>31.320000000000007</v>
      </c>
      <c r="S763" s="14">
        <f>'PIVOT TABLES'!$P$28-'PIVOT TABLES'!$P$27</f>
        <v>31.319999999999993</v>
      </c>
      <c r="T763" s="14">
        <f>200-SUM(Table3[[#This Row],[W - LIGHT]:[W - VIGOROUS]])</f>
        <v>74.72</v>
      </c>
      <c r="U763" s="14">
        <f>'PIVOT TABLES'!$W$26</f>
        <v>55.895999999999994</v>
      </c>
      <c r="V763" s="14">
        <f>'PIVOT TABLES'!$W$27-'PIVOT TABLES'!$W$26</f>
        <v>27.948</v>
      </c>
      <c r="W763" s="14">
        <f>'PIVOT TABLES'!$W$28-'PIVOT TABLES'!$W$27</f>
        <v>27.947999999999993</v>
      </c>
      <c r="X763" s="14">
        <f>200-SUM(Table3[[#This Row],[S - LIGHT]:[S - VIGOROUS]])</f>
        <v>88.208000000000013</v>
      </c>
    </row>
    <row r="764" spans="1:24" x14ac:dyDescent="0.25">
      <c r="A764" s="17" t="s">
        <v>59</v>
      </c>
      <c r="B764" s="13" t="str">
        <f t="shared" si="11"/>
        <v>Striker</v>
      </c>
      <c r="C764" s="7">
        <v>45343</v>
      </c>
      <c r="D764" s="14">
        <v>11599</v>
      </c>
      <c r="E764" s="14">
        <v>193</v>
      </c>
      <c r="F764" s="14">
        <v>48</v>
      </c>
      <c r="G764" s="14">
        <v>51</v>
      </c>
      <c r="H764" s="14">
        <v>124.72</v>
      </c>
      <c r="I764" s="14">
        <f>'PIVOT TABLES'!$B$26</f>
        <v>60.283999999999999</v>
      </c>
      <c r="J764" s="14">
        <f>'PIVOT TABLES'!$B$27-'PIVOT TABLES'!$B$26</f>
        <v>30.142000000000003</v>
      </c>
      <c r="K764" s="14">
        <f>'PIVOT TABLES'!$B$28-'PIVOT TABLES'!$B$27</f>
        <v>30.141999999999996</v>
      </c>
      <c r="L764" s="14">
        <f>200-SUM(Table3[[#This Row],[D - LIGHT]:[D - VIGOROUS]])</f>
        <v>79.432000000000002</v>
      </c>
      <c r="M764" s="14">
        <f>'PIVOT TABLES'!$I$26</f>
        <v>65.603999999999999</v>
      </c>
      <c r="N764" s="14">
        <f>'PIVOT TABLES'!$I$27-'PIVOT TABLES'!$I$26</f>
        <v>32.802000000000007</v>
      </c>
      <c r="O764" s="14">
        <f>'PIVOT TABLES'!$I$28-'PIVOT TABLES'!$I$27</f>
        <v>32.801999999999992</v>
      </c>
      <c r="P764" s="14">
        <f>200-SUM(Table3[[#This Row],[M - LIGHT]:[M - VIGOROUS]])</f>
        <v>68.792000000000002</v>
      </c>
      <c r="Q764" s="14">
        <f>'PIVOT TABLES'!$P$26</f>
        <v>62.64</v>
      </c>
      <c r="R764" s="14">
        <f>'PIVOT TABLES'!$P$27-'PIVOT TABLES'!$P$26</f>
        <v>31.320000000000007</v>
      </c>
      <c r="S764" s="14">
        <f>'PIVOT TABLES'!$P$28-'PIVOT TABLES'!$P$27</f>
        <v>31.319999999999993</v>
      </c>
      <c r="T764" s="14">
        <f>200-SUM(Table3[[#This Row],[W - LIGHT]:[W - VIGOROUS]])</f>
        <v>74.72</v>
      </c>
      <c r="U764" s="14">
        <f>'PIVOT TABLES'!$W$26</f>
        <v>55.895999999999994</v>
      </c>
      <c r="V764" s="14">
        <f>'PIVOT TABLES'!$W$27-'PIVOT TABLES'!$W$26</f>
        <v>27.948</v>
      </c>
      <c r="W764" s="14">
        <f>'PIVOT TABLES'!$W$28-'PIVOT TABLES'!$W$27</f>
        <v>27.947999999999993</v>
      </c>
      <c r="X764" s="14">
        <f>200-SUM(Table3[[#This Row],[S - LIGHT]:[S - VIGOROUS]])</f>
        <v>88.208000000000013</v>
      </c>
    </row>
    <row r="765" spans="1:24" x14ac:dyDescent="0.25">
      <c r="A765" s="17" t="s">
        <v>4</v>
      </c>
      <c r="B765" s="13" t="str">
        <f t="shared" si="11"/>
        <v>Midfielder</v>
      </c>
      <c r="C765" s="7">
        <v>45343</v>
      </c>
      <c r="D765" s="14">
        <v>6048</v>
      </c>
      <c r="E765" s="14">
        <v>77</v>
      </c>
      <c r="F765" s="14">
        <v>16</v>
      </c>
      <c r="G765" s="14">
        <v>22</v>
      </c>
      <c r="H765" s="14">
        <v>63.87</v>
      </c>
      <c r="I765" s="14">
        <f>'PIVOT TABLES'!$B$26</f>
        <v>60.283999999999999</v>
      </c>
      <c r="J765" s="14">
        <f>'PIVOT TABLES'!$B$27-'PIVOT TABLES'!$B$26</f>
        <v>30.142000000000003</v>
      </c>
      <c r="K765" s="14">
        <f>'PIVOT TABLES'!$B$28-'PIVOT TABLES'!$B$27</f>
        <v>30.141999999999996</v>
      </c>
      <c r="L765" s="14">
        <f>200-SUM(Table3[[#This Row],[D - LIGHT]:[D - VIGOROUS]])</f>
        <v>79.432000000000002</v>
      </c>
      <c r="M765" s="14">
        <f>'PIVOT TABLES'!$I$26</f>
        <v>65.603999999999999</v>
      </c>
      <c r="N765" s="14">
        <f>'PIVOT TABLES'!$I$27-'PIVOT TABLES'!$I$26</f>
        <v>32.802000000000007</v>
      </c>
      <c r="O765" s="14">
        <f>'PIVOT TABLES'!$I$28-'PIVOT TABLES'!$I$27</f>
        <v>32.801999999999992</v>
      </c>
      <c r="P765" s="14">
        <f>200-SUM(Table3[[#This Row],[M - LIGHT]:[M - VIGOROUS]])</f>
        <v>68.792000000000002</v>
      </c>
      <c r="Q765" s="14">
        <f>'PIVOT TABLES'!$P$26</f>
        <v>62.64</v>
      </c>
      <c r="R765" s="14">
        <f>'PIVOT TABLES'!$P$27-'PIVOT TABLES'!$P$26</f>
        <v>31.320000000000007</v>
      </c>
      <c r="S765" s="14">
        <f>'PIVOT TABLES'!$P$28-'PIVOT TABLES'!$P$27</f>
        <v>31.319999999999993</v>
      </c>
      <c r="T765" s="14">
        <f>200-SUM(Table3[[#This Row],[W - LIGHT]:[W - VIGOROUS]])</f>
        <v>74.72</v>
      </c>
      <c r="U765" s="14">
        <f>'PIVOT TABLES'!$W$26</f>
        <v>55.895999999999994</v>
      </c>
      <c r="V765" s="14">
        <f>'PIVOT TABLES'!$W$27-'PIVOT TABLES'!$W$26</f>
        <v>27.948</v>
      </c>
      <c r="W765" s="14">
        <f>'PIVOT TABLES'!$W$28-'PIVOT TABLES'!$W$27</f>
        <v>27.947999999999993</v>
      </c>
      <c r="X765" s="14">
        <f>200-SUM(Table3[[#This Row],[S - LIGHT]:[S - VIGOROUS]])</f>
        <v>88.208000000000013</v>
      </c>
    </row>
    <row r="766" spans="1:24" x14ac:dyDescent="0.25">
      <c r="A766" s="17" t="s">
        <v>71</v>
      </c>
      <c r="B766" s="13" t="str">
        <f t="shared" si="11"/>
        <v>Midfielder</v>
      </c>
      <c r="C766" s="7">
        <v>45343</v>
      </c>
      <c r="D766" s="14">
        <v>13848</v>
      </c>
      <c r="E766" s="14">
        <v>124</v>
      </c>
      <c r="F766" s="14">
        <v>45</v>
      </c>
      <c r="G766" s="14">
        <v>24</v>
      </c>
      <c r="H766" s="14">
        <v>144.47999999999999</v>
      </c>
      <c r="I766" s="14">
        <f>'PIVOT TABLES'!$B$26</f>
        <v>60.283999999999999</v>
      </c>
      <c r="J766" s="14">
        <f>'PIVOT TABLES'!$B$27-'PIVOT TABLES'!$B$26</f>
        <v>30.142000000000003</v>
      </c>
      <c r="K766" s="14">
        <f>'PIVOT TABLES'!$B$28-'PIVOT TABLES'!$B$27</f>
        <v>30.141999999999996</v>
      </c>
      <c r="L766" s="14">
        <f>200-SUM(Table3[[#This Row],[D - LIGHT]:[D - VIGOROUS]])</f>
        <v>79.432000000000002</v>
      </c>
      <c r="M766" s="14">
        <f>'PIVOT TABLES'!$I$26</f>
        <v>65.603999999999999</v>
      </c>
      <c r="N766" s="14">
        <f>'PIVOT TABLES'!$I$27-'PIVOT TABLES'!$I$26</f>
        <v>32.802000000000007</v>
      </c>
      <c r="O766" s="14">
        <f>'PIVOT TABLES'!$I$28-'PIVOT TABLES'!$I$27</f>
        <v>32.801999999999992</v>
      </c>
      <c r="P766" s="14">
        <f>200-SUM(Table3[[#This Row],[M - LIGHT]:[M - VIGOROUS]])</f>
        <v>68.792000000000002</v>
      </c>
      <c r="Q766" s="14">
        <f>'PIVOT TABLES'!$P$26</f>
        <v>62.64</v>
      </c>
      <c r="R766" s="14">
        <f>'PIVOT TABLES'!$P$27-'PIVOT TABLES'!$P$26</f>
        <v>31.320000000000007</v>
      </c>
      <c r="S766" s="14">
        <f>'PIVOT TABLES'!$P$28-'PIVOT TABLES'!$P$27</f>
        <v>31.319999999999993</v>
      </c>
      <c r="T766" s="14">
        <f>200-SUM(Table3[[#This Row],[W - LIGHT]:[W - VIGOROUS]])</f>
        <v>74.72</v>
      </c>
      <c r="U766" s="14">
        <f>'PIVOT TABLES'!$W$26</f>
        <v>55.895999999999994</v>
      </c>
      <c r="V766" s="14">
        <f>'PIVOT TABLES'!$W$27-'PIVOT TABLES'!$W$26</f>
        <v>27.948</v>
      </c>
      <c r="W766" s="14">
        <f>'PIVOT TABLES'!$W$28-'PIVOT TABLES'!$W$27</f>
        <v>27.947999999999993</v>
      </c>
      <c r="X766" s="14">
        <f>200-SUM(Table3[[#This Row],[S - LIGHT]:[S - VIGOROUS]])</f>
        <v>88.208000000000013</v>
      </c>
    </row>
    <row r="767" spans="1:24" x14ac:dyDescent="0.25">
      <c r="A767" s="17" t="s">
        <v>5</v>
      </c>
      <c r="B767" s="13" t="str">
        <f t="shared" si="11"/>
        <v>Midfielder</v>
      </c>
      <c r="C767" s="7">
        <v>45343</v>
      </c>
      <c r="D767" s="14">
        <v>9140</v>
      </c>
      <c r="E767" s="14">
        <v>41</v>
      </c>
      <c r="F767" s="14">
        <v>25</v>
      </c>
      <c r="G767" s="14">
        <v>19</v>
      </c>
      <c r="H767" s="14">
        <v>94.01</v>
      </c>
      <c r="I767" s="14">
        <f>'PIVOT TABLES'!$B$26</f>
        <v>60.283999999999999</v>
      </c>
      <c r="J767" s="14">
        <f>'PIVOT TABLES'!$B$27-'PIVOT TABLES'!$B$26</f>
        <v>30.142000000000003</v>
      </c>
      <c r="K767" s="14">
        <f>'PIVOT TABLES'!$B$28-'PIVOT TABLES'!$B$27</f>
        <v>30.141999999999996</v>
      </c>
      <c r="L767" s="14">
        <f>200-SUM(Table3[[#This Row],[D - LIGHT]:[D - VIGOROUS]])</f>
        <v>79.432000000000002</v>
      </c>
      <c r="M767" s="14">
        <f>'PIVOT TABLES'!$I$26</f>
        <v>65.603999999999999</v>
      </c>
      <c r="N767" s="14">
        <f>'PIVOT TABLES'!$I$27-'PIVOT TABLES'!$I$26</f>
        <v>32.802000000000007</v>
      </c>
      <c r="O767" s="14">
        <f>'PIVOT TABLES'!$I$28-'PIVOT TABLES'!$I$27</f>
        <v>32.801999999999992</v>
      </c>
      <c r="P767" s="14">
        <f>200-SUM(Table3[[#This Row],[M - LIGHT]:[M - VIGOROUS]])</f>
        <v>68.792000000000002</v>
      </c>
      <c r="Q767" s="14">
        <f>'PIVOT TABLES'!$P$26</f>
        <v>62.64</v>
      </c>
      <c r="R767" s="14">
        <f>'PIVOT TABLES'!$P$27-'PIVOT TABLES'!$P$26</f>
        <v>31.320000000000007</v>
      </c>
      <c r="S767" s="14">
        <f>'PIVOT TABLES'!$P$28-'PIVOT TABLES'!$P$27</f>
        <v>31.319999999999993</v>
      </c>
      <c r="T767" s="14">
        <f>200-SUM(Table3[[#This Row],[W - LIGHT]:[W - VIGOROUS]])</f>
        <v>74.72</v>
      </c>
      <c r="U767" s="14">
        <f>'PIVOT TABLES'!$W$26</f>
        <v>55.895999999999994</v>
      </c>
      <c r="V767" s="14">
        <f>'PIVOT TABLES'!$W$27-'PIVOT TABLES'!$W$26</f>
        <v>27.948</v>
      </c>
      <c r="W767" s="14">
        <f>'PIVOT TABLES'!$W$28-'PIVOT TABLES'!$W$27</f>
        <v>27.947999999999993</v>
      </c>
      <c r="X767" s="14">
        <f>200-SUM(Table3[[#This Row],[S - LIGHT]:[S - VIGOROUS]])</f>
        <v>88.208000000000013</v>
      </c>
    </row>
    <row r="768" spans="1:24" x14ac:dyDescent="0.25">
      <c r="A768" s="17" t="s">
        <v>6</v>
      </c>
      <c r="B768" s="13" t="str">
        <f t="shared" si="11"/>
        <v>Midfielder</v>
      </c>
      <c r="C768" s="7">
        <v>45343</v>
      </c>
      <c r="D768" s="14">
        <v>13796</v>
      </c>
      <c r="E768" s="14">
        <v>387</v>
      </c>
      <c r="F768" s="14">
        <v>61</v>
      </c>
      <c r="G768" s="14">
        <v>36</v>
      </c>
      <c r="H768" s="14">
        <v>152.72999999999999</v>
      </c>
      <c r="I768" s="14">
        <f>'PIVOT TABLES'!$B$26</f>
        <v>60.283999999999999</v>
      </c>
      <c r="J768" s="14">
        <f>'PIVOT TABLES'!$B$27-'PIVOT TABLES'!$B$26</f>
        <v>30.142000000000003</v>
      </c>
      <c r="K768" s="14">
        <f>'PIVOT TABLES'!$B$28-'PIVOT TABLES'!$B$27</f>
        <v>30.141999999999996</v>
      </c>
      <c r="L768" s="14">
        <f>200-SUM(Table3[[#This Row],[D - LIGHT]:[D - VIGOROUS]])</f>
        <v>79.432000000000002</v>
      </c>
      <c r="M768" s="14">
        <f>'PIVOT TABLES'!$I$26</f>
        <v>65.603999999999999</v>
      </c>
      <c r="N768" s="14">
        <f>'PIVOT TABLES'!$I$27-'PIVOT TABLES'!$I$26</f>
        <v>32.802000000000007</v>
      </c>
      <c r="O768" s="14">
        <f>'PIVOT TABLES'!$I$28-'PIVOT TABLES'!$I$27</f>
        <v>32.801999999999992</v>
      </c>
      <c r="P768" s="14">
        <f>200-SUM(Table3[[#This Row],[M - LIGHT]:[M - VIGOROUS]])</f>
        <v>68.792000000000002</v>
      </c>
      <c r="Q768" s="14">
        <f>'PIVOT TABLES'!$P$26</f>
        <v>62.64</v>
      </c>
      <c r="R768" s="14">
        <f>'PIVOT TABLES'!$P$27-'PIVOT TABLES'!$P$26</f>
        <v>31.320000000000007</v>
      </c>
      <c r="S768" s="14">
        <f>'PIVOT TABLES'!$P$28-'PIVOT TABLES'!$P$27</f>
        <v>31.319999999999993</v>
      </c>
      <c r="T768" s="14">
        <f>200-SUM(Table3[[#This Row],[W - LIGHT]:[W - VIGOROUS]])</f>
        <v>74.72</v>
      </c>
      <c r="U768" s="14">
        <f>'PIVOT TABLES'!$W$26</f>
        <v>55.895999999999994</v>
      </c>
      <c r="V768" s="14">
        <f>'PIVOT TABLES'!$W$27-'PIVOT TABLES'!$W$26</f>
        <v>27.948</v>
      </c>
      <c r="W768" s="14">
        <f>'PIVOT TABLES'!$W$28-'PIVOT TABLES'!$W$27</f>
        <v>27.947999999999993</v>
      </c>
      <c r="X768" s="14">
        <f>200-SUM(Table3[[#This Row],[S - LIGHT]:[S - VIGOROUS]])</f>
        <v>88.208000000000013</v>
      </c>
    </row>
    <row r="769" spans="1:24" x14ac:dyDescent="0.25">
      <c r="A769" s="17" t="s">
        <v>62</v>
      </c>
      <c r="B769" s="13" t="str">
        <f t="shared" si="11"/>
        <v>Midfielder</v>
      </c>
      <c r="C769" s="7">
        <v>45343</v>
      </c>
      <c r="D769" s="14">
        <v>12825</v>
      </c>
      <c r="E769" s="14">
        <v>107</v>
      </c>
      <c r="F769" s="14">
        <v>37</v>
      </c>
      <c r="G769" s="14">
        <v>24</v>
      </c>
      <c r="H769" s="14">
        <v>133.41999999999999</v>
      </c>
      <c r="I769" s="14">
        <f>'PIVOT TABLES'!$B$26</f>
        <v>60.283999999999999</v>
      </c>
      <c r="J769" s="14">
        <f>'PIVOT TABLES'!$B$27-'PIVOT TABLES'!$B$26</f>
        <v>30.142000000000003</v>
      </c>
      <c r="K769" s="14">
        <f>'PIVOT TABLES'!$B$28-'PIVOT TABLES'!$B$27</f>
        <v>30.141999999999996</v>
      </c>
      <c r="L769" s="14">
        <f>200-SUM(Table3[[#This Row],[D - LIGHT]:[D - VIGOROUS]])</f>
        <v>79.432000000000002</v>
      </c>
      <c r="M769" s="14">
        <f>'PIVOT TABLES'!$I$26</f>
        <v>65.603999999999999</v>
      </c>
      <c r="N769" s="14">
        <f>'PIVOT TABLES'!$I$27-'PIVOT TABLES'!$I$26</f>
        <v>32.802000000000007</v>
      </c>
      <c r="O769" s="14">
        <f>'PIVOT TABLES'!$I$28-'PIVOT TABLES'!$I$27</f>
        <v>32.801999999999992</v>
      </c>
      <c r="P769" s="14">
        <f>200-SUM(Table3[[#This Row],[M - LIGHT]:[M - VIGOROUS]])</f>
        <v>68.792000000000002</v>
      </c>
      <c r="Q769" s="14">
        <f>'PIVOT TABLES'!$P$26</f>
        <v>62.64</v>
      </c>
      <c r="R769" s="14">
        <f>'PIVOT TABLES'!$P$27-'PIVOT TABLES'!$P$26</f>
        <v>31.320000000000007</v>
      </c>
      <c r="S769" s="14">
        <f>'PIVOT TABLES'!$P$28-'PIVOT TABLES'!$P$27</f>
        <v>31.319999999999993</v>
      </c>
      <c r="T769" s="14">
        <f>200-SUM(Table3[[#This Row],[W - LIGHT]:[W - VIGOROUS]])</f>
        <v>74.72</v>
      </c>
      <c r="U769" s="14">
        <f>'PIVOT TABLES'!$W$26</f>
        <v>55.895999999999994</v>
      </c>
      <c r="V769" s="14">
        <f>'PIVOT TABLES'!$W$27-'PIVOT TABLES'!$W$26</f>
        <v>27.948</v>
      </c>
      <c r="W769" s="14">
        <f>'PIVOT TABLES'!$W$28-'PIVOT TABLES'!$W$27</f>
        <v>27.947999999999993</v>
      </c>
      <c r="X769" s="14">
        <f>200-SUM(Table3[[#This Row],[S - LIGHT]:[S - VIGOROUS]])</f>
        <v>88.208000000000013</v>
      </c>
    </row>
    <row r="770" spans="1:24" x14ac:dyDescent="0.25">
      <c r="A770" s="17" t="s">
        <v>64</v>
      </c>
      <c r="B770" s="13" t="str">
        <f t="shared" si="11"/>
        <v>Midfielder</v>
      </c>
      <c r="C770" s="7">
        <v>45343</v>
      </c>
      <c r="D770" s="14">
        <v>8313</v>
      </c>
      <c r="E770" s="14">
        <v>11</v>
      </c>
      <c r="F770" s="14">
        <v>16</v>
      </c>
      <c r="G770" s="14">
        <v>14</v>
      </c>
      <c r="H770" s="14">
        <v>84.38</v>
      </c>
      <c r="I770" s="14">
        <f>'PIVOT TABLES'!$B$26</f>
        <v>60.283999999999999</v>
      </c>
      <c r="J770" s="14">
        <f>'PIVOT TABLES'!$B$27-'PIVOT TABLES'!$B$26</f>
        <v>30.142000000000003</v>
      </c>
      <c r="K770" s="14">
        <f>'PIVOT TABLES'!$B$28-'PIVOT TABLES'!$B$27</f>
        <v>30.141999999999996</v>
      </c>
      <c r="L770" s="14">
        <f>200-SUM(Table3[[#This Row],[D - LIGHT]:[D - VIGOROUS]])</f>
        <v>79.432000000000002</v>
      </c>
      <c r="M770" s="14">
        <f>'PIVOT TABLES'!$I$26</f>
        <v>65.603999999999999</v>
      </c>
      <c r="N770" s="14">
        <f>'PIVOT TABLES'!$I$27-'PIVOT TABLES'!$I$26</f>
        <v>32.802000000000007</v>
      </c>
      <c r="O770" s="14">
        <f>'PIVOT TABLES'!$I$28-'PIVOT TABLES'!$I$27</f>
        <v>32.801999999999992</v>
      </c>
      <c r="P770" s="14">
        <f>200-SUM(Table3[[#This Row],[M - LIGHT]:[M - VIGOROUS]])</f>
        <v>68.792000000000002</v>
      </c>
      <c r="Q770" s="14">
        <f>'PIVOT TABLES'!$P$26</f>
        <v>62.64</v>
      </c>
      <c r="R770" s="14">
        <f>'PIVOT TABLES'!$P$27-'PIVOT TABLES'!$P$26</f>
        <v>31.320000000000007</v>
      </c>
      <c r="S770" s="14">
        <f>'PIVOT TABLES'!$P$28-'PIVOT TABLES'!$P$27</f>
        <v>31.319999999999993</v>
      </c>
      <c r="T770" s="14">
        <f>200-SUM(Table3[[#This Row],[W - LIGHT]:[W - VIGOROUS]])</f>
        <v>74.72</v>
      </c>
      <c r="U770" s="14">
        <f>'PIVOT TABLES'!$W$26</f>
        <v>55.895999999999994</v>
      </c>
      <c r="V770" s="14">
        <f>'PIVOT TABLES'!$W$27-'PIVOT TABLES'!$W$26</f>
        <v>27.948</v>
      </c>
      <c r="W770" s="14">
        <f>'PIVOT TABLES'!$W$28-'PIVOT TABLES'!$W$27</f>
        <v>27.947999999999993</v>
      </c>
      <c r="X770" s="14">
        <f>200-SUM(Table3[[#This Row],[S - LIGHT]:[S - VIGOROUS]])</f>
        <v>88.208000000000013</v>
      </c>
    </row>
    <row r="771" spans="1:24" x14ac:dyDescent="0.25">
      <c r="A771" s="17" t="s">
        <v>65</v>
      </c>
      <c r="B771" s="13" t="str">
        <f t="shared" ref="B771:B834" si="12">IF(A771="Sihle Gum","Defender",IF(A771="Kenny Langa","Defender",IF(A771="Tshepang Makara","Defender",IF(A771="Tshepiso Mahlangu","Defender",IF(A771="Neo Ramashala","Defender",IF(A771="Keabetswe Nkogatse","Defender",IF(A771="Kaketso Harold Majadibodu","Defender",IF(A771="Samuel Julies","Midfielder",IF(A771="Frank Mpedi","Midfielder",IF(A771="Sapholwethu Kelepu","Midfielder",IF(A771="Manelisi Sithole","Midfielder",IF(A771="Thabiso Mokoena","Midfielder",IF(A771="Khomotso Marebane","Midfielder",IF(A771="Tebogo Mohlamonyane","Midfielder",IF(A771="Thulani Zandamela","Midfielder",IF(A771="Mdevulana Camagu","Midfielder",IF(A771="Promise Mkhuma","Midfielder",IF(A771="Essien Makwarimba","Midfielder",IF(A771="Ayanda Mvambi","Winger",IF(A771="Delano Abrahams","Winger",IF(A771="Thokozani Sekotlong","Winger",IF(A771="Maselaelo Seanego","Winger",IF(A771="Lesedi Motha","Winger",IF(A771="Malekgene Mampuru","Winger",IF(A771="Matome Rangata","Winger",IF(A771="Thabang Sibanyoni","Striker",IF(A771="Tebogo Makungo","Striker",IF(A771="Neo Dikgale","Striker",IF(A771="Kamohelo Pheeane","Striker",IF(A771="Athenkosi Tonisi","Striker",IF(A771="Jesse Francis","Striker","####")))))))))))))))))))))))))))))))</f>
        <v>Winger</v>
      </c>
      <c r="C771" s="7">
        <v>45343</v>
      </c>
      <c r="D771" s="14">
        <v>7208</v>
      </c>
      <c r="E771" s="14">
        <v>145</v>
      </c>
      <c r="F771" s="14">
        <v>33</v>
      </c>
      <c r="G771" s="14">
        <v>23</v>
      </c>
      <c r="H771" s="14">
        <v>78.209999999999994</v>
      </c>
      <c r="I771" s="14">
        <f>'PIVOT TABLES'!$B$26</f>
        <v>60.283999999999999</v>
      </c>
      <c r="J771" s="14">
        <f>'PIVOT TABLES'!$B$27-'PIVOT TABLES'!$B$26</f>
        <v>30.142000000000003</v>
      </c>
      <c r="K771" s="14">
        <f>'PIVOT TABLES'!$B$28-'PIVOT TABLES'!$B$27</f>
        <v>30.141999999999996</v>
      </c>
      <c r="L771" s="14">
        <f>200-SUM(Table3[[#This Row],[D - LIGHT]:[D - VIGOROUS]])</f>
        <v>79.432000000000002</v>
      </c>
      <c r="M771" s="14">
        <f>'PIVOT TABLES'!$I$26</f>
        <v>65.603999999999999</v>
      </c>
      <c r="N771" s="14">
        <f>'PIVOT TABLES'!$I$27-'PIVOT TABLES'!$I$26</f>
        <v>32.802000000000007</v>
      </c>
      <c r="O771" s="14">
        <f>'PIVOT TABLES'!$I$28-'PIVOT TABLES'!$I$27</f>
        <v>32.801999999999992</v>
      </c>
      <c r="P771" s="14">
        <f>200-SUM(Table3[[#This Row],[M - LIGHT]:[M - VIGOROUS]])</f>
        <v>68.792000000000002</v>
      </c>
      <c r="Q771" s="14">
        <f>'PIVOT TABLES'!$P$26</f>
        <v>62.64</v>
      </c>
      <c r="R771" s="14">
        <f>'PIVOT TABLES'!$P$27-'PIVOT TABLES'!$P$26</f>
        <v>31.320000000000007</v>
      </c>
      <c r="S771" s="14">
        <f>'PIVOT TABLES'!$P$28-'PIVOT TABLES'!$P$27</f>
        <v>31.319999999999993</v>
      </c>
      <c r="T771" s="14">
        <f>200-SUM(Table3[[#This Row],[W - LIGHT]:[W - VIGOROUS]])</f>
        <v>74.72</v>
      </c>
      <c r="U771" s="14">
        <f>'PIVOT TABLES'!$W$26</f>
        <v>55.895999999999994</v>
      </c>
      <c r="V771" s="14">
        <f>'PIVOT TABLES'!$W$27-'PIVOT TABLES'!$W$26</f>
        <v>27.948</v>
      </c>
      <c r="W771" s="14">
        <f>'PIVOT TABLES'!$W$28-'PIVOT TABLES'!$W$27</f>
        <v>27.947999999999993</v>
      </c>
      <c r="X771" s="14">
        <f>200-SUM(Table3[[#This Row],[S - LIGHT]:[S - VIGOROUS]])</f>
        <v>88.208000000000013</v>
      </c>
    </row>
    <row r="772" spans="1:24" x14ac:dyDescent="0.25">
      <c r="A772" s="17" t="s">
        <v>78</v>
      </c>
      <c r="B772" s="13" t="str">
        <f t="shared" si="12"/>
        <v>Defender</v>
      </c>
      <c r="C772" s="7">
        <v>45343</v>
      </c>
      <c r="D772" s="14">
        <v>5980</v>
      </c>
      <c r="E772" s="14">
        <v>140</v>
      </c>
      <c r="F772" s="14">
        <v>29</v>
      </c>
      <c r="G772" s="14">
        <v>27</v>
      </c>
      <c r="H772" s="14">
        <v>65.7</v>
      </c>
      <c r="I772" s="14">
        <f>'PIVOT TABLES'!$B$26</f>
        <v>60.283999999999999</v>
      </c>
      <c r="J772" s="14">
        <f>'PIVOT TABLES'!$B$27-'PIVOT TABLES'!$B$26</f>
        <v>30.142000000000003</v>
      </c>
      <c r="K772" s="14">
        <f>'PIVOT TABLES'!$B$28-'PIVOT TABLES'!$B$27</f>
        <v>30.141999999999996</v>
      </c>
      <c r="L772" s="14">
        <f>200-SUM(Table3[[#This Row],[D - LIGHT]:[D - VIGOROUS]])</f>
        <v>79.432000000000002</v>
      </c>
      <c r="M772" s="14">
        <f>'PIVOT TABLES'!$I$26</f>
        <v>65.603999999999999</v>
      </c>
      <c r="N772" s="14">
        <f>'PIVOT TABLES'!$I$27-'PIVOT TABLES'!$I$26</f>
        <v>32.802000000000007</v>
      </c>
      <c r="O772" s="14">
        <f>'PIVOT TABLES'!$I$28-'PIVOT TABLES'!$I$27</f>
        <v>32.801999999999992</v>
      </c>
      <c r="P772" s="14">
        <f>200-SUM(Table3[[#This Row],[M - LIGHT]:[M - VIGOROUS]])</f>
        <v>68.792000000000002</v>
      </c>
      <c r="Q772" s="14">
        <f>'PIVOT TABLES'!$P$26</f>
        <v>62.64</v>
      </c>
      <c r="R772" s="14">
        <f>'PIVOT TABLES'!$P$27-'PIVOT TABLES'!$P$26</f>
        <v>31.320000000000007</v>
      </c>
      <c r="S772" s="14">
        <f>'PIVOT TABLES'!$P$28-'PIVOT TABLES'!$P$27</f>
        <v>31.319999999999993</v>
      </c>
      <c r="T772" s="14">
        <f>200-SUM(Table3[[#This Row],[W - LIGHT]:[W - VIGOROUS]])</f>
        <v>74.72</v>
      </c>
      <c r="U772" s="14">
        <f>'PIVOT TABLES'!$W$26</f>
        <v>55.895999999999994</v>
      </c>
      <c r="V772" s="14">
        <f>'PIVOT TABLES'!$W$27-'PIVOT TABLES'!$W$26</f>
        <v>27.948</v>
      </c>
      <c r="W772" s="14">
        <f>'PIVOT TABLES'!$W$28-'PIVOT TABLES'!$W$27</f>
        <v>27.947999999999993</v>
      </c>
      <c r="X772" s="14">
        <f>200-SUM(Table3[[#This Row],[S - LIGHT]:[S - VIGOROUS]])</f>
        <v>88.208000000000013</v>
      </c>
    </row>
    <row r="773" spans="1:24" x14ac:dyDescent="0.25">
      <c r="A773" s="17" t="s">
        <v>7</v>
      </c>
      <c r="B773" s="13" t="str">
        <f t="shared" si="12"/>
        <v>Winger</v>
      </c>
      <c r="C773" s="7">
        <v>45343</v>
      </c>
      <c r="D773" s="14">
        <v>6082</v>
      </c>
      <c r="E773" s="14">
        <v>126</v>
      </c>
      <c r="F773" s="14">
        <v>23</v>
      </c>
      <c r="G773" s="14">
        <v>31</v>
      </c>
      <c r="H773" s="14">
        <v>66.14</v>
      </c>
      <c r="I773" s="14">
        <f>'PIVOT TABLES'!$B$26</f>
        <v>60.283999999999999</v>
      </c>
      <c r="J773" s="14">
        <f>'PIVOT TABLES'!$B$27-'PIVOT TABLES'!$B$26</f>
        <v>30.142000000000003</v>
      </c>
      <c r="K773" s="14">
        <f>'PIVOT TABLES'!$B$28-'PIVOT TABLES'!$B$27</f>
        <v>30.141999999999996</v>
      </c>
      <c r="L773" s="14">
        <f>200-SUM(Table3[[#This Row],[D - LIGHT]:[D - VIGOROUS]])</f>
        <v>79.432000000000002</v>
      </c>
      <c r="M773" s="14">
        <f>'PIVOT TABLES'!$I$26</f>
        <v>65.603999999999999</v>
      </c>
      <c r="N773" s="14">
        <f>'PIVOT TABLES'!$I$27-'PIVOT TABLES'!$I$26</f>
        <v>32.802000000000007</v>
      </c>
      <c r="O773" s="14">
        <f>'PIVOT TABLES'!$I$28-'PIVOT TABLES'!$I$27</f>
        <v>32.801999999999992</v>
      </c>
      <c r="P773" s="14">
        <f>200-SUM(Table3[[#This Row],[M - LIGHT]:[M - VIGOROUS]])</f>
        <v>68.792000000000002</v>
      </c>
      <c r="Q773" s="14">
        <f>'PIVOT TABLES'!$P$26</f>
        <v>62.64</v>
      </c>
      <c r="R773" s="14">
        <f>'PIVOT TABLES'!$P$27-'PIVOT TABLES'!$P$26</f>
        <v>31.320000000000007</v>
      </c>
      <c r="S773" s="14">
        <f>'PIVOT TABLES'!$P$28-'PIVOT TABLES'!$P$27</f>
        <v>31.319999999999993</v>
      </c>
      <c r="T773" s="14">
        <f>200-SUM(Table3[[#This Row],[W - LIGHT]:[W - VIGOROUS]])</f>
        <v>74.72</v>
      </c>
      <c r="U773" s="14">
        <f>'PIVOT TABLES'!$W$26</f>
        <v>55.895999999999994</v>
      </c>
      <c r="V773" s="14">
        <f>'PIVOT TABLES'!$W$27-'PIVOT TABLES'!$W$26</f>
        <v>27.948</v>
      </c>
      <c r="W773" s="14">
        <f>'PIVOT TABLES'!$W$28-'PIVOT TABLES'!$W$27</f>
        <v>27.947999999999993</v>
      </c>
      <c r="X773" s="14">
        <f>200-SUM(Table3[[#This Row],[S - LIGHT]:[S - VIGOROUS]])</f>
        <v>88.208000000000013</v>
      </c>
    </row>
    <row r="774" spans="1:24" x14ac:dyDescent="0.25">
      <c r="A774" s="17" t="s">
        <v>95</v>
      </c>
      <c r="B774" s="13" t="str">
        <f t="shared" si="12"/>
        <v>Winger</v>
      </c>
      <c r="C774" s="7">
        <v>45343</v>
      </c>
      <c r="D774" s="14">
        <v>9228</v>
      </c>
      <c r="E774" s="14">
        <v>120</v>
      </c>
      <c r="F774" s="14">
        <v>29</v>
      </c>
      <c r="G774" s="14">
        <v>24</v>
      </c>
      <c r="H774" s="14">
        <v>97.52</v>
      </c>
      <c r="I774" s="14">
        <f>'PIVOT TABLES'!$B$26</f>
        <v>60.283999999999999</v>
      </c>
      <c r="J774" s="14">
        <f>'PIVOT TABLES'!$B$27-'PIVOT TABLES'!$B$26</f>
        <v>30.142000000000003</v>
      </c>
      <c r="K774" s="14">
        <f>'PIVOT TABLES'!$B$28-'PIVOT TABLES'!$B$27</f>
        <v>30.141999999999996</v>
      </c>
      <c r="L774" s="14">
        <f>200-SUM(Table3[[#This Row],[D - LIGHT]:[D - VIGOROUS]])</f>
        <v>79.432000000000002</v>
      </c>
      <c r="M774" s="14">
        <f>'PIVOT TABLES'!$I$26</f>
        <v>65.603999999999999</v>
      </c>
      <c r="N774" s="14">
        <f>'PIVOT TABLES'!$I$27-'PIVOT TABLES'!$I$26</f>
        <v>32.802000000000007</v>
      </c>
      <c r="O774" s="14">
        <f>'PIVOT TABLES'!$I$28-'PIVOT TABLES'!$I$27</f>
        <v>32.801999999999992</v>
      </c>
      <c r="P774" s="14">
        <f>200-SUM(Table3[[#This Row],[M - LIGHT]:[M - VIGOROUS]])</f>
        <v>68.792000000000002</v>
      </c>
      <c r="Q774" s="14">
        <f>'PIVOT TABLES'!$P$26</f>
        <v>62.64</v>
      </c>
      <c r="R774" s="14">
        <f>'PIVOT TABLES'!$P$27-'PIVOT TABLES'!$P$26</f>
        <v>31.320000000000007</v>
      </c>
      <c r="S774" s="14">
        <f>'PIVOT TABLES'!$P$28-'PIVOT TABLES'!$P$27</f>
        <v>31.319999999999993</v>
      </c>
      <c r="T774" s="14">
        <f>200-SUM(Table3[[#This Row],[W - LIGHT]:[W - VIGOROUS]])</f>
        <v>74.72</v>
      </c>
      <c r="U774" s="14">
        <f>'PIVOT TABLES'!$W$26</f>
        <v>55.895999999999994</v>
      </c>
      <c r="V774" s="14">
        <f>'PIVOT TABLES'!$W$27-'PIVOT TABLES'!$W$26</f>
        <v>27.948</v>
      </c>
      <c r="W774" s="14">
        <f>'PIVOT TABLES'!$W$28-'PIVOT TABLES'!$W$27</f>
        <v>27.947999999999993</v>
      </c>
      <c r="X774" s="14">
        <f>200-SUM(Table3[[#This Row],[S - LIGHT]:[S - VIGOROUS]])</f>
        <v>88.208000000000013</v>
      </c>
    </row>
    <row r="775" spans="1:24" x14ac:dyDescent="0.25">
      <c r="A775" s="17" t="s">
        <v>96</v>
      </c>
      <c r="B775" s="13" t="str">
        <f t="shared" si="12"/>
        <v>Winger</v>
      </c>
      <c r="C775" s="7">
        <v>45343</v>
      </c>
      <c r="D775" s="14">
        <v>5783</v>
      </c>
      <c r="E775" s="14">
        <v>64</v>
      </c>
      <c r="F775" s="14">
        <v>4</v>
      </c>
      <c r="G775" s="14">
        <v>26</v>
      </c>
      <c r="H775" s="14">
        <v>60.43</v>
      </c>
      <c r="I775" s="14">
        <f>'PIVOT TABLES'!$B$26</f>
        <v>60.283999999999999</v>
      </c>
      <c r="J775" s="14">
        <f>'PIVOT TABLES'!$B$27-'PIVOT TABLES'!$B$26</f>
        <v>30.142000000000003</v>
      </c>
      <c r="K775" s="14">
        <f>'PIVOT TABLES'!$B$28-'PIVOT TABLES'!$B$27</f>
        <v>30.141999999999996</v>
      </c>
      <c r="L775" s="14">
        <f>200-SUM(Table3[[#This Row],[D - LIGHT]:[D - VIGOROUS]])</f>
        <v>79.432000000000002</v>
      </c>
      <c r="M775" s="14">
        <f>'PIVOT TABLES'!$I$26</f>
        <v>65.603999999999999</v>
      </c>
      <c r="N775" s="14">
        <f>'PIVOT TABLES'!$I$27-'PIVOT TABLES'!$I$26</f>
        <v>32.802000000000007</v>
      </c>
      <c r="O775" s="14">
        <f>'PIVOT TABLES'!$I$28-'PIVOT TABLES'!$I$27</f>
        <v>32.801999999999992</v>
      </c>
      <c r="P775" s="14">
        <f>200-SUM(Table3[[#This Row],[M - LIGHT]:[M - VIGOROUS]])</f>
        <v>68.792000000000002</v>
      </c>
      <c r="Q775" s="14">
        <f>'PIVOT TABLES'!$P$26</f>
        <v>62.64</v>
      </c>
      <c r="R775" s="14">
        <f>'PIVOT TABLES'!$P$27-'PIVOT TABLES'!$P$26</f>
        <v>31.320000000000007</v>
      </c>
      <c r="S775" s="14">
        <f>'PIVOT TABLES'!$P$28-'PIVOT TABLES'!$P$27</f>
        <v>31.319999999999993</v>
      </c>
      <c r="T775" s="14">
        <f>200-SUM(Table3[[#This Row],[W - LIGHT]:[W - VIGOROUS]])</f>
        <v>74.72</v>
      </c>
      <c r="U775" s="14">
        <f>'PIVOT TABLES'!$W$26</f>
        <v>55.895999999999994</v>
      </c>
      <c r="V775" s="14">
        <f>'PIVOT TABLES'!$W$27-'PIVOT TABLES'!$W$26</f>
        <v>27.948</v>
      </c>
      <c r="W775" s="14">
        <f>'PIVOT TABLES'!$W$28-'PIVOT TABLES'!$W$27</f>
        <v>27.947999999999993</v>
      </c>
      <c r="X775" s="14">
        <f>200-SUM(Table3[[#This Row],[S - LIGHT]:[S - VIGOROUS]])</f>
        <v>88.208000000000013</v>
      </c>
    </row>
    <row r="776" spans="1:24" x14ac:dyDescent="0.25">
      <c r="A776" s="17" t="s">
        <v>69</v>
      </c>
      <c r="B776" s="13" t="str">
        <f t="shared" si="12"/>
        <v>Midfielder</v>
      </c>
      <c r="C776" s="7">
        <v>45343</v>
      </c>
      <c r="D776" s="14">
        <v>5848</v>
      </c>
      <c r="E776" s="14">
        <v>120</v>
      </c>
      <c r="F776" s="14">
        <v>19</v>
      </c>
      <c r="G776" s="14">
        <v>16</v>
      </c>
      <c r="H776" s="14">
        <v>63.16</v>
      </c>
      <c r="I776" s="14">
        <f>'PIVOT TABLES'!$B$26</f>
        <v>60.283999999999999</v>
      </c>
      <c r="J776" s="14">
        <f>'PIVOT TABLES'!$B$27-'PIVOT TABLES'!$B$26</f>
        <v>30.142000000000003</v>
      </c>
      <c r="K776" s="14">
        <f>'PIVOT TABLES'!$B$28-'PIVOT TABLES'!$B$27</f>
        <v>30.141999999999996</v>
      </c>
      <c r="L776" s="14">
        <f>200-SUM(Table3[[#This Row],[D - LIGHT]:[D - VIGOROUS]])</f>
        <v>79.432000000000002</v>
      </c>
      <c r="M776" s="14">
        <f>'PIVOT TABLES'!$I$26</f>
        <v>65.603999999999999</v>
      </c>
      <c r="N776" s="14">
        <f>'PIVOT TABLES'!$I$27-'PIVOT TABLES'!$I$26</f>
        <v>32.802000000000007</v>
      </c>
      <c r="O776" s="14">
        <f>'PIVOT TABLES'!$I$28-'PIVOT TABLES'!$I$27</f>
        <v>32.801999999999992</v>
      </c>
      <c r="P776" s="14">
        <f>200-SUM(Table3[[#This Row],[M - LIGHT]:[M - VIGOROUS]])</f>
        <v>68.792000000000002</v>
      </c>
      <c r="Q776" s="14">
        <f>'PIVOT TABLES'!$P$26</f>
        <v>62.64</v>
      </c>
      <c r="R776" s="14">
        <f>'PIVOT TABLES'!$P$27-'PIVOT TABLES'!$P$26</f>
        <v>31.320000000000007</v>
      </c>
      <c r="S776" s="14">
        <f>'PIVOT TABLES'!$P$28-'PIVOT TABLES'!$P$27</f>
        <v>31.319999999999993</v>
      </c>
      <c r="T776" s="14">
        <f>200-SUM(Table3[[#This Row],[W - LIGHT]:[W - VIGOROUS]])</f>
        <v>74.72</v>
      </c>
      <c r="U776" s="14">
        <f>'PIVOT TABLES'!$W$26</f>
        <v>55.895999999999994</v>
      </c>
      <c r="V776" s="14">
        <f>'PIVOT TABLES'!$W$27-'PIVOT TABLES'!$W$26</f>
        <v>27.948</v>
      </c>
      <c r="W776" s="14">
        <f>'PIVOT TABLES'!$W$28-'PIVOT TABLES'!$W$27</f>
        <v>27.947999999999993</v>
      </c>
      <c r="X776" s="14">
        <f>200-SUM(Table3[[#This Row],[S - LIGHT]:[S - VIGOROUS]])</f>
        <v>88.208000000000013</v>
      </c>
    </row>
    <row r="777" spans="1:24" x14ac:dyDescent="0.25">
      <c r="A777" s="17" t="s">
        <v>70</v>
      </c>
      <c r="B777" s="13" t="str">
        <f t="shared" si="12"/>
        <v>Winger</v>
      </c>
      <c r="C777" s="7">
        <v>45343</v>
      </c>
      <c r="D777" s="14">
        <v>10841</v>
      </c>
      <c r="E777" s="14">
        <v>294</v>
      </c>
      <c r="F777" s="14">
        <v>35</v>
      </c>
      <c r="G777" s="14">
        <v>30</v>
      </c>
      <c r="H777" s="14">
        <v>119.23</v>
      </c>
      <c r="I777" s="14">
        <f>'PIVOT TABLES'!$B$26</f>
        <v>60.283999999999999</v>
      </c>
      <c r="J777" s="14">
        <f>'PIVOT TABLES'!$B$27-'PIVOT TABLES'!$B$26</f>
        <v>30.142000000000003</v>
      </c>
      <c r="K777" s="14">
        <f>'PIVOT TABLES'!$B$28-'PIVOT TABLES'!$B$27</f>
        <v>30.141999999999996</v>
      </c>
      <c r="L777" s="14">
        <f>200-SUM(Table3[[#This Row],[D - LIGHT]:[D - VIGOROUS]])</f>
        <v>79.432000000000002</v>
      </c>
      <c r="M777" s="14">
        <f>'PIVOT TABLES'!$I$26</f>
        <v>65.603999999999999</v>
      </c>
      <c r="N777" s="14">
        <f>'PIVOT TABLES'!$I$27-'PIVOT TABLES'!$I$26</f>
        <v>32.802000000000007</v>
      </c>
      <c r="O777" s="14">
        <f>'PIVOT TABLES'!$I$28-'PIVOT TABLES'!$I$27</f>
        <v>32.801999999999992</v>
      </c>
      <c r="P777" s="14">
        <f>200-SUM(Table3[[#This Row],[M - LIGHT]:[M - VIGOROUS]])</f>
        <v>68.792000000000002</v>
      </c>
      <c r="Q777" s="14">
        <f>'PIVOT TABLES'!$P$26</f>
        <v>62.64</v>
      </c>
      <c r="R777" s="14">
        <f>'PIVOT TABLES'!$P$27-'PIVOT TABLES'!$P$26</f>
        <v>31.320000000000007</v>
      </c>
      <c r="S777" s="14">
        <f>'PIVOT TABLES'!$P$28-'PIVOT TABLES'!$P$27</f>
        <v>31.319999999999993</v>
      </c>
      <c r="T777" s="14">
        <f>200-SUM(Table3[[#This Row],[W - LIGHT]:[W - VIGOROUS]])</f>
        <v>74.72</v>
      </c>
      <c r="U777" s="14">
        <f>'PIVOT TABLES'!$W$26</f>
        <v>55.895999999999994</v>
      </c>
      <c r="V777" s="14">
        <f>'PIVOT TABLES'!$W$27-'PIVOT TABLES'!$W$26</f>
        <v>27.948</v>
      </c>
      <c r="W777" s="14">
        <f>'PIVOT TABLES'!$W$28-'PIVOT TABLES'!$W$27</f>
        <v>27.947999999999993</v>
      </c>
      <c r="X777" s="14">
        <f>200-SUM(Table3[[#This Row],[S - LIGHT]:[S - VIGOROUS]])</f>
        <v>88.208000000000013</v>
      </c>
    </row>
    <row r="778" spans="1:24" x14ac:dyDescent="0.25">
      <c r="A778" s="17" t="s">
        <v>56</v>
      </c>
      <c r="B778" s="13" t="str">
        <f t="shared" si="12"/>
        <v>Midfielder</v>
      </c>
      <c r="C778" s="7">
        <v>45343</v>
      </c>
      <c r="D778" s="14">
        <v>3858</v>
      </c>
      <c r="E778" s="14">
        <v>151</v>
      </c>
      <c r="F778" s="14">
        <v>13</v>
      </c>
      <c r="G778" s="14">
        <v>12</v>
      </c>
      <c r="H778" s="14">
        <v>43.87</v>
      </c>
      <c r="I778" s="14">
        <f>'PIVOT TABLES'!$B$26</f>
        <v>60.283999999999999</v>
      </c>
      <c r="J778" s="14">
        <f>'PIVOT TABLES'!$B$27-'PIVOT TABLES'!$B$26</f>
        <v>30.142000000000003</v>
      </c>
      <c r="K778" s="14">
        <f>'PIVOT TABLES'!$B$28-'PIVOT TABLES'!$B$27</f>
        <v>30.141999999999996</v>
      </c>
      <c r="L778" s="14">
        <f>200-SUM(Table3[[#This Row],[D - LIGHT]:[D - VIGOROUS]])</f>
        <v>79.432000000000002</v>
      </c>
      <c r="M778" s="14">
        <f>'PIVOT TABLES'!$I$26</f>
        <v>65.603999999999999</v>
      </c>
      <c r="N778" s="14">
        <f>'PIVOT TABLES'!$I$27-'PIVOT TABLES'!$I$26</f>
        <v>32.802000000000007</v>
      </c>
      <c r="O778" s="14">
        <f>'PIVOT TABLES'!$I$28-'PIVOT TABLES'!$I$27</f>
        <v>32.801999999999992</v>
      </c>
      <c r="P778" s="14">
        <f>200-SUM(Table3[[#This Row],[M - LIGHT]:[M - VIGOROUS]])</f>
        <v>68.792000000000002</v>
      </c>
      <c r="Q778" s="14">
        <f>'PIVOT TABLES'!$P$26</f>
        <v>62.64</v>
      </c>
      <c r="R778" s="14">
        <f>'PIVOT TABLES'!$P$27-'PIVOT TABLES'!$P$26</f>
        <v>31.320000000000007</v>
      </c>
      <c r="S778" s="14">
        <f>'PIVOT TABLES'!$P$28-'PIVOT TABLES'!$P$27</f>
        <v>31.319999999999993</v>
      </c>
      <c r="T778" s="14">
        <f>200-SUM(Table3[[#This Row],[W - LIGHT]:[W - VIGOROUS]])</f>
        <v>74.72</v>
      </c>
      <c r="U778" s="14">
        <f>'PIVOT TABLES'!$W$26</f>
        <v>55.895999999999994</v>
      </c>
      <c r="V778" s="14">
        <f>'PIVOT TABLES'!$W$27-'PIVOT TABLES'!$W$26</f>
        <v>27.948</v>
      </c>
      <c r="W778" s="14">
        <f>'PIVOT TABLES'!$W$28-'PIVOT TABLES'!$W$27</f>
        <v>27.947999999999993</v>
      </c>
      <c r="X778" s="14">
        <f>200-SUM(Table3[[#This Row],[S - LIGHT]:[S - VIGOROUS]])</f>
        <v>88.208000000000013</v>
      </c>
    </row>
    <row r="779" spans="1:24" x14ac:dyDescent="0.25">
      <c r="A779" s="17" t="s">
        <v>2</v>
      </c>
      <c r="B779" s="13" t="str">
        <f t="shared" si="12"/>
        <v>Defender</v>
      </c>
      <c r="C779" s="7">
        <v>45343</v>
      </c>
      <c r="D779" s="14">
        <v>6065</v>
      </c>
      <c r="E779" s="14">
        <v>224</v>
      </c>
      <c r="F779" s="14">
        <v>39</v>
      </c>
      <c r="G779" s="14">
        <v>44</v>
      </c>
      <c r="H779" s="14">
        <v>69.81</v>
      </c>
      <c r="I779" s="14">
        <f>'PIVOT TABLES'!$B$26</f>
        <v>60.283999999999999</v>
      </c>
      <c r="J779" s="14">
        <f>'PIVOT TABLES'!$B$27-'PIVOT TABLES'!$B$26</f>
        <v>30.142000000000003</v>
      </c>
      <c r="K779" s="14">
        <f>'PIVOT TABLES'!$B$28-'PIVOT TABLES'!$B$27</f>
        <v>30.141999999999996</v>
      </c>
      <c r="L779" s="14">
        <f>200-SUM(Table3[[#This Row],[D - LIGHT]:[D - VIGOROUS]])</f>
        <v>79.432000000000002</v>
      </c>
      <c r="M779" s="14">
        <f>'PIVOT TABLES'!$I$26</f>
        <v>65.603999999999999</v>
      </c>
      <c r="N779" s="14">
        <f>'PIVOT TABLES'!$I$27-'PIVOT TABLES'!$I$26</f>
        <v>32.802000000000007</v>
      </c>
      <c r="O779" s="14">
        <f>'PIVOT TABLES'!$I$28-'PIVOT TABLES'!$I$27</f>
        <v>32.801999999999992</v>
      </c>
      <c r="P779" s="14">
        <f>200-SUM(Table3[[#This Row],[M - LIGHT]:[M - VIGOROUS]])</f>
        <v>68.792000000000002</v>
      </c>
      <c r="Q779" s="14">
        <f>'PIVOT TABLES'!$P$26</f>
        <v>62.64</v>
      </c>
      <c r="R779" s="14">
        <f>'PIVOT TABLES'!$P$27-'PIVOT TABLES'!$P$26</f>
        <v>31.320000000000007</v>
      </c>
      <c r="S779" s="14">
        <f>'PIVOT TABLES'!$P$28-'PIVOT TABLES'!$P$27</f>
        <v>31.319999999999993</v>
      </c>
      <c r="T779" s="14">
        <f>200-SUM(Table3[[#This Row],[W - LIGHT]:[W - VIGOROUS]])</f>
        <v>74.72</v>
      </c>
      <c r="U779" s="14">
        <f>'PIVOT TABLES'!$W$26</f>
        <v>55.895999999999994</v>
      </c>
      <c r="V779" s="14">
        <f>'PIVOT TABLES'!$W$27-'PIVOT TABLES'!$W$26</f>
        <v>27.948</v>
      </c>
      <c r="W779" s="14">
        <f>'PIVOT TABLES'!$W$28-'PIVOT TABLES'!$W$27</f>
        <v>27.947999999999993</v>
      </c>
      <c r="X779" s="14">
        <f>200-SUM(Table3[[#This Row],[S - LIGHT]:[S - VIGOROUS]])</f>
        <v>88.208000000000013</v>
      </c>
    </row>
    <row r="780" spans="1:24" x14ac:dyDescent="0.25">
      <c r="A780" s="17" t="s">
        <v>60</v>
      </c>
      <c r="B780" s="13" t="str">
        <f t="shared" si="12"/>
        <v>Winger</v>
      </c>
      <c r="C780" s="7">
        <v>45343</v>
      </c>
      <c r="D780" s="14">
        <v>6861</v>
      </c>
      <c r="E780" s="14">
        <v>70</v>
      </c>
      <c r="F780" s="14">
        <v>24</v>
      </c>
      <c r="G780" s="14">
        <v>33</v>
      </c>
      <c r="H780" s="14">
        <v>72.33</v>
      </c>
      <c r="I780" s="14">
        <f>'PIVOT TABLES'!$B$26</f>
        <v>60.283999999999999</v>
      </c>
      <c r="J780" s="14">
        <f>'PIVOT TABLES'!$B$27-'PIVOT TABLES'!$B$26</f>
        <v>30.142000000000003</v>
      </c>
      <c r="K780" s="14">
        <f>'PIVOT TABLES'!$B$28-'PIVOT TABLES'!$B$27</f>
        <v>30.141999999999996</v>
      </c>
      <c r="L780" s="14">
        <f>200-SUM(Table3[[#This Row],[D - LIGHT]:[D - VIGOROUS]])</f>
        <v>79.432000000000002</v>
      </c>
      <c r="M780" s="14">
        <f>'PIVOT TABLES'!$I$26</f>
        <v>65.603999999999999</v>
      </c>
      <c r="N780" s="14">
        <f>'PIVOT TABLES'!$I$27-'PIVOT TABLES'!$I$26</f>
        <v>32.802000000000007</v>
      </c>
      <c r="O780" s="14">
        <f>'PIVOT TABLES'!$I$28-'PIVOT TABLES'!$I$27</f>
        <v>32.801999999999992</v>
      </c>
      <c r="P780" s="14">
        <f>200-SUM(Table3[[#This Row],[M - LIGHT]:[M - VIGOROUS]])</f>
        <v>68.792000000000002</v>
      </c>
      <c r="Q780" s="14">
        <f>'PIVOT TABLES'!$P$26</f>
        <v>62.64</v>
      </c>
      <c r="R780" s="14">
        <f>'PIVOT TABLES'!$P$27-'PIVOT TABLES'!$P$26</f>
        <v>31.320000000000007</v>
      </c>
      <c r="S780" s="14">
        <f>'PIVOT TABLES'!$P$28-'PIVOT TABLES'!$P$27</f>
        <v>31.319999999999993</v>
      </c>
      <c r="T780" s="14">
        <f>200-SUM(Table3[[#This Row],[W - LIGHT]:[W - VIGOROUS]])</f>
        <v>74.72</v>
      </c>
      <c r="U780" s="14">
        <f>'PIVOT TABLES'!$W$26</f>
        <v>55.895999999999994</v>
      </c>
      <c r="V780" s="14">
        <f>'PIVOT TABLES'!$W$27-'PIVOT TABLES'!$W$26</f>
        <v>27.948</v>
      </c>
      <c r="W780" s="14">
        <f>'PIVOT TABLES'!$W$28-'PIVOT TABLES'!$W$27</f>
        <v>27.947999999999993</v>
      </c>
      <c r="X780" s="14">
        <f>200-SUM(Table3[[#This Row],[S - LIGHT]:[S - VIGOROUS]])</f>
        <v>88.208000000000013</v>
      </c>
    </row>
    <row r="781" spans="1:24" x14ac:dyDescent="0.25">
      <c r="A781" s="17" t="s">
        <v>8</v>
      </c>
      <c r="B781" s="13" t="str">
        <f t="shared" si="12"/>
        <v>Striker</v>
      </c>
      <c r="C781" s="7">
        <v>45343</v>
      </c>
      <c r="D781" s="14">
        <v>3655</v>
      </c>
      <c r="E781" s="14">
        <v>104</v>
      </c>
      <c r="F781" s="14">
        <v>9</v>
      </c>
      <c r="G781" s="14">
        <v>14</v>
      </c>
      <c r="H781" s="14">
        <v>40.31</v>
      </c>
      <c r="I781" s="14">
        <f>'PIVOT TABLES'!$B$26</f>
        <v>60.283999999999999</v>
      </c>
      <c r="J781" s="14">
        <f>'PIVOT TABLES'!$B$27-'PIVOT TABLES'!$B$26</f>
        <v>30.142000000000003</v>
      </c>
      <c r="K781" s="14">
        <f>'PIVOT TABLES'!$B$28-'PIVOT TABLES'!$B$27</f>
        <v>30.141999999999996</v>
      </c>
      <c r="L781" s="14">
        <f>200-SUM(Table3[[#This Row],[D - LIGHT]:[D - VIGOROUS]])</f>
        <v>79.432000000000002</v>
      </c>
      <c r="M781" s="14">
        <f>'PIVOT TABLES'!$I$26</f>
        <v>65.603999999999999</v>
      </c>
      <c r="N781" s="14">
        <f>'PIVOT TABLES'!$I$27-'PIVOT TABLES'!$I$26</f>
        <v>32.802000000000007</v>
      </c>
      <c r="O781" s="14">
        <f>'PIVOT TABLES'!$I$28-'PIVOT TABLES'!$I$27</f>
        <v>32.801999999999992</v>
      </c>
      <c r="P781" s="14">
        <f>200-SUM(Table3[[#This Row],[M - LIGHT]:[M - VIGOROUS]])</f>
        <v>68.792000000000002</v>
      </c>
      <c r="Q781" s="14">
        <f>'PIVOT TABLES'!$P$26</f>
        <v>62.64</v>
      </c>
      <c r="R781" s="14">
        <f>'PIVOT TABLES'!$P$27-'PIVOT TABLES'!$P$26</f>
        <v>31.320000000000007</v>
      </c>
      <c r="S781" s="14">
        <f>'PIVOT TABLES'!$P$28-'PIVOT TABLES'!$P$27</f>
        <v>31.319999999999993</v>
      </c>
      <c r="T781" s="14">
        <f>200-SUM(Table3[[#This Row],[W - LIGHT]:[W - VIGOROUS]])</f>
        <v>74.72</v>
      </c>
      <c r="U781" s="14">
        <f>'PIVOT TABLES'!$W$26</f>
        <v>55.895999999999994</v>
      </c>
      <c r="V781" s="14">
        <f>'PIVOT TABLES'!$W$27-'PIVOT TABLES'!$W$26</f>
        <v>27.948</v>
      </c>
      <c r="W781" s="14">
        <f>'PIVOT TABLES'!$W$28-'PIVOT TABLES'!$W$27</f>
        <v>27.947999999999993</v>
      </c>
      <c r="X781" s="14">
        <f>200-SUM(Table3[[#This Row],[S - LIGHT]:[S - VIGOROUS]])</f>
        <v>88.208000000000013</v>
      </c>
    </row>
    <row r="782" spans="1:24" x14ac:dyDescent="0.25">
      <c r="A782" s="17" t="s">
        <v>67</v>
      </c>
      <c r="B782" s="13" t="str">
        <f t="shared" si="12"/>
        <v>Midfielder</v>
      </c>
      <c r="C782" s="7">
        <v>45343</v>
      </c>
      <c r="D782" s="14">
        <v>6584</v>
      </c>
      <c r="E782" s="14">
        <v>57</v>
      </c>
      <c r="F782" s="14">
        <v>50</v>
      </c>
      <c r="G782" s="14">
        <v>37</v>
      </c>
      <c r="H782" s="14">
        <v>70.290000000000006</v>
      </c>
      <c r="I782" s="14">
        <f>'PIVOT TABLES'!$B$26</f>
        <v>60.283999999999999</v>
      </c>
      <c r="J782" s="14">
        <f>'PIVOT TABLES'!$B$27-'PIVOT TABLES'!$B$26</f>
        <v>30.142000000000003</v>
      </c>
      <c r="K782" s="14">
        <f>'PIVOT TABLES'!$B$28-'PIVOT TABLES'!$B$27</f>
        <v>30.141999999999996</v>
      </c>
      <c r="L782" s="14">
        <f>200-SUM(Table3[[#This Row],[D - LIGHT]:[D - VIGOROUS]])</f>
        <v>79.432000000000002</v>
      </c>
      <c r="M782" s="14">
        <f>'PIVOT TABLES'!$I$26</f>
        <v>65.603999999999999</v>
      </c>
      <c r="N782" s="14">
        <f>'PIVOT TABLES'!$I$27-'PIVOT TABLES'!$I$26</f>
        <v>32.802000000000007</v>
      </c>
      <c r="O782" s="14">
        <f>'PIVOT TABLES'!$I$28-'PIVOT TABLES'!$I$27</f>
        <v>32.801999999999992</v>
      </c>
      <c r="P782" s="14">
        <f>200-SUM(Table3[[#This Row],[M - LIGHT]:[M - VIGOROUS]])</f>
        <v>68.792000000000002</v>
      </c>
      <c r="Q782" s="14">
        <f>'PIVOT TABLES'!$P$26</f>
        <v>62.64</v>
      </c>
      <c r="R782" s="14">
        <f>'PIVOT TABLES'!$P$27-'PIVOT TABLES'!$P$26</f>
        <v>31.320000000000007</v>
      </c>
      <c r="S782" s="14">
        <f>'PIVOT TABLES'!$P$28-'PIVOT TABLES'!$P$27</f>
        <v>31.319999999999993</v>
      </c>
      <c r="T782" s="14">
        <f>200-SUM(Table3[[#This Row],[W - LIGHT]:[W - VIGOROUS]])</f>
        <v>74.72</v>
      </c>
      <c r="U782" s="14">
        <f>'PIVOT TABLES'!$W$26</f>
        <v>55.895999999999994</v>
      </c>
      <c r="V782" s="14">
        <f>'PIVOT TABLES'!$W$27-'PIVOT TABLES'!$W$26</f>
        <v>27.948</v>
      </c>
      <c r="W782" s="14">
        <f>'PIVOT TABLES'!$W$28-'PIVOT TABLES'!$W$27</f>
        <v>27.947999999999993</v>
      </c>
      <c r="X782" s="14">
        <f>200-SUM(Table3[[#This Row],[S - LIGHT]:[S - VIGOROUS]])</f>
        <v>88.208000000000013</v>
      </c>
    </row>
    <row r="783" spans="1:24" x14ac:dyDescent="0.25">
      <c r="A783" s="17" t="s">
        <v>9</v>
      </c>
      <c r="B783" s="13" t="str">
        <f t="shared" si="12"/>
        <v>Striker</v>
      </c>
      <c r="C783" s="7">
        <v>45343</v>
      </c>
      <c r="D783" s="14">
        <v>6291</v>
      </c>
      <c r="E783" s="14">
        <v>251</v>
      </c>
      <c r="F783" s="14">
        <v>33</v>
      </c>
      <c r="G783" s="14">
        <v>25</v>
      </c>
      <c r="H783" s="14">
        <v>72.260000000000005</v>
      </c>
      <c r="I783" s="14">
        <f>'PIVOT TABLES'!$B$26</f>
        <v>60.283999999999999</v>
      </c>
      <c r="J783" s="14">
        <f>'PIVOT TABLES'!$B$27-'PIVOT TABLES'!$B$26</f>
        <v>30.142000000000003</v>
      </c>
      <c r="K783" s="14">
        <f>'PIVOT TABLES'!$B$28-'PIVOT TABLES'!$B$27</f>
        <v>30.141999999999996</v>
      </c>
      <c r="L783" s="14">
        <f>200-SUM(Table3[[#This Row],[D - LIGHT]:[D - VIGOROUS]])</f>
        <v>79.432000000000002</v>
      </c>
      <c r="M783" s="14">
        <f>'PIVOT TABLES'!$I$26</f>
        <v>65.603999999999999</v>
      </c>
      <c r="N783" s="14">
        <f>'PIVOT TABLES'!$I$27-'PIVOT TABLES'!$I$26</f>
        <v>32.802000000000007</v>
      </c>
      <c r="O783" s="14">
        <f>'PIVOT TABLES'!$I$28-'PIVOT TABLES'!$I$27</f>
        <v>32.801999999999992</v>
      </c>
      <c r="P783" s="14">
        <f>200-SUM(Table3[[#This Row],[M - LIGHT]:[M - VIGOROUS]])</f>
        <v>68.792000000000002</v>
      </c>
      <c r="Q783" s="14">
        <f>'PIVOT TABLES'!$P$26</f>
        <v>62.64</v>
      </c>
      <c r="R783" s="14">
        <f>'PIVOT TABLES'!$P$27-'PIVOT TABLES'!$P$26</f>
        <v>31.320000000000007</v>
      </c>
      <c r="S783" s="14">
        <f>'PIVOT TABLES'!$P$28-'PIVOT TABLES'!$P$27</f>
        <v>31.319999999999993</v>
      </c>
      <c r="T783" s="14">
        <f>200-SUM(Table3[[#This Row],[W - LIGHT]:[W - VIGOROUS]])</f>
        <v>74.72</v>
      </c>
      <c r="U783" s="14">
        <f>'PIVOT TABLES'!$W$26</f>
        <v>55.895999999999994</v>
      </c>
      <c r="V783" s="14">
        <f>'PIVOT TABLES'!$W$27-'PIVOT TABLES'!$W$26</f>
        <v>27.948</v>
      </c>
      <c r="W783" s="14">
        <f>'PIVOT TABLES'!$W$28-'PIVOT TABLES'!$W$27</f>
        <v>27.947999999999993</v>
      </c>
      <c r="X783" s="14">
        <f>200-SUM(Table3[[#This Row],[S - LIGHT]:[S - VIGOROUS]])</f>
        <v>88.208000000000013</v>
      </c>
    </row>
    <row r="784" spans="1:24" x14ac:dyDescent="0.25">
      <c r="A784" s="17" t="s">
        <v>53</v>
      </c>
      <c r="B784" s="13" t="str">
        <f t="shared" si="12"/>
        <v>Midfielder</v>
      </c>
      <c r="C784" s="7">
        <v>45344.421875</v>
      </c>
      <c r="D784" s="14">
        <v>5961</v>
      </c>
      <c r="E784" s="14">
        <v>63</v>
      </c>
      <c r="F784" s="14">
        <v>13</v>
      </c>
      <c r="G784" s="14">
        <v>22</v>
      </c>
      <c r="H784" s="14">
        <v>62.46</v>
      </c>
      <c r="I784" s="14">
        <f>'PIVOT TABLES'!$B$26</f>
        <v>60.283999999999999</v>
      </c>
      <c r="J784" s="14">
        <f>'PIVOT TABLES'!$B$27-'PIVOT TABLES'!$B$26</f>
        <v>30.142000000000003</v>
      </c>
      <c r="K784" s="14">
        <f>'PIVOT TABLES'!$B$28-'PIVOT TABLES'!$B$27</f>
        <v>30.141999999999996</v>
      </c>
      <c r="L784" s="14">
        <f>200-SUM(Table3[[#This Row],[D - LIGHT]:[D - VIGOROUS]])</f>
        <v>79.432000000000002</v>
      </c>
      <c r="M784" s="14">
        <f>'PIVOT TABLES'!$I$26</f>
        <v>65.603999999999999</v>
      </c>
      <c r="N784" s="14">
        <f>'PIVOT TABLES'!$I$27-'PIVOT TABLES'!$I$26</f>
        <v>32.802000000000007</v>
      </c>
      <c r="O784" s="14">
        <f>'PIVOT TABLES'!$I$28-'PIVOT TABLES'!$I$27</f>
        <v>32.801999999999992</v>
      </c>
      <c r="P784" s="14">
        <f>200-SUM(Table3[[#This Row],[M - LIGHT]:[M - VIGOROUS]])</f>
        <v>68.792000000000002</v>
      </c>
      <c r="Q784" s="14">
        <f>'PIVOT TABLES'!$P$26</f>
        <v>62.64</v>
      </c>
      <c r="R784" s="14">
        <f>'PIVOT TABLES'!$P$27-'PIVOT TABLES'!$P$26</f>
        <v>31.320000000000007</v>
      </c>
      <c r="S784" s="14">
        <f>'PIVOT TABLES'!$P$28-'PIVOT TABLES'!$P$27</f>
        <v>31.319999999999993</v>
      </c>
      <c r="T784" s="14">
        <f>200-SUM(Table3[[#This Row],[W - LIGHT]:[W - VIGOROUS]])</f>
        <v>74.72</v>
      </c>
      <c r="U784" s="14">
        <f>'PIVOT TABLES'!$W$26</f>
        <v>55.895999999999994</v>
      </c>
      <c r="V784" s="14">
        <f>'PIVOT TABLES'!$W$27-'PIVOT TABLES'!$W$26</f>
        <v>27.948</v>
      </c>
      <c r="W784" s="14">
        <f>'PIVOT TABLES'!$W$28-'PIVOT TABLES'!$W$27</f>
        <v>27.947999999999993</v>
      </c>
      <c r="X784" s="14">
        <f>200-SUM(Table3[[#This Row],[S - LIGHT]:[S - VIGOROUS]])</f>
        <v>88.208000000000013</v>
      </c>
    </row>
    <row r="785" spans="1:24" x14ac:dyDescent="0.25">
      <c r="A785" s="17" t="s">
        <v>54</v>
      </c>
      <c r="B785" s="13" t="str">
        <f t="shared" si="12"/>
        <v>Striker</v>
      </c>
      <c r="C785" s="7">
        <v>45344.421875</v>
      </c>
      <c r="D785" s="14">
        <v>6287</v>
      </c>
      <c r="E785" s="14">
        <v>229</v>
      </c>
      <c r="F785" s="14">
        <v>13</v>
      </c>
      <c r="G785" s="14">
        <v>21</v>
      </c>
      <c r="H785" s="14">
        <v>70.680000000000007</v>
      </c>
      <c r="I785" s="14">
        <f>'PIVOT TABLES'!$B$26</f>
        <v>60.283999999999999</v>
      </c>
      <c r="J785" s="14">
        <f>'PIVOT TABLES'!$B$27-'PIVOT TABLES'!$B$26</f>
        <v>30.142000000000003</v>
      </c>
      <c r="K785" s="14">
        <f>'PIVOT TABLES'!$B$28-'PIVOT TABLES'!$B$27</f>
        <v>30.141999999999996</v>
      </c>
      <c r="L785" s="14">
        <f>200-SUM(Table3[[#This Row],[D - LIGHT]:[D - VIGOROUS]])</f>
        <v>79.432000000000002</v>
      </c>
      <c r="M785" s="14">
        <f>'PIVOT TABLES'!$I$26</f>
        <v>65.603999999999999</v>
      </c>
      <c r="N785" s="14">
        <f>'PIVOT TABLES'!$I$27-'PIVOT TABLES'!$I$26</f>
        <v>32.802000000000007</v>
      </c>
      <c r="O785" s="14">
        <f>'PIVOT TABLES'!$I$28-'PIVOT TABLES'!$I$27</f>
        <v>32.801999999999992</v>
      </c>
      <c r="P785" s="14">
        <f>200-SUM(Table3[[#This Row],[M - LIGHT]:[M - VIGOROUS]])</f>
        <v>68.792000000000002</v>
      </c>
      <c r="Q785" s="14">
        <f>'PIVOT TABLES'!$P$26</f>
        <v>62.64</v>
      </c>
      <c r="R785" s="14">
        <f>'PIVOT TABLES'!$P$27-'PIVOT TABLES'!$P$26</f>
        <v>31.320000000000007</v>
      </c>
      <c r="S785" s="14">
        <f>'PIVOT TABLES'!$P$28-'PIVOT TABLES'!$P$27</f>
        <v>31.319999999999993</v>
      </c>
      <c r="T785" s="14">
        <f>200-SUM(Table3[[#This Row],[W - LIGHT]:[W - VIGOROUS]])</f>
        <v>74.72</v>
      </c>
      <c r="U785" s="14">
        <f>'PIVOT TABLES'!$W$26</f>
        <v>55.895999999999994</v>
      </c>
      <c r="V785" s="14">
        <f>'PIVOT TABLES'!$W$27-'PIVOT TABLES'!$W$26</f>
        <v>27.948</v>
      </c>
      <c r="W785" s="14">
        <f>'PIVOT TABLES'!$W$28-'PIVOT TABLES'!$W$27</f>
        <v>27.947999999999993</v>
      </c>
      <c r="X785" s="14">
        <f>200-SUM(Table3[[#This Row],[S - LIGHT]:[S - VIGOROUS]])</f>
        <v>88.208000000000013</v>
      </c>
    </row>
    <row r="786" spans="1:24" x14ac:dyDescent="0.25">
      <c r="A786" s="17" t="s">
        <v>55</v>
      </c>
      <c r="B786" s="13" t="str">
        <f t="shared" si="12"/>
        <v>Striker</v>
      </c>
      <c r="C786" s="7">
        <v>45344.421875</v>
      </c>
      <c r="D786" s="14">
        <v>5942</v>
      </c>
      <c r="E786" s="14">
        <v>136</v>
      </c>
      <c r="F786" s="14">
        <v>13</v>
      </c>
      <c r="G786" s="14">
        <v>22</v>
      </c>
      <c r="H786" s="14">
        <v>64.459999999999994</v>
      </c>
      <c r="I786" s="14">
        <f>'PIVOT TABLES'!$B$26</f>
        <v>60.283999999999999</v>
      </c>
      <c r="J786" s="14">
        <f>'PIVOT TABLES'!$B$27-'PIVOT TABLES'!$B$26</f>
        <v>30.142000000000003</v>
      </c>
      <c r="K786" s="14">
        <f>'PIVOT TABLES'!$B$28-'PIVOT TABLES'!$B$27</f>
        <v>30.141999999999996</v>
      </c>
      <c r="L786" s="14">
        <f>200-SUM(Table3[[#This Row],[D - LIGHT]:[D - VIGOROUS]])</f>
        <v>79.432000000000002</v>
      </c>
      <c r="M786" s="14">
        <f>'PIVOT TABLES'!$I$26</f>
        <v>65.603999999999999</v>
      </c>
      <c r="N786" s="14">
        <f>'PIVOT TABLES'!$I$27-'PIVOT TABLES'!$I$26</f>
        <v>32.802000000000007</v>
      </c>
      <c r="O786" s="14">
        <f>'PIVOT TABLES'!$I$28-'PIVOT TABLES'!$I$27</f>
        <v>32.801999999999992</v>
      </c>
      <c r="P786" s="14">
        <f>200-SUM(Table3[[#This Row],[M - LIGHT]:[M - VIGOROUS]])</f>
        <v>68.792000000000002</v>
      </c>
      <c r="Q786" s="14">
        <f>'PIVOT TABLES'!$P$26</f>
        <v>62.64</v>
      </c>
      <c r="R786" s="14">
        <f>'PIVOT TABLES'!$P$27-'PIVOT TABLES'!$P$26</f>
        <v>31.320000000000007</v>
      </c>
      <c r="S786" s="14">
        <f>'PIVOT TABLES'!$P$28-'PIVOT TABLES'!$P$27</f>
        <v>31.319999999999993</v>
      </c>
      <c r="T786" s="14">
        <f>200-SUM(Table3[[#This Row],[W - LIGHT]:[W - VIGOROUS]])</f>
        <v>74.72</v>
      </c>
      <c r="U786" s="14">
        <f>'PIVOT TABLES'!$W$26</f>
        <v>55.895999999999994</v>
      </c>
      <c r="V786" s="14">
        <f>'PIVOT TABLES'!$W$27-'PIVOT TABLES'!$W$26</f>
        <v>27.948</v>
      </c>
      <c r="W786" s="14">
        <f>'PIVOT TABLES'!$W$28-'PIVOT TABLES'!$W$27</f>
        <v>27.947999999999993</v>
      </c>
      <c r="X786" s="14">
        <f>200-SUM(Table3[[#This Row],[S - LIGHT]:[S - VIGOROUS]])</f>
        <v>88.208000000000013</v>
      </c>
    </row>
    <row r="787" spans="1:24" x14ac:dyDescent="0.25">
      <c r="A787" s="17" t="s">
        <v>1</v>
      </c>
      <c r="B787" s="13" t="str">
        <f t="shared" si="12"/>
        <v>Defender</v>
      </c>
      <c r="C787" s="7">
        <v>45344.421875</v>
      </c>
      <c r="D787" s="14">
        <v>3514</v>
      </c>
      <c r="E787" s="14">
        <v>3</v>
      </c>
      <c r="F787" s="14">
        <v>4</v>
      </c>
      <c r="G787" s="14">
        <v>2</v>
      </c>
      <c r="H787" s="14">
        <v>35.43</v>
      </c>
      <c r="I787" s="14">
        <f>'PIVOT TABLES'!$B$26</f>
        <v>60.283999999999999</v>
      </c>
      <c r="J787" s="14">
        <f>'PIVOT TABLES'!$B$27-'PIVOT TABLES'!$B$26</f>
        <v>30.142000000000003</v>
      </c>
      <c r="K787" s="14">
        <f>'PIVOT TABLES'!$B$28-'PIVOT TABLES'!$B$27</f>
        <v>30.141999999999996</v>
      </c>
      <c r="L787" s="14">
        <f>200-SUM(Table3[[#This Row],[D - LIGHT]:[D - VIGOROUS]])</f>
        <v>79.432000000000002</v>
      </c>
      <c r="M787" s="14">
        <f>'PIVOT TABLES'!$I$26</f>
        <v>65.603999999999999</v>
      </c>
      <c r="N787" s="14">
        <f>'PIVOT TABLES'!$I$27-'PIVOT TABLES'!$I$26</f>
        <v>32.802000000000007</v>
      </c>
      <c r="O787" s="14">
        <f>'PIVOT TABLES'!$I$28-'PIVOT TABLES'!$I$27</f>
        <v>32.801999999999992</v>
      </c>
      <c r="P787" s="14">
        <f>200-SUM(Table3[[#This Row],[M - LIGHT]:[M - VIGOROUS]])</f>
        <v>68.792000000000002</v>
      </c>
      <c r="Q787" s="14">
        <f>'PIVOT TABLES'!$P$26</f>
        <v>62.64</v>
      </c>
      <c r="R787" s="14">
        <f>'PIVOT TABLES'!$P$27-'PIVOT TABLES'!$P$26</f>
        <v>31.320000000000007</v>
      </c>
      <c r="S787" s="14">
        <f>'PIVOT TABLES'!$P$28-'PIVOT TABLES'!$P$27</f>
        <v>31.319999999999993</v>
      </c>
      <c r="T787" s="14">
        <f>200-SUM(Table3[[#This Row],[W - LIGHT]:[W - VIGOROUS]])</f>
        <v>74.72</v>
      </c>
      <c r="U787" s="14">
        <f>'PIVOT TABLES'!$W$26</f>
        <v>55.895999999999994</v>
      </c>
      <c r="V787" s="14">
        <f>'PIVOT TABLES'!$W$27-'PIVOT TABLES'!$W$26</f>
        <v>27.948</v>
      </c>
      <c r="W787" s="14">
        <f>'PIVOT TABLES'!$W$28-'PIVOT TABLES'!$W$27</f>
        <v>27.947999999999993</v>
      </c>
      <c r="X787" s="14">
        <f>200-SUM(Table3[[#This Row],[S - LIGHT]:[S - VIGOROUS]])</f>
        <v>88.208000000000013</v>
      </c>
    </row>
    <row r="788" spans="1:24" x14ac:dyDescent="0.25">
      <c r="A788" s="17" t="s">
        <v>56</v>
      </c>
      <c r="B788" s="13" t="str">
        <f t="shared" si="12"/>
        <v>Midfielder</v>
      </c>
      <c r="C788" s="7">
        <v>45344.421875</v>
      </c>
      <c r="D788" s="14">
        <v>4191</v>
      </c>
      <c r="E788" s="14">
        <v>15</v>
      </c>
      <c r="F788" s="14">
        <v>4</v>
      </c>
      <c r="G788" s="14">
        <v>10</v>
      </c>
      <c r="H788" s="14">
        <v>42.72</v>
      </c>
      <c r="I788" s="14">
        <f>'PIVOT TABLES'!$B$26</f>
        <v>60.283999999999999</v>
      </c>
      <c r="J788" s="14">
        <f>'PIVOT TABLES'!$B$27-'PIVOT TABLES'!$B$26</f>
        <v>30.142000000000003</v>
      </c>
      <c r="K788" s="14">
        <f>'PIVOT TABLES'!$B$28-'PIVOT TABLES'!$B$27</f>
        <v>30.141999999999996</v>
      </c>
      <c r="L788" s="14">
        <f>200-SUM(Table3[[#This Row],[D - LIGHT]:[D - VIGOROUS]])</f>
        <v>79.432000000000002</v>
      </c>
      <c r="M788" s="14">
        <f>'PIVOT TABLES'!$I$26</f>
        <v>65.603999999999999</v>
      </c>
      <c r="N788" s="14">
        <f>'PIVOT TABLES'!$I$27-'PIVOT TABLES'!$I$26</f>
        <v>32.802000000000007</v>
      </c>
      <c r="O788" s="14">
        <f>'PIVOT TABLES'!$I$28-'PIVOT TABLES'!$I$27</f>
        <v>32.801999999999992</v>
      </c>
      <c r="P788" s="14">
        <f>200-SUM(Table3[[#This Row],[M - LIGHT]:[M - VIGOROUS]])</f>
        <v>68.792000000000002</v>
      </c>
      <c r="Q788" s="14">
        <f>'PIVOT TABLES'!$P$26</f>
        <v>62.64</v>
      </c>
      <c r="R788" s="14">
        <f>'PIVOT TABLES'!$P$27-'PIVOT TABLES'!$P$26</f>
        <v>31.320000000000007</v>
      </c>
      <c r="S788" s="14">
        <f>'PIVOT TABLES'!$P$28-'PIVOT TABLES'!$P$27</f>
        <v>31.319999999999993</v>
      </c>
      <c r="T788" s="14">
        <f>200-SUM(Table3[[#This Row],[W - LIGHT]:[W - VIGOROUS]])</f>
        <v>74.72</v>
      </c>
      <c r="U788" s="14">
        <f>'PIVOT TABLES'!$W$26</f>
        <v>55.895999999999994</v>
      </c>
      <c r="V788" s="14">
        <f>'PIVOT TABLES'!$W$27-'PIVOT TABLES'!$W$26</f>
        <v>27.948</v>
      </c>
      <c r="W788" s="14">
        <f>'PIVOT TABLES'!$W$28-'PIVOT TABLES'!$W$27</f>
        <v>27.947999999999993</v>
      </c>
      <c r="X788" s="14">
        <f>200-SUM(Table3[[#This Row],[S - LIGHT]:[S - VIGOROUS]])</f>
        <v>88.208000000000013</v>
      </c>
    </row>
    <row r="789" spans="1:24" x14ac:dyDescent="0.25">
      <c r="A789" s="17" t="s">
        <v>3</v>
      </c>
      <c r="B789" s="13" t="str">
        <f t="shared" si="12"/>
        <v>Defender</v>
      </c>
      <c r="C789" s="7">
        <v>45344.421875</v>
      </c>
      <c r="D789" s="14">
        <v>5298</v>
      </c>
      <c r="E789" s="14">
        <v>185</v>
      </c>
      <c r="F789" s="14">
        <v>11</v>
      </c>
      <c r="G789" s="14">
        <v>13</v>
      </c>
      <c r="H789" s="14">
        <v>59.23</v>
      </c>
      <c r="I789" s="14">
        <f>'PIVOT TABLES'!$B$26</f>
        <v>60.283999999999999</v>
      </c>
      <c r="J789" s="14">
        <f>'PIVOT TABLES'!$B$27-'PIVOT TABLES'!$B$26</f>
        <v>30.142000000000003</v>
      </c>
      <c r="K789" s="14">
        <f>'PIVOT TABLES'!$B$28-'PIVOT TABLES'!$B$27</f>
        <v>30.141999999999996</v>
      </c>
      <c r="L789" s="14">
        <f>200-SUM(Table3[[#This Row],[D - LIGHT]:[D - VIGOROUS]])</f>
        <v>79.432000000000002</v>
      </c>
      <c r="M789" s="14">
        <f>'PIVOT TABLES'!$I$26</f>
        <v>65.603999999999999</v>
      </c>
      <c r="N789" s="14">
        <f>'PIVOT TABLES'!$I$27-'PIVOT TABLES'!$I$26</f>
        <v>32.802000000000007</v>
      </c>
      <c r="O789" s="14">
        <f>'PIVOT TABLES'!$I$28-'PIVOT TABLES'!$I$27</f>
        <v>32.801999999999992</v>
      </c>
      <c r="P789" s="14">
        <f>200-SUM(Table3[[#This Row],[M - LIGHT]:[M - VIGOROUS]])</f>
        <v>68.792000000000002</v>
      </c>
      <c r="Q789" s="14">
        <f>'PIVOT TABLES'!$P$26</f>
        <v>62.64</v>
      </c>
      <c r="R789" s="14">
        <f>'PIVOT TABLES'!$P$27-'PIVOT TABLES'!$P$26</f>
        <v>31.320000000000007</v>
      </c>
      <c r="S789" s="14">
        <f>'PIVOT TABLES'!$P$28-'PIVOT TABLES'!$P$27</f>
        <v>31.319999999999993</v>
      </c>
      <c r="T789" s="14">
        <f>200-SUM(Table3[[#This Row],[W - LIGHT]:[W - VIGOROUS]])</f>
        <v>74.72</v>
      </c>
      <c r="U789" s="14">
        <f>'PIVOT TABLES'!$W$26</f>
        <v>55.895999999999994</v>
      </c>
      <c r="V789" s="14">
        <f>'PIVOT TABLES'!$W$27-'PIVOT TABLES'!$W$26</f>
        <v>27.948</v>
      </c>
      <c r="W789" s="14">
        <f>'PIVOT TABLES'!$W$28-'PIVOT TABLES'!$W$27</f>
        <v>27.947999999999993</v>
      </c>
      <c r="X789" s="14">
        <f>200-SUM(Table3[[#This Row],[S - LIGHT]:[S - VIGOROUS]])</f>
        <v>88.208000000000013</v>
      </c>
    </row>
    <row r="790" spans="1:24" x14ac:dyDescent="0.25">
      <c r="A790" s="17" t="s">
        <v>59</v>
      </c>
      <c r="B790" s="13" t="str">
        <f t="shared" si="12"/>
        <v>Striker</v>
      </c>
      <c r="C790" s="7">
        <v>45344.421875</v>
      </c>
      <c r="D790" s="14">
        <v>1584</v>
      </c>
      <c r="E790" s="14">
        <v>0</v>
      </c>
      <c r="F790" s="14">
        <v>0</v>
      </c>
      <c r="G790" s="14">
        <v>0</v>
      </c>
      <c r="H790" s="14">
        <v>15.84</v>
      </c>
      <c r="I790" s="14">
        <f>'PIVOT TABLES'!$B$26</f>
        <v>60.283999999999999</v>
      </c>
      <c r="J790" s="14">
        <f>'PIVOT TABLES'!$B$27-'PIVOT TABLES'!$B$26</f>
        <v>30.142000000000003</v>
      </c>
      <c r="K790" s="14">
        <f>'PIVOT TABLES'!$B$28-'PIVOT TABLES'!$B$27</f>
        <v>30.141999999999996</v>
      </c>
      <c r="L790" s="14">
        <f>200-SUM(Table3[[#This Row],[D - LIGHT]:[D - VIGOROUS]])</f>
        <v>79.432000000000002</v>
      </c>
      <c r="M790" s="14">
        <f>'PIVOT TABLES'!$I$26</f>
        <v>65.603999999999999</v>
      </c>
      <c r="N790" s="14">
        <f>'PIVOT TABLES'!$I$27-'PIVOT TABLES'!$I$26</f>
        <v>32.802000000000007</v>
      </c>
      <c r="O790" s="14">
        <f>'PIVOT TABLES'!$I$28-'PIVOT TABLES'!$I$27</f>
        <v>32.801999999999992</v>
      </c>
      <c r="P790" s="14">
        <f>200-SUM(Table3[[#This Row],[M - LIGHT]:[M - VIGOROUS]])</f>
        <v>68.792000000000002</v>
      </c>
      <c r="Q790" s="14">
        <f>'PIVOT TABLES'!$P$26</f>
        <v>62.64</v>
      </c>
      <c r="R790" s="14">
        <f>'PIVOT TABLES'!$P$27-'PIVOT TABLES'!$P$26</f>
        <v>31.320000000000007</v>
      </c>
      <c r="S790" s="14">
        <f>'PIVOT TABLES'!$P$28-'PIVOT TABLES'!$P$27</f>
        <v>31.319999999999993</v>
      </c>
      <c r="T790" s="14">
        <f>200-SUM(Table3[[#This Row],[W - LIGHT]:[W - VIGOROUS]])</f>
        <v>74.72</v>
      </c>
      <c r="U790" s="14">
        <f>'PIVOT TABLES'!$W$26</f>
        <v>55.895999999999994</v>
      </c>
      <c r="V790" s="14">
        <f>'PIVOT TABLES'!$W$27-'PIVOT TABLES'!$W$26</f>
        <v>27.948</v>
      </c>
      <c r="W790" s="14">
        <f>'PIVOT TABLES'!$W$28-'PIVOT TABLES'!$W$27</f>
        <v>27.947999999999993</v>
      </c>
      <c r="X790" s="14">
        <f>200-SUM(Table3[[#This Row],[S - LIGHT]:[S - VIGOROUS]])</f>
        <v>88.208000000000013</v>
      </c>
    </row>
    <row r="791" spans="1:24" x14ac:dyDescent="0.25">
      <c r="A791" s="17" t="s">
        <v>4</v>
      </c>
      <c r="B791" s="13" t="str">
        <f t="shared" si="12"/>
        <v>Midfielder</v>
      </c>
      <c r="C791" s="7">
        <v>45344.421875</v>
      </c>
      <c r="D791" s="14">
        <v>5529</v>
      </c>
      <c r="E791" s="14">
        <v>7</v>
      </c>
      <c r="F791" s="14">
        <v>19</v>
      </c>
      <c r="G791" s="14">
        <v>22</v>
      </c>
      <c r="H791" s="14">
        <v>56.7</v>
      </c>
      <c r="I791" s="14">
        <f>'PIVOT TABLES'!$B$26</f>
        <v>60.283999999999999</v>
      </c>
      <c r="J791" s="14">
        <f>'PIVOT TABLES'!$B$27-'PIVOT TABLES'!$B$26</f>
        <v>30.142000000000003</v>
      </c>
      <c r="K791" s="14">
        <f>'PIVOT TABLES'!$B$28-'PIVOT TABLES'!$B$27</f>
        <v>30.141999999999996</v>
      </c>
      <c r="L791" s="14">
        <f>200-SUM(Table3[[#This Row],[D - LIGHT]:[D - VIGOROUS]])</f>
        <v>79.432000000000002</v>
      </c>
      <c r="M791" s="14">
        <f>'PIVOT TABLES'!$I$26</f>
        <v>65.603999999999999</v>
      </c>
      <c r="N791" s="14">
        <f>'PIVOT TABLES'!$I$27-'PIVOT TABLES'!$I$26</f>
        <v>32.802000000000007</v>
      </c>
      <c r="O791" s="14">
        <f>'PIVOT TABLES'!$I$28-'PIVOT TABLES'!$I$27</f>
        <v>32.801999999999992</v>
      </c>
      <c r="P791" s="14">
        <f>200-SUM(Table3[[#This Row],[M - LIGHT]:[M - VIGOROUS]])</f>
        <v>68.792000000000002</v>
      </c>
      <c r="Q791" s="14">
        <f>'PIVOT TABLES'!$P$26</f>
        <v>62.64</v>
      </c>
      <c r="R791" s="14">
        <f>'PIVOT TABLES'!$P$27-'PIVOT TABLES'!$P$26</f>
        <v>31.320000000000007</v>
      </c>
      <c r="S791" s="14">
        <f>'PIVOT TABLES'!$P$28-'PIVOT TABLES'!$P$27</f>
        <v>31.319999999999993</v>
      </c>
      <c r="T791" s="14">
        <f>200-SUM(Table3[[#This Row],[W - LIGHT]:[W - VIGOROUS]])</f>
        <v>74.72</v>
      </c>
      <c r="U791" s="14">
        <f>'PIVOT TABLES'!$W$26</f>
        <v>55.895999999999994</v>
      </c>
      <c r="V791" s="14">
        <f>'PIVOT TABLES'!$W$27-'PIVOT TABLES'!$W$26</f>
        <v>27.948</v>
      </c>
      <c r="W791" s="14">
        <f>'PIVOT TABLES'!$W$28-'PIVOT TABLES'!$W$27</f>
        <v>27.947999999999993</v>
      </c>
      <c r="X791" s="14">
        <f>200-SUM(Table3[[#This Row],[S - LIGHT]:[S - VIGOROUS]])</f>
        <v>88.208000000000013</v>
      </c>
    </row>
    <row r="792" spans="1:24" x14ac:dyDescent="0.25">
      <c r="A792" s="17" t="s">
        <v>60</v>
      </c>
      <c r="B792" s="13" t="str">
        <f t="shared" si="12"/>
        <v>Winger</v>
      </c>
      <c r="C792" s="7">
        <v>45344.421875</v>
      </c>
      <c r="D792" s="14">
        <v>4873</v>
      </c>
      <c r="E792" s="14">
        <v>31</v>
      </c>
      <c r="F792" s="14">
        <v>8</v>
      </c>
      <c r="G792" s="14">
        <v>14</v>
      </c>
      <c r="H792" s="14">
        <v>50.26</v>
      </c>
      <c r="I792" s="14">
        <f>'PIVOT TABLES'!$B$26</f>
        <v>60.283999999999999</v>
      </c>
      <c r="J792" s="14">
        <f>'PIVOT TABLES'!$B$27-'PIVOT TABLES'!$B$26</f>
        <v>30.142000000000003</v>
      </c>
      <c r="K792" s="14">
        <f>'PIVOT TABLES'!$B$28-'PIVOT TABLES'!$B$27</f>
        <v>30.141999999999996</v>
      </c>
      <c r="L792" s="14">
        <f>200-SUM(Table3[[#This Row],[D - LIGHT]:[D - VIGOROUS]])</f>
        <v>79.432000000000002</v>
      </c>
      <c r="M792" s="14">
        <f>'PIVOT TABLES'!$I$26</f>
        <v>65.603999999999999</v>
      </c>
      <c r="N792" s="14">
        <f>'PIVOT TABLES'!$I$27-'PIVOT TABLES'!$I$26</f>
        <v>32.802000000000007</v>
      </c>
      <c r="O792" s="14">
        <f>'PIVOT TABLES'!$I$28-'PIVOT TABLES'!$I$27</f>
        <v>32.801999999999992</v>
      </c>
      <c r="P792" s="14">
        <f>200-SUM(Table3[[#This Row],[M - LIGHT]:[M - VIGOROUS]])</f>
        <v>68.792000000000002</v>
      </c>
      <c r="Q792" s="14">
        <f>'PIVOT TABLES'!$P$26</f>
        <v>62.64</v>
      </c>
      <c r="R792" s="14">
        <f>'PIVOT TABLES'!$P$27-'PIVOT TABLES'!$P$26</f>
        <v>31.320000000000007</v>
      </c>
      <c r="S792" s="14">
        <f>'PIVOT TABLES'!$P$28-'PIVOT TABLES'!$P$27</f>
        <v>31.319999999999993</v>
      </c>
      <c r="T792" s="14">
        <f>200-SUM(Table3[[#This Row],[W - LIGHT]:[W - VIGOROUS]])</f>
        <v>74.72</v>
      </c>
      <c r="U792" s="14">
        <f>'PIVOT TABLES'!$W$26</f>
        <v>55.895999999999994</v>
      </c>
      <c r="V792" s="14">
        <f>'PIVOT TABLES'!$W$27-'PIVOT TABLES'!$W$26</f>
        <v>27.948</v>
      </c>
      <c r="W792" s="14">
        <f>'PIVOT TABLES'!$W$28-'PIVOT TABLES'!$W$27</f>
        <v>27.947999999999993</v>
      </c>
      <c r="X792" s="14">
        <f>200-SUM(Table3[[#This Row],[S - LIGHT]:[S - VIGOROUS]])</f>
        <v>88.208000000000013</v>
      </c>
    </row>
    <row r="793" spans="1:24" x14ac:dyDescent="0.25">
      <c r="A793" s="17" t="s">
        <v>71</v>
      </c>
      <c r="B793" s="13" t="str">
        <f t="shared" si="12"/>
        <v>Midfielder</v>
      </c>
      <c r="C793" s="7">
        <v>45344.421875</v>
      </c>
      <c r="D793" s="14">
        <v>4048</v>
      </c>
      <c r="E793" s="14">
        <v>7</v>
      </c>
      <c r="F793" s="14">
        <v>3</v>
      </c>
      <c r="G793" s="14">
        <v>4</v>
      </c>
      <c r="H793" s="14">
        <v>40.89</v>
      </c>
      <c r="I793" s="14">
        <f>'PIVOT TABLES'!$B$26</f>
        <v>60.283999999999999</v>
      </c>
      <c r="J793" s="14">
        <f>'PIVOT TABLES'!$B$27-'PIVOT TABLES'!$B$26</f>
        <v>30.142000000000003</v>
      </c>
      <c r="K793" s="14">
        <f>'PIVOT TABLES'!$B$28-'PIVOT TABLES'!$B$27</f>
        <v>30.141999999999996</v>
      </c>
      <c r="L793" s="14">
        <f>200-SUM(Table3[[#This Row],[D - LIGHT]:[D - VIGOROUS]])</f>
        <v>79.432000000000002</v>
      </c>
      <c r="M793" s="14">
        <f>'PIVOT TABLES'!$I$26</f>
        <v>65.603999999999999</v>
      </c>
      <c r="N793" s="14">
        <f>'PIVOT TABLES'!$I$27-'PIVOT TABLES'!$I$26</f>
        <v>32.802000000000007</v>
      </c>
      <c r="O793" s="14">
        <f>'PIVOT TABLES'!$I$28-'PIVOT TABLES'!$I$27</f>
        <v>32.801999999999992</v>
      </c>
      <c r="P793" s="14">
        <f>200-SUM(Table3[[#This Row],[M - LIGHT]:[M - VIGOROUS]])</f>
        <v>68.792000000000002</v>
      </c>
      <c r="Q793" s="14">
        <f>'PIVOT TABLES'!$P$26</f>
        <v>62.64</v>
      </c>
      <c r="R793" s="14">
        <f>'PIVOT TABLES'!$P$27-'PIVOT TABLES'!$P$26</f>
        <v>31.320000000000007</v>
      </c>
      <c r="S793" s="14">
        <f>'PIVOT TABLES'!$P$28-'PIVOT TABLES'!$P$27</f>
        <v>31.319999999999993</v>
      </c>
      <c r="T793" s="14">
        <f>200-SUM(Table3[[#This Row],[W - LIGHT]:[W - VIGOROUS]])</f>
        <v>74.72</v>
      </c>
      <c r="U793" s="14">
        <f>'PIVOT TABLES'!$W$26</f>
        <v>55.895999999999994</v>
      </c>
      <c r="V793" s="14">
        <f>'PIVOT TABLES'!$W$27-'PIVOT TABLES'!$W$26</f>
        <v>27.948</v>
      </c>
      <c r="W793" s="14">
        <f>'PIVOT TABLES'!$W$28-'PIVOT TABLES'!$W$27</f>
        <v>27.947999999999993</v>
      </c>
      <c r="X793" s="14">
        <f>200-SUM(Table3[[#This Row],[S - LIGHT]:[S - VIGOROUS]])</f>
        <v>88.208000000000013</v>
      </c>
    </row>
    <row r="794" spans="1:24" x14ac:dyDescent="0.25">
      <c r="A794" s="17" t="s">
        <v>5</v>
      </c>
      <c r="B794" s="13" t="str">
        <f t="shared" si="12"/>
        <v>Midfielder</v>
      </c>
      <c r="C794" s="7">
        <v>45344.421875</v>
      </c>
      <c r="D794" s="14">
        <v>3826</v>
      </c>
      <c r="E794" s="14">
        <v>0</v>
      </c>
      <c r="F794" s="14">
        <v>5</v>
      </c>
      <c r="G794" s="14">
        <v>10</v>
      </c>
      <c r="H794" s="14">
        <v>38.659999999999997</v>
      </c>
      <c r="I794" s="14">
        <f>'PIVOT TABLES'!$B$26</f>
        <v>60.283999999999999</v>
      </c>
      <c r="J794" s="14">
        <f>'PIVOT TABLES'!$B$27-'PIVOT TABLES'!$B$26</f>
        <v>30.142000000000003</v>
      </c>
      <c r="K794" s="14">
        <f>'PIVOT TABLES'!$B$28-'PIVOT TABLES'!$B$27</f>
        <v>30.141999999999996</v>
      </c>
      <c r="L794" s="14">
        <f>200-SUM(Table3[[#This Row],[D - LIGHT]:[D - VIGOROUS]])</f>
        <v>79.432000000000002</v>
      </c>
      <c r="M794" s="14">
        <f>'PIVOT TABLES'!$I$26</f>
        <v>65.603999999999999</v>
      </c>
      <c r="N794" s="14">
        <f>'PIVOT TABLES'!$I$27-'PIVOT TABLES'!$I$26</f>
        <v>32.802000000000007</v>
      </c>
      <c r="O794" s="14">
        <f>'PIVOT TABLES'!$I$28-'PIVOT TABLES'!$I$27</f>
        <v>32.801999999999992</v>
      </c>
      <c r="P794" s="14">
        <f>200-SUM(Table3[[#This Row],[M - LIGHT]:[M - VIGOROUS]])</f>
        <v>68.792000000000002</v>
      </c>
      <c r="Q794" s="14">
        <f>'PIVOT TABLES'!$P$26</f>
        <v>62.64</v>
      </c>
      <c r="R794" s="14">
        <f>'PIVOT TABLES'!$P$27-'PIVOT TABLES'!$P$26</f>
        <v>31.320000000000007</v>
      </c>
      <c r="S794" s="14">
        <f>'PIVOT TABLES'!$P$28-'PIVOT TABLES'!$P$27</f>
        <v>31.319999999999993</v>
      </c>
      <c r="T794" s="14">
        <f>200-SUM(Table3[[#This Row],[W - LIGHT]:[W - VIGOROUS]])</f>
        <v>74.72</v>
      </c>
      <c r="U794" s="14">
        <f>'PIVOT TABLES'!$W$26</f>
        <v>55.895999999999994</v>
      </c>
      <c r="V794" s="14">
        <f>'PIVOT TABLES'!$W$27-'PIVOT TABLES'!$W$26</f>
        <v>27.948</v>
      </c>
      <c r="W794" s="14">
        <f>'PIVOT TABLES'!$W$28-'PIVOT TABLES'!$W$27</f>
        <v>27.947999999999993</v>
      </c>
      <c r="X794" s="14">
        <f>200-SUM(Table3[[#This Row],[S - LIGHT]:[S - VIGOROUS]])</f>
        <v>88.208000000000013</v>
      </c>
    </row>
    <row r="795" spans="1:24" x14ac:dyDescent="0.25">
      <c r="A795" s="17" t="s">
        <v>6</v>
      </c>
      <c r="B795" s="13" t="str">
        <f t="shared" si="12"/>
        <v>Midfielder</v>
      </c>
      <c r="C795" s="7">
        <v>45344.421875</v>
      </c>
      <c r="D795" s="14">
        <v>4624</v>
      </c>
      <c r="E795" s="14">
        <v>24</v>
      </c>
      <c r="F795" s="14">
        <v>12</v>
      </c>
      <c r="G795" s="14">
        <v>11</v>
      </c>
      <c r="H795" s="14">
        <v>47.66</v>
      </c>
      <c r="I795" s="14">
        <f>'PIVOT TABLES'!$B$26</f>
        <v>60.283999999999999</v>
      </c>
      <c r="J795" s="14">
        <f>'PIVOT TABLES'!$B$27-'PIVOT TABLES'!$B$26</f>
        <v>30.142000000000003</v>
      </c>
      <c r="K795" s="14">
        <f>'PIVOT TABLES'!$B$28-'PIVOT TABLES'!$B$27</f>
        <v>30.141999999999996</v>
      </c>
      <c r="L795" s="14">
        <f>200-SUM(Table3[[#This Row],[D - LIGHT]:[D - VIGOROUS]])</f>
        <v>79.432000000000002</v>
      </c>
      <c r="M795" s="14">
        <f>'PIVOT TABLES'!$I$26</f>
        <v>65.603999999999999</v>
      </c>
      <c r="N795" s="14">
        <f>'PIVOT TABLES'!$I$27-'PIVOT TABLES'!$I$26</f>
        <v>32.802000000000007</v>
      </c>
      <c r="O795" s="14">
        <f>'PIVOT TABLES'!$I$28-'PIVOT TABLES'!$I$27</f>
        <v>32.801999999999992</v>
      </c>
      <c r="P795" s="14">
        <f>200-SUM(Table3[[#This Row],[M - LIGHT]:[M - VIGOROUS]])</f>
        <v>68.792000000000002</v>
      </c>
      <c r="Q795" s="14">
        <f>'PIVOT TABLES'!$P$26</f>
        <v>62.64</v>
      </c>
      <c r="R795" s="14">
        <f>'PIVOT TABLES'!$P$27-'PIVOT TABLES'!$P$26</f>
        <v>31.320000000000007</v>
      </c>
      <c r="S795" s="14">
        <f>'PIVOT TABLES'!$P$28-'PIVOT TABLES'!$P$27</f>
        <v>31.319999999999993</v>
      </c>
      <c r="T795" s="14">
        <f>200-SUM(Table3[[#This Row],[W - LIGHT]:[W - VIGOROUS]])</f>
        <v>74.72</v>
      </c>
      <c r="U795" s="14">
        <f>'PIVOT TABLES'!$W$26</f>
        <v>55.895999999999994</v>
      </c>
      <c r="V795" s="14">
        <f>'PIVOT TABLES'!$W$27-'PIVOT TABLES'!$W$26</f>
        <v>27.948</v>
      </c>
      <c r="W795" s="14">
        <f>'PIVOT TABLES'!$W$28-'PIVOT TABLES'!$W$27</f>
        <v>27.947999999999993</v>
      </c>
      <c r="X795" s="14">
        <f>200-SUM(Table3[[#This Row],[S - LIGHT]:[S - VIGOROUS]])</f>
        <v>88.208000000000013</v>
      </c>
    </row>
    <row r="796" spans="1:24" x14ac:dyDescent="0.25">
      <c r="A796" s="17" t="s">
        <v>62</v>
      </c>
      <c r="B796" s="13" t="str">
        <f t="shared" si="12"/>
        <v>Midfielder</v>
      </c>
      <c r="C796" s="7">
        <v>45344.421875</v>
      </c>
      <c r="D796" s="14">
        <v>4047</v>
      </c>
      <c r="E796" s="14">
        <v>14</v>
      </c>
      <c r="F796" s="14">
        <v>3</v>
      </c>
      <c r="G796" s="14">
        <v>5</v>
      </c>
      <c r="H796" s="14">
        <v>41.11</v>
      </c>
      <c r="I796" s="14">
        <f>'PIVOT TABLES'!$B$26</f>
        <v>60.283999999999999</v>
      </c>
      <c r="J796" s="14">
        <f>'PIVOT TABLES'!$B$27-'PIVOT TABLES'!$B$26</f>
        <v>30.142000000000003</v>
      </c>
      <c r="K796" s="14">
        <f>'PIVOT TABLES'!$B$28-'PIVOT TABLES'!$B$27</f>
        <v>30.141999999999996</v>
      </c>
      <c r="L796" s="14">
        <f>200-SUM(Table3[[#This Row],[D - LIGHT]:[D - VIGOROUS]])</f>
        <v>79.432000000000002</v>
      </c>
      <c r="M796" s="14">
        <f>'PIVOT TABLES'!$I$26</f>
        <v>65.603999999999999</v>
      </c>
      <c r="N796" s="14">
        <f>'PIVOT TABLES'!$I$27-'PIVOT TABLES'!$I$26</f>
        <v>32.802000000000007</v>
      </c>
      <c r="O796" s="14">
        <f>'PIVOT TABLES'!$I$28-'PIVOT TABLES'!$I$27</f>
        <v>32.801999999999992</v>
      </c>
      <c r="P796" s="14">
        <f>200-SUM(Table3[[#This Row],[M - LIGHT]:[M - VIGOROUS]])</f>
        <v>68.792000000000002</v>
      </c>
      <c r="Q796" s="14">
        <f>'PIVOT TABLES'!$P$26</f>
        <v>62.64</v>
      </c>
      <c r="R796" s="14">
        <f>'PIVOT TABLES'!$P$27-'PIVOT TABLES'!$P$26</f>
        <v>31.320000000000007</v>
      </c>
      <c r="S796" s="14">
        <f>'PIVOT TABLES'!$P$28-'PIVOT TABLES'!$P$27</f>
        <v>31.319999999999993</v>
      </c>
      <c r="T796" s="14">
        <f>200-SUM(Table3[[#This Row],[W - LIGHT]:[W - VIGOROUS]])</f>
        <v>74.72</v>
      </c>
      <c r="U796" s="14">
        <f>'PIVOT TABLES'!$W$26</f>
        <v>55.895999999999994</v>
      </c>
      <c r="V796" s="14">
        <f>'PIVOT TABLES'!$W$27-'PIVOT TABLES'!$W$26</f>
        <v>27.948</v>
      </c>
      <c r="W796" s="14">
        <f>'PIVOT TABLES'!$W$28-'PIVOT TABLES'!$W$27</f>
        <v>27.947999999999993</v>
      </c>
      <c r="X796" s="14">
        <f>200-SUM(Table3[[#This Row],[S - LIGHT]:[S - VIGOROUS]])</f>
        <v>88.208000000000013</v>
      </c>
    </row>
    <row r="797" spans="1:24" x14ac:dyDescent="0.25">
      <c r="A797" s="17" t="s">
        <v>64</v>
      </c>
      <c r="B797" s="13" t="str">
        <f t="shared" si="12"/>
        <v>Midfielder</v>
      </c>
      <c r="C797" s="7">
        <v>45344.421875</v>
      </c>
      <c r="D797" s="14">
        <v>5570</v>
      </c>
      <c r="E797" s="14">
        <v>189</v>
      </c>
      <c r="F797" s="14">
        <v>16</v>
      </c>
      <c r="G797" s="14">
        <v>15</v>
      </c>
      <c r="H797" s="14">
        <v>62.31</v>
      </c>
      <c r="I797" s="14">
        <f>'PIVOT TABLES'!$B$26</f>
        <v>60.283999999999999</v>
      </c>
      <c r="J797" s="14">
        <f>'PIVOT TABLES'!$B$27-'PIVOT TABLES'!$B$26</f>
        <v>30.142000000000003</v>
      </c>
      <c r="K797" s="14">
        <f>'PIVOT TABLES'!$B$28-'PIVOT TABLES'!$B$27</f>
        <v>30.141999999999996</v>
      </c>
      <c r="L797" s="14">
        <f>200-SUM(Table3[[#This Row],[D - LIGHT]:[D - VIGOROUS]])</f>
        <v>79.432000000000002</v>
      </c>
      <c r="M797" s="14">
        <f>'PIVOT TABLES'!$I$26</f>
        <v>65.603999999999999</v>
      </c>
      <c r="N797" s="14">
        <f>'PIVOT TABLES'!$I$27-'PIVOT TABLES'!$I$26</f>
        <v>32.802000000000007</v>
      </c>
      <c r="O797" s="14">
        <f>'PIVOT TABLES'!$I$28-'PIVOT TABLES'!$I$27</f>
        <v>32.801999999999992</v>
      </c>
      <c r="P797" s="14">
        <f>200-SUM(Table3[[#This Row],[M - LIGHT]:[M - VIGOROUS]])</f>
        <v>68.792000000000002</v>
      </c>
      <c r="Q797" s="14">
        <f>'PIVOT TABLES'!$P$26</f>
        <v>62.64</v>
      </c>
      <c r="R797" s="14">
        <f>'PIVOT TABLES'!$P$27-'PIVOT TABLES'!$P$26</f>
        <v>31.320000000000007</v>
      </c>
      <c r="S797" s="14">
        <f>'PIVOT TABLES'!$P$28-'PIVOT TABLES'!$P$27</f>
        <v>31.319999999999993</v>
      </c>
      <c r="T797" s="14">
        <f>200-SUM(Table3[[#This Row],[W - LIGHT]:[W - VIGOROUS]])</f>
        <v>74.72</v>
      </c>
      <c r="U797" s="14">
        <f>'PIVOT TABLES'!$W$26</f>
        <v>55.895999999999994</v>
      </c>
      <c r="V797" s="14">
        <f>'PIVOT TABLES'!$W$27-'PIVOT TABLES'!$W$26</f>
        <v>27.948</v>
      </c>
      <c r="W797" s="14">
        <f>'PIVOT TABLES'!$W$28-'PIVOT TABLES'!$W$27</f>
        <v>27.947999999999993</v>
      </c>
      <c r="X797" s="14">
        <f>200-SUM(Table3[[#This Row],[S - LIGHT]:[S - VIGOROUS]])</f>
        <v>88.208000000000013</v>
      </c>
    </row>
    <row r="798" spans="1:24" x14ac:dyDescent="0.25">
      <c r="A798" s="17" t="s">
        <v>65</v>
      </c>
      <c r="B798" s="13" t="str">
        <f t="shared" si="12"/>
        <v>Winger</v>
      </c>
      <c r="C798" s="7">
        <v>45344.421875</v>
      </c>
      <c r="D798" s="14">
        <v>5540</v>
      </c>
      <c r="E798" s="14">
        <v>236</v>
      </c>
      <c r="F798" s="14">
        <v>8</v>
      </c>
      <c r="G798" s="14">
        <v>11</v>
      </c>
      <c r="H798" s="14">
        <v>63.02</v>
      </c>
      <c r="I798" s="14">
        <f>'PIVOT TABLES'!$B$26</f>
        <v>60.283999999999999</v>
      </c>
      <c r="J798" s="14">
        <f>'PIVOT TABLES'!$B$27-'PIVOT TABLES'!$B$26</f>
        <v>30.142000000000003</v>
      </c>
      <c r="K798" s="14">
        <f>'PIVOT TABLES'!$B$28-'PIVOT TABLES'!$B$27</f>
        <v>30.141999999999996</v>
      </c>
      <c r="L798" s="14">
        <f>200-SUM(Table3[[#This Row],[D - LIGHT]:[D - VIGOROUS]])</f>
        <v>79.432000000000002</v>
      </c>
      <c r="M798" s="14">
        <f>'PIVOT TABLES'!$I$26</f>
        <v>65.603999999999999</v>
      </c>
      <c r="N798" s="14">
        <f>'PIVOT TABLES'!$I$27-'PIVOT TABLES'!$I$26</f>
        <v>32.802000000000007</v>
      </c>
      <c r="O798" s="14">
        <f>'PIVOT TABLES'!$I$28-'PIVOT TABLES'!$I$27</f>
        <v>32.801999999999992</v>
      </c>
      <c r="P798" s="14">
        <f>200-SUM(Table3[[#This Row],[M - LIGHT]:[M - VIGOROUS]])</f>
        <v>68.792000000000002</v>
      </c>
      <c r="Q798" s="14">
        <f>'PIVOT TABLES'!$P$26</f>
        <v>62.64</v>
      </c>
      <c r="R798" s="14">
        <f>'PIVOT TABLES'!$P$27-'PIVOT TABLES'!$P$26</f>
        <v>31.320000000000007</v>
      </c>
      <c r="S798" s="14">
        <f>'PIVOT TABLES'!$P$28-'PIVOT TABLES'!$P$27</f>
        <v>31.319999999999993</v>
      </c>
      <c r="T798" s="14">
        <f>200-SUM(Table3[[#This Row],[W - LIGHT]:[W - VIGOROUS]])</f>
        <v>74.72</v>
      </c>
      <c r="U798" s="14">
        <f>'PIVOT TABLES'!$W$26</f>
        <v>55.895999999999994</v>
      </c>
      <c r="V798" s="14">
        <f>'PIVOT TABLES'!$W$27-'PIVOT TABLES'!$W$26</f>
        <v>27.948</v>
      </c>
      <c r="W798" s="14">
        <f>'PIVOT TABLES'!$W$28-'PIVOT TABLES'!$W$27</f>
        <v>27.947999999999993</v>
      </c>
      <c r="X798" s="14">
        <f>200-SUM(Table3[[#This Row],[S - LIGHT]:[S - VIGOROUS]])</f>
        <v>88.208000000000013</v>
      </c>
    </row>
    <row r="799" spans="1:24" x14ac:dyDescent="0.25">
      <c r="A799" s="17" t="s">
        <v>66</v>
      </c>
      <c r="B799" s="13" t="str">
        <f t="shared" si="12"/>
        <v>Striker</v>
      </c>
      <c r="C799" s="7">
        <v>45344.421875</v>
      </c>
      <c r="D799" s="14">
        <v>1424</v>
      </c>
      <c r="E799" s="14">
        <v>0</v>
      </c>
      <c r="F799" s="14">
        <v>1</v>
      </c>
      <c r="G799" s="14">
        <v>1</v>
      </c>
      <c r="H799" s="14">
        <v>14.3</v>
      </c>
      <c r="I799" s="14">
        <f>'PIVOT TABLES'!$B$26</f>
        <v>60.283999999999999</v>
      </c>
      <c r="J799" s="14">
        <f>'PIVOT TABLES'!$B$27-'PIVOT TABLES'!$B$26</f>
        <v>30.142000000000003</v>
      </c>
      <c r="K799" s="14">
        <f>'PIVOT TABLES'!$B$28-'PIVOT TABLES'!$B$27</f>
        <v>30.141999999999996</v>
      </c>
      <c r="L799" s="14">
        <f>200-SUM(Table3[[#This Row],[D - LIGHT]:[D - VIGOROUS]])</f>
        <v>79.432000000000002</v>
      </c>
      <c r="M799" s="14">
        <f>'PIVOT TABLES'!$I$26</f>
        <v>65.603999999999999</v>
      </c>
      <c r="N799" s="14">
        <f>'PIVOT TABLES'!$I$27-'PIVOT TABLES'!$I$26</f>
        <v>32.802000000000007</v>
      </c>
      <c r="O799" s="14">
        <f>'PIVOT TABLES'!$I$28-'PIVOT TABLES'!$I$27</f>
        <v>32.801999999999992</v>
      </c>
      <c r="P799" s="14">
        <f>200-SUM(Table3[[#This Row],[M - LIGHT]:[M - VIGOROUS]])</f>
        <v>68.792000000000002</v>
      </c>
      <c r="Q799" s="14">
        <f>'PIVOT TABLES'!$P$26</f>
        <v>62.64</v>
      </c>
      <c r="R799" s="14">
        <f>'PIVOT TABLES'!$P$27-'PIVOT TABLES'!$P$26</f>
        <v>31.320000000000007</v>
      </c>
      <c r="S799" s="14">
        <f>'PIVOT TABLES'!$P$28-'PIVOT TABLES'!$P$27</f>
        <v>31.319999999999993</v>
      </c>
      <c r="T799" s="14">
        <f>200-SUM(Table3[[#This Row],[W - LIGHT]:[W - VIGOROUS]])</f>
        <v>74.72</v>
      </c>
      <c r="U799" s="14">
        <f>'PIVOT TABLES'!$W$26</f>
        <v>55.895999999999994</v>
      </c>
      <c r="V799" s="14">
        <f>'PIVOT TABLES'!$W$27-'PIVOT TABLES'!$W$26</f>
        <v>27.948</v>
      </c>
      <c r="W799" s="14">
        <f>'PIVOT TABLES'!$W$28-'PIVOT TABLES'!$W$27</f>
        <v>27.947999999999993</v>
      </c>
      <c r="X799" s="14">
        <f>200-SUM(Table3[[#This Row],[S - LIGHT]:[S - VIGOROUS]])</f>
        <v>88.208000000000013</v>
      </c>
    </row>
    <row r="800" spans="1:24" x14ac:dyDescent="0.25">
      <c r="A800" s="17" t="s">
        <v>78</v>
      </c>
      <c r="B800" s="13" t="str">
        <f t="shared" si="12"/>
        <v>Defender</v>
      </c>
      <c r="C800" s="7">
        <v>45344.421875</v>
      </c>
      <c r="D800" s="14">
        <v>5510</v>
      </c>
      <c r="E800" s="14">
        <v>225</v>
      </c>
      <c r="F800" s="14">
        <v>13</v>
      </c>
      <c r="G800" s="14">
        <v>18</v>
      </c>
      <c r="H800" s="14">
        <v>62.73</v>
      </c>
      <c r="I800" s="14">
        <f>'PIVOT TABLES'!$B$26</f>
        <v>60.283999999999999</v>
      </c>
      <c r="J800" s="14">
        <f>'PIVOT TABLES'!$B$27-'PIVOT TABLES'!$B$26</f>
        <v>30.142000000000003</v>
      </c>
      <c r="K800" s="14">
        <f>'PIVOT TABLES'!$B$28-'PIVOT TABLES'!$B$27</f>
        <v>30.141999999999996</v>
      </c>
      <c r="L800" s="14">
        <f>200-SUM(Table3[[#This Row],[D - LIGHT]:[D - VIGOROUS]])</f>
        <v>79.432000000000002</v>
      </c>
      <c r="M800" s="14">
        <f>'PIVOT TABLES'!$I$26</f>
        <v>65.603999999999999</v>
      </c>
      <c r="N800" s="14">
        <f>'PIVOT TABLES'!$I$27-'PIVOT TABLES'!$I$26</f>
        <v>32.802000000000007</v>
      </c>
      <c r="O800" s="14">
        <f>'PIVOT TABLES'!$I$28-'PIVOT TABLES'!$I$27</f>
        <v>32.801999999999992</v>
      </c>
      <c r="P800" s="14">
        <f>200-SUM(Table3[[#This Row],[M - LIGHT]:[M - VIGOROUS]])</f>
        <v>68.792000000000002</v>
      </c>
      <c r="Q800" s="14">
        <f>'PIVOT TABLES'!$P$26</f>
        <v>62.64</v>
      </c>
      <c r="R800" s="14">
        <f>'PIVOT TABLES'!$P$27-'PIVOT TABLES'!$P$26</f>
        <v>31.320000000000007</v>
      </c>
      <c r="S800" s="14">
        <f>'PIVOT TABLES'!$P$28-'PIVOT TABLES'!$P$27</f>
        <v>31.319999999999993</v>
      </c>
      <c r="T800" s="14">
        <f>200-SUM(Table3[[#This Row],[W - LIGHT]:[W - VIGOROUS]])</f>
        <v>74.72</v>
      </c>
      <c r="U800" s="14">
        <f>'PIVOT TABLES'!$W$26</f>
        <v>55.895999999999994</v>
      </c>
      <c r="V800" s="14">
        <f>'PIVOT TABLES'!$W$27-'PIVOT TABLES'!$W$26</f>
        <v>27.948</v>
      </c>
      <c r="W800" s="14">
        <f>'PIVOT TABLES'!$W$28-'PIVOT TABLES'!$W$27</f>
        <v>27.947999999999993</v>
      </c>
      <c r="X800" s="14">
        <f>200-SUM(Table3[[#This Row],[S - LIGHT]:[S - VIGOROUS]])</f>
        <v>88.208000000000013</v>
      </c>
    </row>
    <row r="801" spans="1:24" x14ac:dyDescent="0.25">
      <c r="A801" s="17" t="s">
        <v>7</v>
      </c>
      <c r="B801" s="13" t="str">
        <f t="shared" si="12"/>
        <v>Winger</v>
      </c>
      <c r="C801" s="7">
        <v>45344.421875</v>
      </c>
      <c r="D801" s="14">
        <v>5872</v>
      </c>
      <c r="E801" s="14">
        <v>111</v>
      </c>
      <c r="F801" s="14">
        <v>17</v>
      </c>
      <c r="G801" s="14">
        <v>26</v>
      </c>
      <c r="H801" s="14">
        <v>63.25</v>
      </c>
      <c r="I801" s="14">
        <f>'PIVOT TABLES'!$B$26</f>
        <v>60.283999999999999</v>
      </c>
      <c r="J801" s="14">
        <f>'PIVOT TABLES'!$B$27-'PIVOT TABLES'!$B$26</f>
        <v>30.142000000000003</v>
      </c>
      <c r="K801" s="14">
        <f>'PIVOT TABLES'!$B$28-'PIVOT TABLES'!$B$27</f>
        <v>30.141999999999996</v>
      </c>
      <c r="L801" s="14">
        <f>200-SUM(Table3[[#This Row],[D - LIGHT]:[D - VIGOROUS]])</f>
        <v>79.432000000000002</v>
      </c>
      <c r="M801" s="14">
        <f>'PIVOT TABLES'!$I$26</f>
        <v>65.603999999999999</v>
      </c>
      <c r="N801" s="14">
        <f>'PIVOT TABLES'!$I$27-'PIVOT TABLES'!$I$26</f>
        <v>32.802000000000007</v>
      </c>
      <c r="O801" s="14">
        <f>'PIVOT TABLES'!$I$28-'PIVOT TABLES'!$I$27</f>
        <v>32.801999999999992</v>
      </c>
      <c r="P801" s="14">
        <f>200-SUM(Table3[[#This Row],[M - LIGHT]:[M - VIGOROUS]])</f>
        <v>68.792000000000002</v>
      </c>
      <c r="Q801" s="14">
        <f>'PIVOT TABLES'!$P$26</f>
        <v>62.64</v>
      </c>
      <c r="R801" s="14">
        <f>'PIVOT TABLES'!$P$27-'PIVOT TABLES'!$P$26</f>
        <v>31.320000000000007</v>
      </c>
      <c r="S801" s="14">
        <f>'PIVOT TABLES'!$P$28-'PIVOT TABLES'!$P$27</f>
        <v>31.319999999999993</v>
      </c>
      <c r="T801" s="14">
        <f>200-SUM(Table3[[#This Row],[W - LIGHT]:[W - VIGOROUS]])</f>
        <v>74.72</v>
      </c>
      <c r="U801" s="14">
        <f>'PIVOT TABLES'!$W$26</f>
        <v>55.895999999999994</v>
      </c>
      <c r="V801" s="14">
        <f>'PIVOT TABLES'!$W$27-'PIVOT TABLES'!$W$26</f>
        <v>27.948</v>
      </c>
      <c r="W801" s="14">
        <f>'PIVOT TABLES'!$W$28-'PIVOT TABLES'!$W$27</f>
        <v>27.947999999999993</v>
      </c>
      <c r="X801" s="14">
        <f>200-SUM(Table3[[#This Row],[S - LIGHT]:[S - VIGOROUS]])</f>
        <v>88.208000000000013</v>
      </c>
    </row>
    <row r="802" spans="1:24" x14ac:dyDescent="0.25">
      <c r="A802" s="17" t="s">
        <v>95</v>
      </c>
      <c r="B802" s="13" t="str">
        <f t="shared" si="12"/>
        <v>Winger</v>
      </c>
      <c r="C802" s="7">
        <v>45344.421875</v>
      </c>
      <c r="D802" s="14">
        <v>1391</v>
      </c>
      <c r="E802" s="14">
        <v>0</v>
      </c>
      <c r="F802" s="14">
        <v>0</v>
      </c>
      <c r="G802" s="14">
        <v>0</v>
      </c>
      <c r="H802" s="14">
        <v>13.91</v>
      </c>
      <c r="I802" s="14">
        <f>'PIVOT TABLES'!$B$26</f>
        <v>60.283999999999999</v>
      </c>
      <c r="J802" s="14">
        <f>'PIVOT TABLES'!$B$27-'PIVOT TABLES'!$B$26</f>
        <v>30.142000000000003</v>
      </c>
      <c r="K802" s="14">
        <f>'PIVOT TABLES'!$B$28-'PIVOT TABLES'!$B$27</f>
        <v>30.141999999999996</v>
      </c>
      <c r="L802" s="14">
        <f>200-SUM(Table3[[#This Row],[D - LIGHT]:[D - VIGOROUS]])</f>
        <v>79.432000000000002</v>
      </c>
      <c r="M802" s="14">
        <f>'PIVOT TABLES'!$I$26</f>
        <v>65.603999999999999</v>
      </c>
      <c r="N802" s="14">
        <f>'PIVOT TABLES'!$I$27-'PIVOT TABLES'!$I$26</f>
        <v>32.802000000000007</v>
      </c>
      <c r="O802" s="14">
        <f>'PIVOT TABLES'!$I$28-'PIVOT TABLES'!$I$27</f>
        <v>32.801999999999992</v>
      </c>
      <c r="P802" s="14">
        <f>200-SUM(Table3[[#This Row],[M - LIGHT]:[M - VIGOROUS]])</f>
        <v>68.792000000000002</v>
      </c>
      <c r="Q802" s="14">
        <f>'PIVOT TABLES'!$P$26</f>
        <v>62.64</v>
      </c>
      <c r="R802" s="14">
        <f>'PIVOT TABLES'!$P$27-'PIVOT TABLES'!$P$26</f>
        <v>31.320000000000007</v>
      </c>
      <c r="S802" s="14">
        <f>'PIVOT TABLES'!$P$28-'PIVOT TABLES'!$P$27</f>
        <v>31.319999999999993</v>
      </c>
      <c r="T802" s="14">
        <f>200-SUM(Table3[[#This Row],[W - LIGHT]:[W - VIGOROUS]])</f>
        <v>74.72</v>
      </c>
      <c r="U802" s="14">
        <f>'PIVOT TABLES'!$W$26</f>
        <v>55.895999999999994</v>
      </c>
      <c r="V802" s="14">
        <f>'PIVOT TABLES'!$W$27-'PIVOT TABLES'!$W$26</f>
        <v>27.948</v>
      </c>
      <c r="W802" s="14">
        <f>'PIVOT TABLES'!$W$28-'PIVOT TABLES'!$W$27</f>
        <v>27.947999999999993</v>
      </c>
      <c r="X802" s="14">
        <f>200-SUM(Table3[[#This Row],[S - LIGHT]:[S - VIGOROUS]])</f>
        <v>88.208000000000013</v>
      </c>
    </row>
    <row r="803" spans="1:24" x14ac:dyDescent="0.25">
      <c r="A803" s="17" t="s">
        <v>96</v>
      </c>
      <c r="B803" s="13" t="str">
        <f t="shared" si="12"/>
        <v>Winger</v>
      </c>
      <c r="C803" s="7">
        <v>45344.421875</v>
      </c>
      <c r="D803" s="14">
        <v>5588</v>
      </c>
      <c r="E803" s="14">
        <v>114</v>
      </c>
      <c r="F803" s="14">
        <v>12</v>
      </c>
      <c r="G803" s="14">
        <v>31</v>
      </c>
      <c r="H803" s="14">
        <v>60.4</v>
      </c>
      <c r="I803" s="14">
        <f>'PIVOT TABLES'!$B$26</f>
        <v>60.283999999999999</v>
      </c>
      <c r="J803" s="14">
        <f>'PIVOT TABLES'!$B$27-'PIVOT TABLES'!$B$26</f>
        <v>30.142000000000003</v>
      </c>
      <c r="K803" s="14">
        <f>'PIVOT TABLES'!$B$28-'PIVOT TABLES'!$B$27</f>
        <v>30.141999999999996</v>
      </c>
      <c r="L803" s="14">
        <f>200-SUM(Table3[[#This Row],[D - LIGHT]:[D - VIGOROUS]])</f>
        <v>79.432000000000002</v>
      </c>
      <c r="M803" s="14">
        <f>'PIVOT TABLES'!$I$26</f>
        <v>65.603999999999999</v>
      </c>
      <c r="N803" s="14">
        <f>'PIVOT TABLES'!$I$27-'PIVOT TABLES'!$I$26</f>
        <v>32.802000000000007</v>
      </c>
      <c r="O803" s="14">
        <f>'PIVOT TABLES'!$I$28-'PIVOT TABLES'!$I$27</f>
        <v>32.801999999999992</v>
      </c>
      <c r="P803" s="14">
        <f>200-SUM(Table3[[#This Row],[M - LIGHT]:[M - VIGOROUS]])</f>
        <v>68.792000000000002</v>
      </c>
      <c r="Q803" s="14">
        <f>'PIVOT TABLES'!$P$26</f>
        <v>62.64</v>
      </c>
      <c r="R803" s="14">
        <f>'PIVOT TABLES'!$P$27-'PIVOT TABLES'!$P$26</f>
        <v>31.320000000000007</v>
      </c>
      <c r="S803" s="14">
        <f>'PIVOT TABLES'!$P$28-'PIVOT TABLES'!$P$27</f>
        <v>31.319999999999993</v>
      </c>
      <c r="T803" s="14">
        <f>200-SUM(Table3[[#This Row],[W - LIGHT]:[W - VIGOROUS]])</f>
        <v>74.72</v>
      </c>
      <c r="U803" s="14">
        <f>'PIVOT TABLES'!$W$26</f>
        <v>55.895999999999994</v>
      </c>
      <c r="V803" s="14">
        <f>'PIVOT TABLES'!$W$27-'PIVOT TABLES'!$W$26</f>
        <v>27.948</v>
      </c>
      <c r="W803" s="14">
        <f>'PIVOT TABLES'!$W$28-'PIVOT TABLES'!$W$27</f>
        <v>27.947999999999993</v>
      </c>
      <c r="X803" s="14">
        <f>200-SUM(Table3[[#This Row],[S - LIGHT]:[S - VIGOROUS]])</f>
        <v>88.208000000000013</v>
      </c>
    </row>
    <row r="804" spans="1:24" x14ac:dyDescent="0.25">
      <c r="A804" s="17" t="s">
        <v>8</v>
      </c>
      <c r="B804" s="13" t="str">
        <f t="shared" si="12"/>
        <v>Striker</v>
      </c>
      <c r="C804" s="7">
        <v>45344.421875</v>
      </c>
      <c r="D804" s="14">
        <v>4572</v>
      </c>
      <c r="E804" s="14">
        <v>0</v>
      </c>
      <c r="F804" s="14">
        <v>6</v>
      </c>
      <c r="G804" s="14">
        <v>17</v>
      </c>
      <c r="H804" s="14">
        <v>46.3</v>
      </c>
      <c r="I804" s="14">
        <f>'PIVOT TABLES'!$B$26</f>
        <v>60.283999999999999</v>
      </c>
      <c r="J804" s="14">
        <f>'PIVOT TABLES'!$B$27-'PIVOT TABLES'!$B$26</f>
        <v>30.142000000000003</v>
      </c>
      <c r="K804" s="14">
        <f>'PIVOT TABLES'!$B$28-'PIVOT TABLES'!$B$27</f>
        <v>30.141999999999996</v>
      </c>
      <c r="L804" s="14">
        <f>200-SUM(Table3[[#This Row],[D - LIGHT]:[D - VIGOROUS]])</f>
        <v>79.432000000000002</v>
      </c>
      <c r="M804" s="14">
        <f>'PIVOT TABLES'!$I$26</f>
        <v>65.603999999999999</v>
      </c>
      <c r="N804" s="14">
        <f>'PIVOT TABLES'!$I$27-'PIVOT TABLES'!$I$26</f>
        <v>32.802000000000007</v>
      </c>
      <c r="O804" s="14">
        <f>'PIVOT TABLES'!$I$28-'PIVOT TABLES'!$I$27</f>
        <v>32.801999999999992</v>
      </c>
      <c r="P804" s="14">
        <f>200-SUM(Table3[[#This Row],[M - LIGHT]:[M - VIGOROUS]])</f>
        <v>68.792000000000002</v>
      </c>
      <c r="Q804" s="14">
        <f>'PIVOT TABLES'!$P$26</f>
        <v>62.64</v>
      </c>
      <c r="R804" s="14">
        <f>'PIVOT TABLES'!$P$27-'PIVOT TABLES'!$P$26</f>
        <v>31.320000000000007</v>
      </c>
      <c r="S804" s="14">
        <f>'PIVOT TABLES'!$P$28-'PIVOT TABLES'!$P$27</f>
        <v>31.319999999999993</v>
      </c>
      <c r="T804" s="14">
        <f>200-SUM(Table3[[#This Row],[W - LIGHT]:[W - VIGOROUS]])</f>
        <v>74.72</v>
      </c>
      <c r="U804" s="14">
        <f>'PIVOT TABLES'!$W$26</f>
        <v>55.895999999999994</v>
      </c>
      <c r="V804" s="14">
        <f>'PIVOT TABLES'!$W$27-'PIVOT TABLES'!$W$26</f>
        <v>27.948</v>
      </c>
      <c r="W804" s="14">
        <f>'PIVOT TABLES'!$W$28-'PIVOT TABLES'!$W$27</f>
        <v>27.947999999999993</v>
      </c>
      <c r="X804" s="14">
        <f>200-SUM(Table3[[#This Row],[S - LIGHT]:[S - VIGOROUS]])</f>
        <v>88.208000000000013</v>
      </c>
    </row>
    <row r="805" spans="1:24" x14ac:dyDescent="0.25">
      <c r="A805" s="17" t="s">
        <v>67</v>
      </c>
      <c r="B805" s="13" t="str">
        <f t="shared" si="12"/>
        <v>Midfielder</v>
      </c>
      <c r="C805" s="7">
        <v>45344.421875</v>
      </c>
      <c r="D805" s="14">
        <v>5250</v>
      </c>
      <c r="E805" s="14">
        <v>122</v>
      </c>
      <c r="F805" s="14">
        <v>8</v>
      </c>
      <c r="G805" s="14">
        <v>22</v>
      </c>
      <c r="H805" s="14">
        <v>56.92</v>
      </c>
      <c r="I805" s="14">
        <f>'PIVOT TABLES'!$B$26</f>
        <v>60.283999999999999</v>
      </c>
      <c r="J805" s="14">
        <f>'PIVOT TABLES'!$B$27-'PIVOT TABLES'!$B$26</f>
        <v>30.142000000000003</v>
      </c>
      <c r="K805" s="14">
        <f>'PIVOT TABLES'!$B$28-'PIVOT TABLES'!$B$27</f>
        <v>30.141999999999996</v>
      </c>
      <c r="L805" s="14">
        <f>200-SUM(Table3[[#This Row],[D - LIGHT]:[D - VIGOROUS]])</f>
        <v>79.432000000000002</v>
      </c>
      <c r="M805" s="14">
        <f>'PIVOT TABLES'!$I$26</f>
        <v>65.603999999999999</v>
      </c>
      <c r="N805" s="14">
        <f>'PIVOT TABLES'!$I$27-'PIVOT TABLES'!$I$26</f>
        <v>32.802000000000007</v>
      </c>
      <c r="O805" s="14">
        <f>'PIVOT TABLES'!$I$28-'PIVOT TABLES'!$I$27</f>
        <v>32.801999999999992</v>
      </c>
      <c r="P805" s="14">
        <f>200-SUM(Table3[[#This Row],[M - LIGHT]:[M - VIGOROUS]])</f>
        <v>68.792000000000002</v>
      </c>
      <c r="Q805" s="14">
        <f>'PIVOT TABLES'!$P$26</f>
        <v>62.64</v>
      </c>
      <c r="R805" s="14">
        <f>'PIVOT TABLES'!$P$27-'PIVOT TABLES'!$P$26</f>
        <v>31.320000000000007</v>
      </c>
      <c r="S805" s="14">
        <f>'PIVOT TABLES'!$P$28-'PIVOT TABLES'!$P$27</f>
        <v>31.319999999999993</v>
      </c>
      <c r="T805" s="14">
        <f>200-SUM(Table3[[#This Row],[W - LIGHT]:[W - VIGOROUS]])</f>
        <v>74.72</v>
      </c>
      <c r="U805" s="14">
        <f>'PIVOT TABLES'!$W$26</f>
        <v>55.895999999999994</v>
      </c>
      <c r="V805" s="14">
        <f>'PIVOT TABLES'!$W$27-'PIVOT TABLES'!$W$26</f>
        <v>27.948</v>
      </c>
      <c r="W805" s="14">
        <f>'PIVOT TABLES'!$W$28-'PIVOT TABLES'!$W$27</f>
        <v>27.947999999999993</v>
      </c>
      <c r="X805" s="14">
        <f>200-SUM(Table3[[#This Row],[S - LIGHT]:[S - VIGOROUS]])</f>
        <v>88.208000000000013</v>
      </c>
    </row>
    <row r="806" spans="1:24" x14ac:dyDescent="0.25">
      <c r="A806" s="17" t="s">
        <v>9</v>
      </c>
      <c r="B806" s="13" t="str">
        <f t="shared" si="12"/>
        <v>Striker</v>
      </c>
      <c r="C806" s="7">
        <v>45344.421875</v>
      </c>
      <c r="D806" s="14">
        <v>3178</v>
      </c>
      <c r="E806" s="14">
        <v>167</v>
      </c>
      <c r="F806" s="14">
        <v>7</v>
      </c>
      <c r="G806" s="14">
        <v>9</v>
      </c>
      <c r="H806" s="14">
        <v>37.25</v>
      </c>
      <c r="I806" s="14">
        <f>'PIVOT TABLES'!$B$26</f>
        <v>60.283999999999999</v>
      </c>
      <c r="J806" s="14">
        <f>'PIVOT TABLES'!$B$27-'PIVOT TABLES'!$B$26</f>
        <v>30.142000000000003</v>
      </c>
      <c r="K806" s="14">
        <f>'PIVOT TABLES'!$B$28-'PIVOT TABLES'!$B$27</f>
        <v>30.141999999999996</v>
      </c>
      <c r="L806" s="14">
        <f>200-SUM(Table3[[#This Row],[D - LIGHT]:[D - VIGOROUS]])</f>
        <v>79.432000000000002</v>
      </c>
      <c r="M806" s="14">
        <f>'PIVOT TABLES'!$I$26</f>
        <v>65.603999999999999</v>
      </c>
      <c r="N806" s="14">
        <f>'PIVOT TABLES'!$I$27-'PIVOT TABLES'!$I$26</f>
        <v>32.802000000000007</v>
      </c>
      <c r="O806" s="14">
        <f>'PIVOT TABLES'!$I$28-'PIVOT TABLES'!$I$27</f>
        <v>32.801999999999992</v>
      </c>
      <c r="P806" s="14">
        <f>200-SUM(Table3[[#This Row],[M - LIGHT]:[M - VIGOROUS]])</f>
        <v>68.792000000000002</v>
      </c>
      <c r="Q806" s="14">
        <f>'PIVOT TABLES'!$P$26</f>
        <v>62.64</v>
      </c>
      <c r="R806" s="14">
        <f>'PIVOT TABLES'!$P$27-'PIVOT TABLES'!$P$26</f>
        <v>31.320000000000007</v>
      </c>
      <c r="S806" s="14">
        <f>'PIVOT TABLES'!$P$28-'PIVOT TABLES'!$P$27</f>
        <v>31.319999999999993</v>
      </c>
      <c r="T806" s="14">
        <f>200-SUM(Table3[[#This Row],[W - LIGHT]:[W - VIGOROUS]])</f>
        <v>74.72</v>
      </c>
      <c r="U806" s="14">
        <f>'PIVOT TABLES'!$W$26</f>
        <v>55.895999999999994</v>
      </c>
      <c r="V806" s="14">
        <f>'PIVOT TABLES'!$W$27-'PIVOT TABLES'!$W$26</f>
        <v>27.948</v>
      </c>
      <c r="W806" s="14">
        <f>'PIVOT TABLES'!$W$28-'PIVOT TABLES'!$W$27</f>
        <v>27.947999999999993</v>
      </c>
      <c r="X806" s="14">
        <f>200-SUM(Table3[[#This Row],[S - LIGHT]:[S - VIGOROUS]])</f>
        <v>88.208000000000013</v>
      </c>
    </row>
    <row r="807" spans="1:24" x14ac:dyDescent="0.25">
      <c r="A807" s="17" t="s">
        <v>69</v>
      </c>
      <c r="B807" s="13" t="str">
        <f t="shared" si="12"/>
        <v>Midfielder</v>
      </c>
      <c r="C807" s="7">
        <v>45344.421875</v>
      </c>
      <c r="D807" s="14">
        <v>4682</v>
      </c>
      <c r="E807" s="14">
        <v>400</v>
      </c>
      <c r="F807" s="14">
        <v>18</v>
      </c>
      <c r="G807" s="14">
        <v>16</v>
      </c>
      <c r="H807" s="14">
        <v>59.86</v>
      </c>
      <c r="I807" s="14">
        <f>'PIVOT TABLES'!$B$26</f>
        <v>60.283999999999999</v>
      </c>
      <c r="J807" s="14">
        <f>'PIVOT TABLES'!$B$27-'PIVOT TABLES'!$B$26</f>
        <v>30.142000000000003</v>
      </c>
      <c r="K807" s="14">
        <f>'PIVOT TABLES'!$B$28-'PIVOT TABLES'!$B$27</f>
        <v>30.141999999999996</v>
      </c>
      <c r="L807" s="14">
        <f>200-SUM(Table3[[#This Row],[D - LIGHT]:[D - VIGOROUS]])</f>
        <v>79.432000000000002</v>
      </c>
      <c r="M807" s="14">
        <f>'PIVOT TABLES'!$I$26</f>
        <v>65.603999999999999</v>
      </c>
      <c r="N807" s="14">
        <f>'PIVOT TABLES'!$I$27-'PIVOT TABLES'!$I$26</f>
        <v>32.802000000000007</v>
      </c>
      <c r="O807" s="14">
        <f>'PIVOT TABLES'!$I$28-'PIVOT TABLES'!$I$27</f>
        <v>32.801999999999992</v>
      </c>
      <c r="P807" s="14">
        <f>200-SUM(Table3[[#This Row],[M - LIGHT]:[M - VIGOROUS]])</f>
        <v>68.792000000000002</v>
      </c>
      <c r="Q807" s="14">
        <f>'PIVOT TABLES'!$P$26</f>
        <v>62.64</v>
      </c>
      <c r="R807" s="14">
        <f>'PIVOT TABLES'!$P$27-'PIVOT TABLES'!$P$26</f>
        <v>31.320000000000007</v>
      </c>
      <c r="S807" s="14">
        <f>'PIVOT TABLES'!$P$28-'PIVOT TABLES'!$P$27</f>
        <v>31.319999999999993</v>
      </c>
      <c r="T807" s="14">
        <f>200-SUM(Table3[[#This Row],[W - LIGHT]:[W - VIGOROUS]])</f>
        <v>74.72</v>
      </c>
      <c r="U807" s="14">
        <f>'PIVOT TABLES'!$W$26</f>
        <v>55.895999999999994</v>
      </c>
      <c r="V807" s="14">
        <f>'PIVOT TABLES'!$W$27-'PIVOT TABLES'!$W$26</f>
        <v>27.948</v>
      </c>
      <c r="W807" s="14">
        <f>'PIVOT TABLES'!$W$28-'PIVOT TABLES'!$W$27</f>
        <v>27.947999999999993</v>
      </c>
      <c r="X807" s="14">
        <f>200-SUM(Table3[[#This Row],[S - LIGHT]:[S - VIGOROUS]])</f>
        <v>88.208000000000013</v>
      </c>
    </row>
    <row r="808" spans="1:24" x14ac:dyDescent="0.25">
      <c r="A808" s="17" t="s">
        <v>53</v>
      </c>
      <c r="B808" s="13" t="str">
        <f t="shared" si="12"/>
        <v>Midfielder</v>
      </c>
      <c r="C808" s="7">
        <v>45345.404236111113</v>
      </c>
      <c r="D808" s="14">
        <v>6871</v>
      </c>
      <c r="E808" s="14">
        <v>23</v>
      </c>
      <c r="F808" s="14">
        <v>16</v>
      </c>
      <c r="G808" s="14">
        <v>14</v>
      </c>
      <c r="H808" s="14">
        <v>70.319999999999993</v>
      </c>
      <c r="I808" s="14">
        <f>'PIVOT TABLES'!$B$26</f>
        <v>60.283999999999999</v>
      </c>
      <c r="J808" s="14">
        <f>'PIVOT TABLES'!$B$27-'PIVOT TABLES'!$B$26</f>
        <v>30.142000000000003</v>
      </c>
      <c r="K808" s="14">
        <f>'PIVOT TABLES'!$B$28-'PIVOT TABLES'!$B$27</f>
        <v>30.141999999999996</v>
      </c>
      <c r="L808" s="14">
        <f>200-SUM(Table3[[#This Row],[D - LIGHT]:[D - VIGOROUS]])</f>
        <v>79.432000000000002</v>
      </c>
      <c r="M808" s="14">
        <f>'PIVOT TABLES'!$I$26</f>
        <v>65.603999999999999</v>
      </c>
      <c r="N808" s="14">
        <f>'PIVOT TABLES'!$I$27-'PIVOT TABLES'!$I$26</f>
        <v>32.802000000000007</v>
      </c>
      <c r="O808" s="14">
        <f>'PIVOT TABLES'!$I$28-'PIVOT TABLES'!$I$27</f>
        <v>32.801999999999992</v>
      </c>
      <c r="P808" s="14">
        <f>200-SUM(Table3[[#This Row],[M - LIGHT]:[M - VIGOROUS]])</f>
        <v>68.792000000000002</v>
      </c>
      <c r="Q808" s="14">
        <f>'PIVOT TABLES'!$P$26</f>
        <v>62.64</v>
      </c>
      <c r="R808" s="14">
        <f>'PIVOT TABLES'!$P$27-'PIVOT TABLES'!$P$26</f>
        <v>31.320000000000007</v>
      </c>
      <c r="S808" s="14">
        <f>'PIVOT TABLES'!$P$28-'PIVOT TABLES'!$P$27</f>
        <v>31.319999999999993</v>
      </c>
      <c r="T808" s="14">
        <f>200-SUM(Table3[[#This Row],[W - LIGHT]:[W - VIGOROUS]])</f>
        <v>74.72</v>
      </c>
      <c r="U808" s="14">
        <f>'PIVOT TABLES'!$W$26</f>
        <v>55.895999999999994</v>
      </c>
      <c r="V808" s="14">
        <f>'PIVOT TABLES'!$W$27-'PIVOT TABLES'!$W$26</f>
        <v>27.948</v>
      </c>
      <c r="W808" s="14">
        <f>'PIVOT TABLES'!$W$28-'PIVOT TABLES'!$W$27</f>
        <v>27.947999999999993</v>
      </c>
      <c r="X808" s="14">
        <f>200-SUM(Table3[[#This Row],[S - LIGHT]:[S - VIGOROUS]])</f>
        <v>88.208000000000013</v>
      </c>
    </row>
    <row r="809" spans="1:24" x14ac:dyDescent="0.25">
      <c r="A809" s="17" t="s">
        <v>54</v>
      </c>
      <c r="B809" s="13" t="str">
        <f t="shared" si="12"/>
        <v>Striker</v>
      </c>
      <c r="C809" s="7">
        <v>45345.404236111113</v>
      </c>
      <c r="D809" s="14">
        <v>7612</v>
      </c>
      <c r="E809" s="14">
        <v>8</v>
      </c>
      <c r="F809" s="14">
        <v>19</v>
      </c>
      <c r="G809" s="14">
        <v>26</v>
      </c>
      <c r="H809" s="14">
        <v>77.64</v>
      </c>
      <c r="I809" s="14">
        <f>'PIVOT TABLES'!$B$26</f>
        <v>60.283999999999999</v>
      </c>
      <c r="J809" s="14">
        <f>'PIVOT TABLES'!$B$27-'PIVOT TABLES'!$B$26</f>
        <v>30.142000000000003</v>
      </c>
      <c r="K809" s="14">
        <f>'PIVOT TABLES'!$B$28-'PIVOT TABLES'!$B$27</f>
        <v>30.141999999999996</v>
      </c>
      <c r="L809" s="14">
        <f>200-SUM(Table3[[#This Row],[D - LIGHT]:[D - VIGOROUS]])</f>
        <v>79.432000000000002</v>
      </c>
      <c r="M809" s="14">
        <f>'PIVOT TABLES'!$I$26</f>
        <v>65.603999999999999</v>
      </c>
      <c r="N809" s="14">
        <f>'PIVOT TABLES'!$I$27-'PIVOT TABLES'!$I$26</f>
        <v>32.802000000000007</v>
      </c>
      <c r="O809" s="14">
        <f>'PIVOT TABLES'!$I$28-'PIVOT TABLES'!$I$27</f>
        <v>32.801999999999992</v>
      </c>
      <c r="P809" s="14">
        <f>200-SUM(Table3[[#This Row],[M - LIGHT]:[M - VIGOROUS]])</f>
        <v>68.792000000000002</v>
      </c>
      <c r="Q809" s="14">
        <f>'PIVOT TABLES'!$P$26</f>
        <v>62.64</v>
      </c>
      <c r="R809" s="14">
        <f>'PIVOT TABLES'!$P$27-'PIVOT TABLES'!$P$26</f>
        <v>31.320000000000007</v>
      </c>
      <c r="S809" s="14">
        <f>'PIVOT TABLES'!$P$28-'PIVOT TABLES'!$P$27</f>
        <v>31.319999999999993</v>
      </c>
      <c r="T809" s="14">
        <f>200-SUM(Table3[[#This Row],[W - LIGHT]:[W - VIGOROUS]])</f>
        <v>74.72</v>
      </c>
      <c r="U809" s="14">
        <f>'PIVOT TABLES'!$W$26</f>
        <v>55.895999999999994</v>
      </c>
      <c r="V809" s="14">
        <f>'PIVOT TABLES'!$W$27-'PIVOT TABLES'!$W$26</f>
        <v>27.948</v>
      </c>
      <c r="W809" s="14">
        <f>'PIVOT TABLES'!$W$28-'PIVOT TABLES'!$W$27</f>
        <v>27.947999999999993</v>
      </c>
      <c r="X809" s="14">
        <f>200-SUM(Table3[[#This Row],[S - LIGHT]:[S - VIGOROUS]])</f>
        <v>88.208000000000013</v>
      </c>
    </row>
    <row r="810" spans="1:24" x14ac:dyDescent="0.25">
      <c r="A810" s="17" t="s">
        <v>55</v>
      </c>
      <c r="B810" s="13" t="str">
        <f t="shared" si="12"/>
        <v>Striker</v>
      </c>
      <c r="C810" s="7">
        <v>45345.404236111113</v>
      </c>
      <c r="D810" s="14">
        <v>7284</v>
      </c>
      <c r="E810" s="14">
        <v>69</v>
      </c>
      <c r="F810" s="14">
        <v>28</v>
      </c>
      <c r="G810" s="14">
        <v>24</v>
      </c>
      <c r="H810" s="14">
        <v>76.510000000000005</v>
      </c>
      <c r="I810" s="14">
        <f>'PIVOT TABLES'!$B$26</f>
        <v>60.283999999999999</v>
      </c>
      <c r="J810" s="14">
        <f>'PIVOT TABLES'!$B$27-'PIVOT TABLES'!$B$26</f>
        <v>30.142000000000003</v>
      </c>
      <c r="K810" s="14">
        <f>'PIVOT TABLES'!$B$28-'PIVOT TABLES'!$B$27</f>
        <v>30.141999999999996</v>
      </c>
      <c r="L810" s="14">
        <f>200-SUM(Table3[[#This Row],[D - LIGHT]:[D - VIGOROUS]])</f>
        <v>79.432000000000002</v>
      </c>
      <c r="M810" s="14">
        <f>'PIVOT TABLES'!$I$26</f>
        <v>65.603999999999999</v>
      </c>
      <c r="N810" s="14">
        <f>'PIVOT TABLES'!$I$27-'PIVOT TABLES'!$I$26</f>
        <v>32.802000000000007</v>
      </c>
      <c r="O810" s="14">
        <f>'PIVOT TABLES'!$I$28-'PIVOT TABLES'!$I$27</f>
        <v>32.801999999999992</v>
      </c>
      <c r="P810" s="14">
        <f>200-SUM(Table3[[#This Row],[M - LIGHT]:[M - VIGOROUS]])</f>
        <v>68.792000000000002</v>
      </c>
      <c r="Q810" s="14">
        <f>'PIVOT TABLES'!$P$26</f>
        <v>62.64</v>
      </c>
      <c r="R810" s="14">
        <f>'PIVOT TABLES'!$P$27-'PIVOT TABLES'!$P$26</f>
        <v>31.320000000000007</v>
      </c>
      <c r="S810" s="14">
        <f>'PIVOT TABLES'!$P$28-'PIVOT TABLES'!$P$27</f>
        <v>31.319999999999993</v>
      </c>
      <c r="T810" s="14">
        <f>200-SUM(Table3[[#This Row],[W - LIGHT]:[W - VIGOROUS]])</f>
        <v>74.72</v>
      </c>
      <c r="U810" s="14">
        <f>'PIVOT TABLES'!$W$26</f>
        <v>55.895999999999994</v>
      </c>
      <c r="V810" s="14">
        <f>'PIVOT TABLES'!$W$27-'PIVOT TABLES'!$W$26</f>
        <v>27.948</v>
      </c>
      <c r="W810" s="14">
        <f>'PIVOT TABLES'!$W$28-'PIVOT TABLES'!$W$27</f>
        <v>27.947999999999993</v>
      </c>
      <c r="X810" s="14">
        <f>200-SUM(Table3[[#This Row],[S - LIGHT]:[S - VIGOROUS]])</f>
        <v>88.208000000000013</v>
      </c>
    </row>
    <row r="811" spans="1:24" x14ac:dyDescent="0.25">
      <c r="A811" s="17" t="s">
        <v>1</v>
      </c>
      <c r="B811" s="13" t="str">
        <f t="shared" si="12"/>
        <v>Defender</v>
      </c>
      <c r="C811" s="7">
        <v>45345.404236111113</v>
      </c>
      <c r="D811" s="14">
        <v>9577</v>
      </c>
      <c r="E811" s="14">
        <v>93</v>
      </c>
      <c r="F811" s="14">
        <v>28</v>
      </c>
      <c r="G811" s="14">
        <v>27</v>
      </c>
      <c r="H811" s="14">
        <v>100.22</v>
      </c>
      <c r="I811" s="14">
        <f>'PIVOT TABLES'!$B$26</f>
        <v>60.283999999999999</v>
      </c>
      <c r="J811" s="14">
        <f>'PIVOT TABLES'!$B$27-'PIVOT TABLES'!$B$26</f>
        <v>30.142000000000003</v>
      </c>
      <c r="K811" s="14">
        <f>'PIVOT TABLES'!$B$28-'PIVOT TABLES'!$B$27</f>
        <v>30.141999999999996</v>
      </c>
      <c r="L811" s="14">
        <f>200-SUM(Table3[[#This Row],[D - LIGHT]:[D - VIGOROUS]])</f>
        <v>79.432000000000002</v>
      </c>
      <c r="M811" s="14">
        <f>'PIVOT TABLES'!$I$26</f>
        <v>65.603999999999999</v>
      </c>
      <c r="N811" s="14">
        <f>'PIVOT TABLES'!$I$27-'PIVOT TABLES'!$I$26</f>
        <v>32.802000000000007</v>
      </c>
      <c r="O811" s="14">
        <f>'PIVOT TABLES'!$I$28-'PIVOT TABLES'!$I$27</f>
        <v>32.801999999999992</v>
      </c>
      <c r="P811" s="14">
        <f>200-SUM(Table3[[#This Row],[M - LIGHT]:[M - VIGOROUS]])</f>
        <v>68.792000000000002</v>
      </c>
      <c r="Q811" s="14">
        <f>'PIVOT TABLES'!$P$26</f>
        <v>62.64</v>
      </c>
      <c r="R811" s="14">
        <f>'PIVOT TABLES'!$P$27-'PIVOT TABLES'!$P$26</f>
        <v>31.320000000000007</v>
      </c>
      <c r="S811" s="14">
        <f>'PIVOT TABLES'!$P$28-'PIVOT TABLES'!$P$27</f>
        <v>31.319999999999993</v>
      </c>
      <c r="T811" s="14">
        <f>200-SUM(Table3[[#This Row],[W - LIGHT]:[W - VIGOROUS]])</f>
        <v>74.72</v>
      </c>
      <c r="U811" s="14">
        <f>'PIVOT TABLES'!$W$26</f>
        <v>55.895999999999994</v>
      </c>
      <c r="V811" s="14">
        <f>'PIVOT TABLES'!$W$27-'PIVOT TABLES'!$W$26</f>
        <v>27.948</v>
      </c>
      <c r="W811" s="14">
        <f>'PIVOT TABLES'!$W$28-'PIVOT TABLES'!$W$27</f>
        <v>27.947999999999993</v>
      </c>
      <c r="X811" s="14">
        <f>200-SUM(Table3[[#This Row],[S - LIGHT]:[S - VIGOROUS]])</f>
        <v>88.208000000000013</v>
      </c>
    </row>
    <row r="812" spans="1:24" x14ac:dyDescent="0.25">
      <c r="A812" s="17" t="s">
        <v>56</v>
      </c>
      <c r="B812" s="13" t="str">
        <f t="shared" si="12"/>
        <v>Midfielder</v>
      </c>
      <c r="C812" s="7">
        <v>45345.404236111113</v>
      </c>
      <c r="D812" s="14">
        <v>1770</v>
      </c>
      <c r="E812" s="14">
        <v>0</v>
      </c>
      <c r="F812" s="14">
        <v>1</v>
      </c>
      <c r="G812" s="14">
        <v>4</v>
      </c>
      <c r="H812" s="14">
        <v>17.82</v>
      </c>
      <c r="I812" s="14">
        <f>'PIVOT TABLES'!$B$26</f>
        <v>60.283999999999999</v>
      </c>
      <c r="J812" s="14">
        <f>'PIVOT TABLES'!$B$27-'PIVOT TABLES'!$B$26</f>
        <v>30.142000000000003</v>
      </c>
      <c r="K812" s="14">
        <f>'PIVOT TABLES'!$B$28-'PIVOT TABLES'!$B$27</f>
        <v>30.141999999999996</v>
      </c>
      <c r="L812" s="14">
        <f>200-SUM(Table3[[#This Row],[D - LIGHT]:[D - VIGOROUS]])</f>
        <v>79.432000000000002</v>
      </c>
      <c r="M812" s="14">
        <f>'PIVOT TABLES'!$I$26</f>
        <v>65.603999999999999</v>
      </c>
      <c r="N812" s="14">
        <f>'PIVOT TABLES'!$I$27-'PIVOT TABLES'!$I$26</f>
        <v>32.802000000000007</v>
      </c>
      <c r="O812" s="14">
        <f>'PIVOT TABLES'!$I$28-'PIVOT TABLES'!$I$27</f>
        <v>32.801999999999992</v>
      </c>
      <c r="P812" s="14">
        <f>200-SUM(Table3[[#This Row],[M - LIGHT]:[M - VIGOROUS]])</f>
        <v>68.792000000000002</v>
      </c>
      <c r="Q812" s="14">
        <f>'PIVOT TABLES'!$P$26</f>
        <v>62.64</v>
      </c>
      <c r="R812" s="14">
        <f>'PIVOT TABLES'!$P$27-'PIVOT TABLES'!$P$26</f>
        <v>31.320000000000007</v>
      </c>
      <c r="S812" s="14">
        <f>'PIVOT TABLES'!$P$28-'PIVOT TABLES'!$P$27</f>
        <v>31.319999999999993</v>
      </c>
      <c r="T812" s="14">
        <f>200-SUM(Table3[[#This Row],[W - LIGHT]:[W - VIGOROUS]])</f>
        <v>74.72</v>
      </c>
      <c r="U812" s="14">
        <f>'PIVOT TABLES'!$W$26</f>
        <v>55.895999999999994</v>
      </c>
      <c r="V812" s="14">
        <f>'PIVOT TABLES'!$W$27-'PIVOT TABLES'!$W$26</f>
        <v>27.948</v>
      </c>
      <c r="W812" s="14">
        <f>'PIVOT TABLES'!$W$28-'PIVOT TABLES'!$W$27</f>
        <v>27.947999999999993</v>
      </c>
      <c r="X812" s="14">
        <f>200-SUM(Table3[[#This Row],[S - LIGHT]:[S - VIGOROUS]])</f>
        <v>88.208000000000013</v>
      </c>
    </row>
    <row r="813" spans="1:24" x14ac:dyDescent="0.25">
      <c r="A813" s="17" t="s">
        <v>2</v>
      </c>
      <c r="B813" s="13" t="str">
        <f t="shared" si="12"/>
        <v>Defender</v>
      </c>
      <c r="C813" s="7">
        <v>45345.404236111113</v>
      </c>
      <c r="D813" s="14">
        <v>9719</v>
      </c>
      <c r="E813" s="14">
        <v>297</v>
      </c>
      <c r="F813" s="14">
        <v>60</v>
      </c>
      <c r="G813" s="14">
        <v>43</v>
      </c>
      <c r="H813" s="14">
        <v>109.36</v>
      </c>
      <c r="I813" s="14">
        <f>'PIVOT TABLES'!$B$26</f>
        <v>60.283999999999999</v>
      </c>
      <c r="J813" s="14">
        <f>'PIVOT TABLES'!$B$27-'PIVOT TABLES'!$B$26</f>
        <v>30.142000000000003</v>
      </c>
      <c r="K813" s="14">
        <f>'PIVOT TABLES'!$B$28-'PIVOT TABLES'!$B$27</f>
        <v>30.141999999999996</v>
      </c>
      <c r="L813" s="14">
        <f>200-SUM(Table3[[#This Row],[D - LIGHT]:[D - VIGOROUS]])</f>
        <v>79.432000000000002</v>
      </c>
      <c r="M813" s="14">
        <f>'PIVOT TABLES'!$I$26</f>
        <v>65.603999999999999</v>
      </c>
      <c r="N813" s="14">
        <f>'PIVOT TABLES'!$I$27-'PIVOT TABLES'!$I$26</f>
        <v>32.802000000000007</v>
      </c>
      <c r="O813" s="14">
        <f>'PIVOT TABLES'!$I$28-'PIVOT TABLES'!$I$27</f>
        <v>32.801999999999992</v>
      </c>
      <c r="P813" s="14">
        <f>200-SUM(Table3[[#This Row],[M - LIGHT]:[M - VIGOROUS]])</f>
        <v>68.792000000000002</v>
      </c>
      <c r="Q813" s="14">
        <f>'PIVOT TABLES'!$P$26</f>
        <v>62.64</v>
      </c>
      <c r="R813" s="14">
        <f>'PIVOT TABLES'!$P$27-'PIVOT TABLES'!$P$26</f>
        <v>31.320000000000007</v>
      </c>
      <c r="S813" s="14">
        <f>'PIVOT TABLES'!$P$28-'PIVOT TABLES'!$P$27</f>
        <v>31.319999999999993</v>
      </c>
      <c r="T813" s="14">
        <f>200-SUM(Table3[[#This Row],[W - LIGHT]:[W - VIGOROUS]])</f>
        <v>74.72</v>
      </c>
      <c r="U813" s="14">
        <f>'PIVOT TABLES'!$W$26</f>
        <v>55.895999999999994</v>
      </c>
      <c r="V813" s="14">
        <f>'PIVOT TABLES'!$W$27-'PIVOT TABLES'!$W$26</f>
        <v>27.948</v>
      </c>
      <c r="W813" s="14">
        <f>'PIVOT TABLES'!$W$28-'PIVOT TABLES'!$W$27</f>
        <v>27.947999999999993</v>
      </c>
      <c r="X813" s="14">
        <f>200-SUM(Table3[[#This Row],[S - LIGHT]:[S - VIGOROUS]])</f>
        <v>88.208000000000013</v>
      </c>
    </row>
    <row r="814" spans="1:24" x14ac:dyDescent="0.25">
      <c r="A814" s="17" t="s">
        <v>59</v>
      </c>
      <c r="B814" s="13" t="str">
        <f t="shared" si="12"/>
        <v>Striker</v>
      </c>
      <c r="C814" s="7">
        <v>45345.404236111113</v>
      </c>
      <c r="D814" s="14">
        <v>5724</v>
      </c>
      <c r="E814" s="14">
        <v>60</v>
      </c>
      <c r="F814" s="14">
        <v>22</v>
      </c>
      <c r="G814" s="14">
        <v>20</v>
      </c>
      <c r="H814" s="14">
        <v>60.32</v>
      </c>
      <c r="I814" s="14">
        <f>'PIVOT TABLES'!$B$26</f>
        <v>60.283999999999999</v>
      </c>
      <c r="J814" s="14">
        <f>'PIVOT TABLES'!$B$27-'PIVOT TABLES'!$B$26</f>
        <v>30.142000000000003</v>
      </c>
      <c r="K814" s="14">
        <f>'PIVOT TABLES'!$B$28-'PIVOT TABLES'!$B$27</f>
        <v>30.141999999999996</v>
      </c>
      <c r="L814" s="14">
        <f>200-SUM(Table3[[#This Row],[D - LIGHT]:[D - VIGOROUS]])</f>
        <v>79.432000000000002</v>
      </c>
      <c r="M814" s="14">
        <f>'PIVOT TABLES'!$I$26</f>
        <v>65.603999999999999</v>
      </c>
      <c r="N814" s="14">
        <f>'PIVOT TABLES'!$I$27-'PIVOT TABLES'!$I$26</f>
        <v>32.802000000000007</v>
      </c>
      <c r="O814" s="14">
        <f>'PIVOT TABLES'!$I$28-'PIVOT TABLES'!$I$27</f>
        <v>32.801999999999992</v>
      </c>
      <c r="P814" s="14">
        <f>200-SUM(Table3[[#This Row],[M - LIGHT]:[M - VIGOROUS]])</f>
        <v>68.792000000000002</v>
      </c>
      <c r="Q814" s="14">
        <f>'PIVOT TABLES'!$P$26</f>
        <v>62.64</v>
      </c>
      <c r="R814" s="14">
        <f>'PIVOT TABLES'!$P$27-'PIVOT TABLES'!$P$26</f>
        <v>31.320000000000007</v>
      </c>
      <c r="S814" s="14">
        <f>'PIVOT TABLES'!$P$28-'PIVOT TABLES'!$P$27</f>
        <v>31.319999999999993</v>
      </c>
      <c r="T814" s="14">
        <f>200-SUM(Table3[[#This Row],[W - LIGHT]:[W - VIGOROUS]])</f>
        <v>74.72</v>
      </c>
      <c r="U814" s="14">
        <f>'PIVOT TABLES'!$W$26</f>
        <v>55.895999999999994</v>
      </c>
      <c r="V814" s="14">
        <f>'PIVOT TABLES'!$W$27-'PIVOT TABLES'!$W$26</f>
        <v>27.948</v>
      </c>
      <c r="W814" s="14">
        <f>'PIVOT TABLES'!$W$28-'PIVOT TABLES'!$W$27</f>
        <v>27.947999999999993</v>
      </c>
      <c r="X814" s="14">
        <f>200-SUM(Table3[[#This Row],[S - LIGHT]:[S - VIGOROUS]])</f>
        <v>88.208000000000013</v>
      </c>
    </row>
    <row r="815" spans="1:24" x14ac:dyDescent="0.25">
      <c r="A815" s="17" t="s">
        <v>4</v>
      </c>
      <c r="B815" s="13" t="str">
        <f t="shared" si="12"/>
        <v>Midfielder</v>
      </c>
      <c r="C815" s="7">
        <v>45345.404236111113</v>
      </c>
      <c r="D815" s="14">
        <v>6809</v>
      </c>
      <c r="E815" s="14">
        <v>91</v>
      </c>
      <c r="F815" s="14">
        <v>33</v>
      </c>
      <c r="G815" s="14">
        <v>21</v>
      </c>
      <c r="H815" s="14">
        <v>72.56</v>
      </c>
      <c r="I815" s="14">
        <f>'PIVOT TABLES'!$B$26</f>
        <v>60.283999999999999</v>
      </c>
      <c r="J815" s="14">
        <f>'PIVOT TABLES'!$B$27-'PIVOT TABLES'!$B$26</f>
        <v>30.142000000000003</v>
      </c>
      <c r="K815" s="14">
        <f>'PIVOT TABLES'!$B$28-'PIVOT TABLES'!$B$27</f>
        <v>30.141999999999996</v>
      </c>
      <c r="L815" s="14">
        <f>200-SUM(Table3[[#This Row],[D - LIGHT]:[D - VIGOROUS]])</f>
        <v>79.432000000000002</v>
      </c>
      <c r="M815" s="14">
        <f>'PIVOT TABLES'!$I$26</f>
        <v>65.603999999999999</v>
      </c>
      <c r="N815" s="14">
        <f>'PIVOT TABLES'!$I$27-'PIVOT TABLES'!$I$26</f>
        <v>32.802000000000007</v>
      </c>
      <c r="O815" s="14">
        <f>'PIVOT TABLES'!$I$28-'PIVOT TABLES'!$I$27</f>
        <v>32.801999999999992</v>
      </c>
      <c r="P815" s="14">
        <f>200-SUM(Table3[[#This Row],[M - LIGHT]:[M - VIGOROUS]])</f>
        <v>68.792000000000002</v>
      </c>
      <c r="Q815" s="14">
        <f>'PIVOT TABLES'!$P$26</f>
        <v>62.64</v>
      </c>
      <c r="R815" s="14">
        <f>'PIVOT TABLES'!$P$27-'PIVOT TABLES'!$P$26</f>
        <v>31.320000000000007</v>
      </c>
      <c r="S815" s="14">
        <f>'PIVOT TABLES'!$P$28-'PIVOT TABLES'!$P$27</f>
        <v>31.319999999999993</v>
      </c>
      <c r="T815" s="14">
        <f>200-SUM(Table3[[#This Row],[W - LIGHT]:[W - VIGOROUS]])</f>
        <v>74.72</v>
      </c>
      <c r="U815" s="14">
        <f>'PIVOT TABLES'!$W$26</f>
        <v>55.895999999999994</v>
      </c>
      <c r="V815" s="14">
        <f>'PIVOT TABLES'!$W$27-'PIVOT TABLES'!$W$26</f>
        <v>27.948</v>
      </c>
      <c r="W815" s="14">
        <f>'PIVOT TABLES'!$W$28-'PIVOT TABLES'!$W$27</f>
        <v>27.947999999999993</v>
      </c>
      <c r="X815" s="14">
        <f>200-SUM(Table3[[#This Row],[S - LIGHT]:[S - VIGOROUS]])</f>
        <v>88.208000000000013</v>
      </c>
    </row>
    <row r="816" spans="1:24" x14ac:dyDescent="0.25">
      <c r="A816" s="17" t="s">
        <v>60</v>
      </c>
      <c r="B816" s="13" t="str">
        <f t="shared" si="12"/>
        <v>Winger</v>
      </c>
      <c r="C816" s="7">
        <v>45345.404236111113</v>
      </c>
      <c r="D816" s="14">
        <v>5435</v>
      </c>
      <c r="E816" s="14">
        <v>0</v>
      </c>
      <c r="F816" s="14">
        <v>12</v>
      </c>
      <c r="G816" s="14">
        <v>17</v>
      </c>
      <c r="H816" s="14">
        <v>55.17</v>
      </c>
      <c r="I816" s="14">
        <f>'PIVOT TABLES'!$B$26</f>
        <v>60.283999999999999</v>
      </c>
      <c r="J816" s="14">
        <f>'PIVOT TABLES'!$B$27-'PIVOT TABLES'!$B$26</f>
        <v>30.142000000000003</v>
      </c>
      <c r="K816" s="14">
        <f>'PIVOT TABLES'!$B$28-'PIVOT TABLES'!$B$27</f>
        <v>30.141999999999996</v>
      </c>
      <c r="L816" s="14">
        <f>200-SUM(Table3[[#This Row],[D - LIGHT]:[D - VIGOROUS]])</f>
        <v>79.432000000000002</v>
      </c>
      <c r="M816" s="14">
        <f>'PIVOT TABLES'!$I$26</f>
        <v>65.603999999999999</v>
      </c>
      <c r="N816" s="14">
        <f>'PIVOT TABLES'!$I$27-'PIVOT TABLES'!$I$26</f>
        <v>32.802000000000007</v>
      </c>
      <c r="O816" s="14">
        <f>'PIVOT TABLES'!$I$28-'PIVOT TABLES'!$I$27</f>
        <v>32.801999999999992</v>
      </c>
      <c r="P816" s="14">
        <f>200-SUM(Table3[[#This Row],[M - LIGHT]:[M - VIGOROUS]])</f>
        <v>68.792000000000002</v>
      </c>
      <c r="Q816" s="14">
        <f>'PIVOT TABLES'!$P$26</f>
        <v>62.64</v>
      </c>
      <c r="R816" s="14">
        <f>'PIVOT TABLES'!$P$27-'PIVOT TABLES'!$P$26</f>
        <v>31.320000000000007</v>
      </c>
      <c r="S816" s="14">
        <f>'PIVOT TABLES'!$P$28-'PIVOT TABLES'!$P$27</f>
        <v>31.319999999999993</v>
      </c>
      <c r="T816" s="14">
        <f>200-SUM(Table3[[#This Row],[W - LIGHT]:[W - VIGOROUS]])</f>
        <v>74.72</v>
      </c>
      <c r="U816" s="14">
        <f>'PIVOT TABLES'!$W$26</f>
        <v>55.895999999999994</v>
      </c>
      <c r="V816" s="14">
        <f>'PIVOT TABLES'!$W$27-'PIVOT TABLES'!$W$26</f>
        <v>27.948</v>
      </c>
      <c r="W816" s="14">
        <f>'PIVOT TABLES'!$W$28-'PIVOT TABLES'!$W$27</f>
        <v>27.947999999999993</v>
      </c>
      <c r="X816" s="14">
        <f>200-SUM(Table3[[#This Row],[S - LIGHT]:[S - VIGOROUS]])</f>
        <v>88.208000000000013</v>
      </c>
    </row>
    <row r="817" spans="1:24" x14ac:dyDescent="0.25">
      <c r="A817" s="17" t="s">
        <v>71</v>
      </c>
      <c r="B817" s="13" t="str">
        <f t="shared" si="12"/>
        <v>Midfielder</v>
      </c>
      <c r="C817" s="7">
        <v>45345.404236111113</v>
      </c>
      <c r="D817" s="14">
        <v>6049</v>
      </c>
      <c r="E817" s="14">
        <v>26</v>
      </c>
      <c r="F817" s="14">
        <v>19</v>
      </c>
      <c r="G817" s="14">
        <v>9</v>
      </c>
      <c r="H817" s="14">
        <v>62.21</v>
      </c>
      <c r="I817" s="14">
        <f>'PIVOT TABLES'!$B$26</f>
        <v>60.283999999999999</v>
      </c>
      <c r="J817" s="14">
        <f>'PIVOT TABLES'!$B$27-'PIVOT TABLES'!$B$26</f>
        <v>30.142000000000003</v>
      </c>
      <c r="K817" s="14">
        <f>'PIVOT TABLES'!$B$28-'PIVOT TABLES'!$B$27</f>
        <v>30.141999999999996</v>
      </c>
      <c r="L817" s="14">
        <f>200-SUM(Table3[[#This Row],[D - LIGHT]:[D - VIGOROUS]])</f>
        <v>79.432000000000002</v>
      </c>
      <c r="M817" s="14">
        <f>'PIVOT TABLES'!$I$26</f>
        <v>65.603999999999999</v>
      </c>
      <c r="N817" s="14">
        <f>'PIVOT TABLES'!$I$27-'PIVOT TABLES'!$I$26</f>
        <v>32.802000000000007</v>
      </c>
      <c r="O817" s="14">
        <f>'PIVOT TABLES'!$I$28-'PIVOT TABLES'!$I$27</f>
        <v>32.801999999999992</v>
      </c>
      <c r="P817" s="14">
        <f>200-SUM(Table3[[#This Row],[M - LIGHT]:[M - VIGOROUS]])</f>
        <v>68.792000000000002</v>
      </c>
      <c r="Q817" s="14">
        <f>'PIVOT TABLES'!$P$26</f>
        <v>62.64</v>
      </c>
      <c r="R817" s="14">
        <f>'PIVOT TABLES'!$P$27-'PIVOT TABLES'!$P$26</f>
        <v>31.320000000000007</v>
      </c>
      <c r="S817" s="14">
        <f>'PIVOT TABLES'!$P$28-'PIVOT TABLES'!$P$27</f>
        <v>31.319999999999993</v>
      </c>
      <c r="T817" s="14">
        <f>200-SUM(Table3[[#This Row],[W - LIGHT]:[W - VIGOROUS]])</f>
        <v>74.72</v>
      </c>
      <c r="U817" s="14">
        <f>'PIVOT TABLES'!$W$26</f>
        <v>55.895999999999994</v>
      </c>
      <c r="V817" s="14">
        <f>'PIVOT TABLES'!$W$27-'PIVOT TABLES'!$W$26</f>
        <v>27.948</v>
      </c>
      <c r="W817" s="14">
        <f>'PIVOT TABLES'!$W$28-'PIVOT TABLES'!$W$27</f>
        <v>27.947999999999993</v>
      </c>
      <c r="X817" s="14">
        <f>200-SUM(Table3[[#This Row],[S - LIGHT]:[S - VIGOROUS]])</f>
        <v>88.208000000000013</v>
      </c>
    </row>
    <row r="818" spans="1:24" x14ac:dyDescent="0.25">
      <c r="A818" s="17" t="s">
        <v>5</v>
      </c>
      <c r="B818" s="13" t="str">
        <f t="shared" si="12"/>
        <v>Midfielder</v>
      </c>
      <c r="C818" s="7">
        <v>45345.404236111113</v>
      </c>
      <c r="D818" s="14">
        <v>7451</v>
      </c>
      <c r="E818" s="14">
        <v>34</v>
      </c>
      <c r="F818" s="14">
        <v>26</v>
      </c>
      <c r="G818" s="14">
        <v>12</v>
      </c>
      <c r="H818" s="14">
        <v>76.81</v>
      </c>
      <c r="I818" s="14">
        <f>'PIVOT TABLES'!$B$26</f>
        <v>60.283999999999999</v>
      </c>
      <c r="J818" s="14">
        <f>'PIVOT TABLES'!$B$27-'PIVOT TABLES'!$B$26</f>
        <v>30.142000000000003</v>
      </c>
      <c r="K818" s="14">
        <f>'PIVOT TABLES'!$B$28-'PIVOT TABLES'!$B$27</f>
        <v>30.141999999999996</v>
      </c>
      <c r="L818" s="14">
        <f>200-SUM(Table3[[#This Row],[D - LIGHT]:[D - VIGOROUS]])</f>
        <v>79.432000000000002</v>
      </c>
      <c r="M818" s="14">
        <f>'PIVOT TABLES'!$I$26</f>
        <v>65.603999999999999</v>
      </c>
      <c r="N818" s="14">
        <f>'PIVOT TABLES'!$I$27-'PIVOT TABLES'!$I$26</f>
        <v>32.802000000000007</v>
      </c>
      <c r="O818" s="14">
        <f>'PIVOT TABLES'!$I$28-'PIVOT TABLES'!$I$27</f>
        <v>32.801999999999992</v>
      </c>
      <c r="P818" s="14">
        <f>200-SUM(Table3[[#This Row],[M - LIGHT]:[M - VIGOROUS]])</f>
        <v>68.792000000000002</v>
      </c>
      <c r="Q818" s="14">
        <f>'PIVOT TABLES'!$P$26</f>
        <v>62.64</v>
      </c>
      <c r="R818" s="14">
        <f>'PIVOT TABLES'!$P$27-'PIVOT TABLES'!$P$26</f>
        <v>31.320000000000007</v>
      </c>
      <c r="S818" s="14">
        <f>'PIVOT TABLES'!$P$28-'PIVOT TABLES'!$P$27</f>
        <v>31.319999999999993</v>
      </c>
      <c r="T818" s="14">
        <f>200-SUM(Table3[[#This Row],[W - LIGHT]:[W - VIGOROUS]])</f>
        <v>74.72</v>
      </c>
      <c r="U818" s="14">
        <f>'PIVOT TABLES'!$W$26</f>
        <v>55.895999999999994</v>
      </c>
      <c r="V818" s="14">
        <f>'PIVOT TABLES'!$W$27-'PIVOT TABLES'!$W$26</f>
        <v>27.948</v>
      </c>
      <c r="W818" s="14">
        <f>'PIVOT TABLES'!$W$28-'PIVOT TABLES'!$W$27</f>
        <v>27.947999999999993</v>
      </c>
      <c r="X818" s="14">
        <f>200-SUM(Table3[[#This Row],[S - LIGHT]:[S - VIGOROUS]])</f>
        <v>88.208000000000013</v>
      </c>
    </row>
    <row r="819" spans="1:24" x14ac:dyDescent="0.25">
      <c r="A819" s="17" t="s">
        <v>6</v>
      </c>
      <c r="B819" s="13" t="str">
        <f t="shared" si="12"/>
        <v>Midfielder</v>
      </c>
      <c r="C819" s="7">
        <v>45345.404236111113</v>
      </c>
      <c r="D819" s="14">
        <v>3916</v>
      </c>
      <c r="E819" s="14">
        <v>0</v>
      </c>
      <c r="F819" s="14">
        <v>6</v>
      </c>
      <c r="G819" s="14">
        <v>4</v>
      </c>
      <c r="H819" s="14">
        <v>39.479999999999997</v>
      </c>
      <c r="I819" s="14">
        <f>'PIVOT TABLES'!$B$26</f>
        <v>60.283999999999999</v>
      </c>
      <c r="J819" s="14">
        <f>'PIVOT TABLES'!$B$27-'PIVOT TABLES'!$B$26</f>
        <v>30.142000000000003</v>
      </c>
      <c r="K819" s="14">
        <f>'PIVOT TABLES'!$B$28-'PIVOT TABLES'!$B$27</f>
        <v>30.141999999999996</v>
      </c>
      <c r="L819" s="14">
        <f>200-SUM(Table3[[#This Row],[D - LIGHT]:[D - VIGOROUS]])</f>
        <v>79.432000000000002</v>
      </c>
      <c r="M819" s="14">
        <f>'PIVOT TABLES'!$I$26</f>
        <v>65.603999999999999</v>
      </c>
      <c r="N819" s="14">
        <f>'PIVOT TABLES'!$I$27-'PIVOT TABLES'!$I$26</f>
        <v>32.802000000000007</v>
      </c>
      <c r="O819" s="14">
        <f>'PIVOT TABLES'!$I$28-'PIVOT TABLES'!$I$27</f>
        <v>32.801999999999992</v>
      </c>
      <c r="P819" s="14">
        <f>200-SUM(Table3[[#This Row],[M - LIGHT]:[M - VIGOROUS]])</f>
        <v>68.792000000000002</v>
      </c>
      <c r="Q819" s="14">
        <f>'PIVOT TABLES'!$P$26</f>
        <v>62.64</v>
      </c>
      <c r="R819" s="14">
        <f>'PIVOT TABLES'!$P$27-'PIVOT TABLES'!$P$26</f>
        <v>31.320000000000007</v>
      </c>
      <c r="S819" s="14">
        <f>'PIVOT TABLES'!$P$28-'PIVOT TABLES'!$P$27</f>
        <v>31.319999999999993</v>
      </c>
      <c r="T819" s="14">
        <f>200-SUM(Table3[[#This Row],[W - LIGHT]:[W - VIGOROUS]])</f>
        <v>74.72</v>
      </c>
      <c r="U819" s="14">
        <f>'PIVOT TABLES'!$W$26</f>
        <v>55.895999999999994</v>
      </c>
      <c r="V819" s="14">
        <f>'PIVOT TABLES'!$W$27-'PIVOT TABLES'!$W$26</f>
        <v>27.948</v>
      </c>
      <c r="W819" s="14">
        <f>'PIVOT TABLES'!$W$28-'PIVOT TABLES'!$W$27</f>
        <v>27.947999999999993</v>
      </c>
      <c r="X819" s="14">
        <f>200-SUM(Table3[[#This Row],[S - LIGHT]:[S - VIGOROUS]])</f>
        <v>88.208000000000013</v>
      </c>
    </row>
    <row r="820" spans="1:24" x14ac:dyDescent="0.25">
      <c r="A820" s="17" t="s">
        <v>62</v>
      </c>
      <c r="B820" s="13" t="str">
        <f t="shared" si="12"/>
        <v>Midfielder</v>
      </c>
      <c r="C820" s="7">
        <v>45345.404236111113</v>
      </c>
      <c r="D820" s="14">
        <v>6281</v>
      </c>
      <c r="E820" s="14">
        <v>22</v>
      </c>
      <c r="F820" s="14">
        <v>12</v>
      </c>
      <c r="G820" s="14">
        <v>9</v>
      </c>
      <c r="H820" s="14">
        <v>64.13</v>
      </c>
      <c r="I820" s="14">
        <f>'PIVOT TABLES'!$B$26</f>
        <v>60.283999999999999</v>
      </c>
      <c r="J820" s="14">
        <f>'PIVOT TABLES'!$B$27-'PIVOT TABLES'!$B$26</f>
        <v>30.142000000000003</v>
      </c>
      <c r="K820" s="14">
        <f>'PIVOT TABLES'!$B$28-'PIVOT TABLES'!$B$27</f>
        <v>30.141999999999996</v>
      </c>
      <c r="L820" s="14">
        <f>200-SUM(Table3[[#This Row],[D - LIGHT]:[D - VIGOROUS]])</f>
        <v>79.432000000000002</v>
      </c>
      <c r="M820" s="14">
        <f>'PIVOT TABLES'!$I$26</f>
        <v>65.603999999999999</v>
      </c>
      <c r="N820" s="14">
        <f>'PIVOT TABLES'!$I$27-'PIVOT TABLES'!$I$26</f>
        <v>32.802000000000007</v>
      </c>
      <c r="O820" s="14">
        <f>'PIVOT TABLES'!$I$28-'PIVOT TABLES'!$I$27</f>
        <v>32.801999999999992</v>
      </c>
      <c r="P820" s="14">
        <f>200-SUM(Table3[[#This Row],[M - LIGHT]:[M - VIGOROUS]])</f>
        <v>68.792000000000002</v>
      </c>
      <c r="Q820" s="14">
        <f>'PIVOT TABLES'!$P$26</f>
        <v>62.64</v>
      </c>
      <c r="R820" s="14">
        <f>'PIVOT TABLES'!$P$27-'PIVOT TABLES'!$P$26</f>
        <v>31.320000000000007</v>
      </c>
      <c r="S820" s="14">
        <f>'PIVOT TABLES'!$P$28-'PIVOT TABLES'!$P$27</f>
        <v>31.319999999999993</v>
      </c>
      <c r="T820" s="14">
        <f>200-SUM(Table3[[#This Row],[W - LIGHT]:[W - VIGOROUS]])</f>
        <v>74.72</v>
      </c>
      <c r="U820" s="14">
        <f>'PIVOT TABLES'!$W$26</f>
        <v>55.895999999999994</v>
      </c>
      <c r="V820" s="14">
        <f>'PIVOT TABLES'!$W$27-'PIVOT TABLES'!$W$26</f>
        <v>27.948</v>
      </c>
      <c r="W820" s="14">
        <f>'PIVOT TABLES'!$W$28-'PIVOT TABLES'!$W$27</f>
        <v>27.947999999999993</v>
      </c>
      <c r="X820" s="14">
        <f>200-SUM(Table3[[#This Row],[S - LIGHT]:[S - VIGOROUS]])</f>
        <v>88.208000000000013</v>
      </c>
    </row>
    <row r="821" spans="1:24" x14ac:dyDescent="0.25">
      <c r="A821" s="17" t="s">
        <v>64</v>
      </c>
      <c r="B821" s="13" t="str">
        <f t="shared" si="12"/>
        <v>Midfielder</v>
      </c>
      <c r="C821" s="7">
        <v>45345.404236111113</v>
      </c>
      <c r="D821" s="14">
        <v>4053</v>
      </c>
      <c r="E821" s="14">
        <v>0</v>
      </c>
      <c r="F821" s="14">
        <v>4</v>
      </c>
      <c r="G821" s="14">
        <v>11</v>
      </c>
      <c r="H821" s="14">
        <v>40.909999999999997</v>
      </c>
      <c r="I821" s="14">
        <f>'PIVOT TABLES'!$B$26</f>
        <v>60.283999999999999</v>
      </c>
      <c r="J821" s="14">
        <f>'PIVOT TABLES'!$B$27-'PIVOT TABLES'!$B$26</f>
        <v>30.142000000000003</v>
      </c>
      <c r="K821" s="14">
        <f>'PIVOT TABLES'!$B$28-'PIVOT TABLES'!$B$27</f>
        <v>30.141999999999996</v>
      </c>
      <c r="L821" s="14">
        <f>200-SUM(Table3[[#This Row],[D - LIGHT]:[D - VIGOROUS]])</f>
        <v>79.432000000000002</v>
      </c>
      <c r="M821" s="14">
        <f>'PIVOT TABLES'!$I$26</f>
        <v>65.603999999999999</v>
      </c>
      <c r="N821" s="14">
        <f>'PIVOT TABLES'!$I$27-'PIVOT TABLES'!$I$26</f>
        <v>32.802000000000007</v>
      </c>
      <c r="O821" s="14">
        <f>'PIVOT TABLES'!$I$28-'PIVOT TABLES'!$I$27</f>
        <v>32.801999999999992</v>
      </c>
      <c r="P821" s="14">
        <f>200-SUM(Table3[[#This Row],[M - LIGHT]:[M - VIGOROUS]])</f>
        <v>68.792000000000002</v>
      </c>
      <c r="Q821" s="14">
        <f>'PIVOT TABLES'!$P$26</f>
        <v>62.64</v>
      </c>
      <c r="R821" s="14">
        <f>'PIVOT TABLES'!$P$27-'PIVOT TABLES'!$P$26</f>
        <v>31.320000000000007</v>
      </c>
      <c r="S821" s="14">
        <f>'PIVOT TABLES'!$P$28-'PIVOT TABLES'!$P$27</f>
        <v>31.319999999999993</v>
      </c>
      <c r="T821" s="14">
        <f>200-SUM(Table3[[#This Row],[W - LIGHT]:[W - VIGOROUS]])</f>
        <v>74.72</v>
      </c>
      <c r="U821" s="14">
        <f>'PIVOT TABLES'!$W$26</f>
        <v>55.895999999999994</v>
      </c>
      <c r="V821" s="14">
        <f>'PIVOT TABLES'!$W$27-'PIVOT TABLES'!$W$26</f>
        <v>27.948</v>
      </c>
      <c r="W821" s="14">
        <f>'PIVOT TABLES'!$W$28-'PIVOT TABLES'!$W$27</f>
        <v>27.947999999999993</v>
      </c>
      <c r="X821" s="14">
        <f>200-SUM(Table3[[#This Row],[S - LIGHT]:[S - VIGOROUS]])</f>
        <v>88.208000000000013</v>
      </c>
    </row>
    <row r="822" spans="1:24" x14ac:dyDescent="0.25">
      <c r="A822" s="17" t="s">
        <v>65</v>
      </c>
      <c r="B822" s="13" t="str">
        <f t="shared" si="12"/>
        <v>Winger</v>
      </c>
      <c r="C822" s="7">
        <v>45345.404236111113</v>
      </c>
      <c r="D822" s="14">
        <v>7925</v>
      </c>
      <c r="E822" s="14">
        <v>167</v>
      </c>
      <c r="F822" s="14">
        <v>36</v>
      </c>
      <c r="G822" s="14">
        <v>36</v>
      </c>
      <c r="H822" s="14">
        <v>86.42</v>
      </c>
      <c r="I822" s="14">
        <f>'PIVOT TABLES'!$B$26</f>
        <v>60.283999999999999</v>
      </c>
      <c r="J822" s="14">
        <f>'PIVOT TABLES'!$B$27-'PIVOT TABLES'!$B$26</f>
        <v>30.142000000000003</v>
      </c>
      <c r="K822" s="14">
        <f>'PIVOT TABLES'!$B$28-'PIVOT TABLES'!$B$27</f>
        <v>30.141999999999996</v>
      </c>
      <c r="L822" s="14">
        <f>200-SUM(Table3[[#This Row],[D - LIGHT]:[D - VIGOROUS]])</f>
        <v>79.432000000000002</v>
      </c>
      <c r="M822" s="14">
        <f>'PIVOT TABLES'!$I$26</f>
        <v>65.603999999999999</v>
      </c>
      <c r="N822" s="14">
        <f>'PIVOT TABLES'!$I$27-'PIVOT TABLES'!$I$26</f>
        <v>32.802000000000007</v>
      </c>
      <c r="O822" s="14">
        <f>'PIVOT TABLES'!$I$28-'PIVOT TABLES'!$I$27</f>
        <v>32.801999999999992</v>
      </c>
      <c r="P822" s="14">
        <f>200-SUM(Table3[[#This Row],[M - LIGHT]:[M - VIGOROUS]])</f>
        <v>68.792000000000002</v>
      </c>
      <c r="Q822" s="14">
        <f>'PIVOT TABLES'!$P$26</f>
        <v>62.64</v>
      </c>
      <c r="R822" s="14">
        <f>'PIVOT TABLES'!$P$27-'PIVOT TABLES'!$P$26</f>
        <v>31.320000000000007</v>
      </c>
      <c r="S822" s="14">
        <f>'PIVOT TABLES'!$P$28-'PIVOT TABLES'!$P$27</f>
        <v>31.319999999999993</v>
      </c>
      <c r="T822" s="14">
        <f>200-SUM(Table3[[#This Row],[W - LIGHT]:[W - VIGOROUS]])</f>
        <v>74.72</v>
      </c>
      <c r="U822" s="14">
        <f>'PIVOT TABLES'!$W$26</f>
        <v>55.895999999999994</v>
      </c>
      <c r="V822" s="14">
        <f>'PIVOT TABLES'!$W$27-'PIVOT TABLES'!$W$26</f>
        <v>27.948</v>
      </c>
      <c r="W822" s="14">
        <f>'PIVOT TABLES'!$W$28-'PIVOT TABLES'!$W$27</f>
        <v>27.947999999999993</v>
      </c>
      <c r="X822" s="14">
        <f>200-SUM(Table3[[#This Row],[S - LIGHT]:[S - VIGOROUS]])</f>
        <v>88.208000000000013</v>
      </c>
    </row>
    <row r="823" spans="1:24" x14ac:dyDescent="0.25">
      <c r="A823" s="17" t="s">
        <v>78</v>
      </c>
      <c r="B823" s="13" t="str">
        <f t="shared" si="12"/>
        <v>Defender</v>
      </c>
      <c r="C823" s="7">
        <v>45345.404236111113</v>
      </c>
      <c r="D823" s="14">
        <v>6714</v>
      </c>
      <c r="E823" s="14">
        <v>107</v>
      </c>
      <c r="F823" s="14">
        <v>15</v>
      </c>
      <c r="G823" s="14">
        <v>18</v>
      </c>
      <c r="H823" s="14">
        <v>71.31</v>
      </c>
      <c r="I823" s="14">
        <f>'PIVOT TABLES'!$B$26</f>
        <v>60.283999999999999</v>
      </c>
      <c r="J823" s="14">
        <f>'PIVOT TABLES'!$B$27-'PIVOT TABLES'!$B$26</f>
        <v>30.142000000000003</v>
      </c>
      <c r="K823" s="14">
        <f>'PIVOT TABLES'!$B$28-'PIVOT TABLES'!$B$27</f>
        <v>30.141999999999996</v>
      </c>
      <c r="L823" s="14">
        <f>200-SUM(Table3[[#This Row],[D - LIGHT]:[D - VIGOROUS]])</f>
        <v>79.432000000000002</v>
      </c>
      <c r="M823" s="14">
        <f>'PIVOT TABLES'!$I$26</f>
        <v>65.603999999999999</v>
      </c>
      <c r="N823" s="14">
        <f>'PIVOT TABLES'!$I$27-'PIVOT TABLES'!$I$26</f>
        <v>32.802000000000007</v>
      </c>
      <c r="O823" s="14">
        <f>'PIVOT TABLES'!$I$28-'PIVOT TABLES'!$I$27</f>
        <v>32.801999999999992</v>
      </c>
      <c r="P823" s="14">
        <f>200-SUM(Table3[[#This Row],[M - LIGHT]:[M - VIGOROUS]])</f>
        <v>68.792000000000002</v>
      </c>
      <c r="Q823" s="14">
        <f>'PIVOT TABLES'!$P$26</f>
        <v>62.64</v>
      </c>
      <c r="R823" s="14">
        <f>'PIVOT TABLES'!$P$27-'PIVOT TABLES'!$P$26</f>
        <v>31.320000000000007</v>
      </c>
      <c r="S823" s="14">
        <f>'PIVOT TABLES'!$P$28-'PIVOT TABLES'!$P$27</f>
        <v>31.319999999999993</v>
      </c>
      <c r="T823" s="14">
        <f>200-SUM(Table3[[#This Row],[W - LIGHT]:[W - VIGOROUS]])</f>
        <v>74.72</v>
      </c>
      <c r="U823" s="14">
        <f>'PIVOT TABLES'!$W$26</f>
        <v>55.895999999999994</v>
      </c>
      <c r="V823" s="14">
        <f>'PIVOT TABLES'!$W$27-'PIVOT TABLES'!$W$26</f>
        <v>27.948</v>
      </c>
      <c r="W823" s="14">
        <f>'PIVOT TABLES'!$W$28-'PIVOT TABLES'!$W$27</f>
        <v>27.947999999999993</v>
      </c>
      <c r="X823" s="14">
        <f>200-SUM(Table3[[#This Row],[S - LIGHT]:[S - VIGOROUS]])</f>
        <v>88.208000000000013</v>
      </c>
    </row>
    <row r="824" spans="1:24" x14ac:dyDescent="0.25">
      <c r="A824" s="17" t="s">
        <v>7</v>
      </c>
      <c r="B824" s="13" t="str">
        <f t="shared" si="12"/>
        <v>Winger</v>
      </c>
      <c r="C824" s="7">
        <v>45345.404236111113</v>
      </c>
      <c r="D824" s="14">
        <v>8196</v>
      </c>
      <c r="E824" s="14">
        <v>78</v>
      </c>
      <c r="F824" s="14">
        <v>23</v>
      </c>
      <c r="G824" s="14">
        <v>15</v>
      </c>
      <c r="H824" s="14">
        <v>98.52</v>
      </c>
      <c r="I824" s="14">
        <f>'PIVOT TABLES'!$B$26</f>
        <v>60.283999999999999</v>
      </c>
      <c r="J824" s="14">
        <f>'PIVOT TABLES'!$B$27-'PIVOT TABLES'!$B$26</f>
        <v>30.142000000000003</v>
      </c>
      <c r="K824" s="14">
        <f>'PIVOT TABLES'!$B$28-'PIVOT TABLES'!$B$27</f>
        <v>30.141999999999996</v>
      </c>
      <c r="L824" s="14">
        <f>200-SUM(Table3[[#This Row],[D - LIGHT]:[D - VIGOROUS]])</f>
        <v>79.432000000000002</v>
      </c>
      <c r="M824" s="14">
        <f>'PIVOT TABLES'!$I$26</f>
        <v>65.603999999999999</v>
      </c>
      <c r="N824" s="14">
        <f>'PIVOT TABLES'!$I$27-'PIVOT TABLES'!$I$26</f>
        <v>32.802000000000007</v>
      </c>
      <c r="O824" s="14">
        <f>'PIVOT TABLES'!$I$28-'PIVOT TABLES'!$I$27</f>
        <v>32.801999999999992</v>
      </c>
      <c r="P824" s="14">
        <f>200-SUM(Table3[[#This Row],[M - LIGHT]:[M - VIGOROUS]])</f>
        <v>68.792000000000002</v>
      </c>
      <c r="Q824" s="14">
        <f>'PIVOT TABLES'!$P$26</f>
        <v>62.64</v>
      </c>
      <c r="R824" s="14">
        <f>'PIVOT TABLES'!$P$27-'PIVOT TABLES'!$P$26</f>
        <v>31.320000000000007</v>
      </c>
      <c r="S824" s="14">
        <f>'PIVOT TABLES'!$P$28-'PIVOT TABLES'!$P$27</f>
        <v>31.319999999999993</v>
      </c>
      <c r="T824" s="14">
        <f>200-SUM(Table3[[#This Row],[W - LIGHT]:[W - VIGOROUS]])</f>
        <v>74.72</v>
      </c>
      <c r="U824" s="14">
        <f>'PIVOT TABLES'!$W$26</f>
        <v>55.895999999999994</v>
      </c>
      <c r="V824" s="14">
        <f>'PIVOT TABLES'!$W$27-'PIVOT TABLES'!$W$26</f>
        <v>27.948</v>
      </c>
      <c r="W824" s="14">
        <f>'PIVOT TABLES'!$W$28-'PIVOT TABLES'!$W$27</f>
        <v>27.947999999999993</v>
      </c>
      <c r="X824" s="14">
        <f>200-SUM(Table3[[#This Row],[S - LIGHT]:[S - VIGOROUS]])</f>
        <v>88.208000000000013</v>
      </c>
    </row>
    <row r="825" spans="1:24" x14ac:dyDescent="0.25">
      <c r="A825" s="17" t="s">
        <v>95</v>
      </c>
      <c r="B825" s="13" t="str">
        <f t="shared" si="12"/>
        <v>Winger</v>
      </c>
      <c r="C825" s="7">
        <v>45345.404236111113</v>
      </c>
      <c r="D825" s="14">
        <v>6312</v>
      </c>
      <c r="E825" s="14">
        <v>113</v>
      </c>
      <c r="F825" s="14">
        <v>20</v>
      </c>
      <c r="G825" s="14">
        <v>22</v>
      </c>
      <c r="H825" s="14">
        <v>81.44</v>
      </c>
      <c r="I825" s="14">
        <f>'PIVOT TABLES'!$B$26</f>
        <v>60.283999999999999</v>
      </c>
      <c r="J825" s="14">
        <f>'PIVOT TABLES'!$B$27-'PIVOT TABLES'!$B$26</f>
        <v>30.142000000000003</v>
      </c>
      <c r="K825" s="14">
        <f>'PIVOT TABLES'!$B$28-'PIVOT TABLES'!$B$27</f>
        <v>30.141999999999996</v>
      </c>
      <c r="L825" s="14">
        <f>200-SUM(Table3[[#This Row],[D - LIGHT]:[D - VIGOROUS]])</f>
        <v>79.432000000000002</v>
      </c>
      <c r="M825" s="14">
        <f>'PIVOT TABLES'!$I$26</f>
        <v>65.603999999999999</v>
      </c>
      <c r="N825" s="14">
        <f>'PIVOT TABLES'!$I$27-'PIVOT TABLES'!$I$26</f>
        <v>32.802000000000007</v>
      </c>
      <c r="O825" s="14">
        <f>'PIVOT TABLES'!$I$28-'PIVOT TABLES'!$I$27</f>
        <v>32.801999999999992</v>
      </c>
      <c r="P825" s="14">
        <f>200-SUM(Table3[[#This Row],[M - LIGHT]:[M - VIGOROUS]])</f>
        <v>68.792000000000002</v>
      </c>
      <c r="Q825" s="14">
        <f>'PIVOT TABLES'!$P$26</f>
        <v>62.64</v>
      </c>
      <c r="R825" s="14">
        <f>'PIVOT TABLES'!$P$27-'PIVOT TABLES'!$P$26</f>
        <v>31.320000000000007</v>
      </c>
      <c r="S825" s="14">
        <f>'PIVOT TABLES'!$P$28-'PIVOT TABLES'!$P$27</f>
        <v>31.319999999999993</v>
      </c>
      <c r="T825" s="14">
        <f>200-SUM(Table3[[#This Row],[W - LIGHT]:[W - VIGOROUS]])</f>
        <v>74.72</v>
      </c>
      <c r="U825" s="14">
        <f>'PIVOT TABLES'!$W$26</f>
        <v>55.895999999999994</v>
      </c>
      <c r="V825" s="14">
        <f>'PIVOT TABLES'!$W$27-'PIVOT TABLES'!$W$26</f>
        <v>27.948</v>
      </c>
      <c r="W825" s="14">
        <f>'PIVOT TABLES'!$W$28-'PIVOT TABLES'!$W$27</f>
        <v>27.947999999999993</v>
      </c>
      <c r="X825" s="14">
        <f>200-SUM(Table3[[#This Row],[S - LIGHT]:[S - VIGOROUS]])</f>
        <v>88.208000000000013</v>
      </c>
    </row>
    <row r="826" spans="1:24" x14ac:dyDescent="0.25">
      <c r="A826" s="17" t="s">
        <v>96</v>
      </c>
      <c r="B826" s="13" t="str">
        <f t="shared" si="12"/>
        <v>Winger</v>
      </c>
      <c r="C826" s="7">
        <v>45345.404236111113</v>
      </c>
      <c r="D826" s="14">
        <v>4832</v>
      </c>
      <c r="E826" s="14">
        <v>0</v>
      </c>
      <c r="F826" s="14">
        <v>2</v>
      </c>
      <c r="G826" s="14">
        <v>11</v>
      </c>
      <c r="H826" s="14">
        <v>48.62</v>
      </c>
      <c r="I826" s="14">
        <f>'PIVOT TABLES'!$B$26</f>
        <v>60.283999999999999</v>
      </c>
      <c r="J826" s="14">
        <f>'PIVOT TABLES'!$B$27-'PIVOT TABLES'!$B$26</f>
        <v>30.142000000000003</v>
      </c>
      <c r="K826" s="14">
        <f>'PIVOT TABLES'!$B$28-'PIVOT TABLES'!$B$27</f>
        <v>30.141999999999996</v>
      </c>
      <c r="L826" s="14">
        <f>200-SUM(Table3[[#This Row],[D - LIGHT]:[D - VIGOROUS]])</f>
        <v>79.432000000000002</v>
      </c>
      <c r="M826" s="14">
        <f>'PIVOT TABLES'!$I$26</f>
        <v>65.603999999999999</v>
      </c>
      <c r="N826" s="14">
        <f>'PIVOT TABLES'!$I$27-'PIVOT TABLES'!$I$26</f>
        <v>32.802000000000007</v>
      </c>
      <c r="O826" s="14">
        <f>'PIVOT TABLES'!$I$28-'PIVOT TABLES'!$I$27</f>
        <v>32.801999999999992</v>
      </c>
      <c r="P826" s="14">
        <f>200-SUM(Table3[[#This Row],[M - LIGHT]:[M - VIGOROUS]])</f>
        <v>68.792000000000002</v>
      </c>
      <c r="Q826" s="14">
        <f>'PIVOT TABLES'!$P$26</f>
        <v>62.64</v>
      </c>
      <c r="R826" s="14">
        <f>'PIVOT TABLES'!$P$27-'PIVOT TABLES'!$P$26</f>
        <v>31.320000000000007</v>
      </c>
      <c r="S826" s="14">
        <f>'PIVOT TABLES'!$P$28-'PIVOT TABLES'!$P$27</f>
        <v>31.319999999999993</v>
      </c>
      <c r="T826" s="14">
        <f>200-SUM(Table3[[#This Row],[W - LIGHT]:[W - VIGOROUS]])</f>
        <v>74.72</v>
      </c>
      <c r="U826" s="14">
        <f>'PIVOT TABLES'!$W$26</f>
        <v>55.895999999999994</v>
      </c>
      <c r="V826" s="14">
        <f>'PIVOT TABLES'!$W$27-'PIVOT TABLES'!$W$26</f>
        <v>27.948</v>
      </c>
      <c r="W826" s="14">
        <f>'PIVOT TABLES'!$W$28-'PIVOT TABLES'!$W$27</f>
        <v>27.947999999999993</v>
      </c>
      <c r="X826" s="14">
        <f>200-SUM(Table3[[#This Row],[S - LIGHT]:[S - VIGOROUS]])</f>
        <v>88.208000000000013</v>
      </c>
    </row>
    <row r="827" spans="1:24" x14ac:dyDescent="0.25">
      <c r="A827" s="17" t="s">
        <v>8</v>
      </c>
      <c r="B827" s="13" t="str">
        <f t="shared" si="12"/>
        <v>Striker</v>
      </c>
      <c r="C827" s="7">
        <v>45345.404236111113</v>
      </c>
      <c r="D827" s="14">
        <v>9116</v>
      </c>
      <c r="E827" s="14">
        <v>284</v>
      </c>
      <c r="F827" s="14">
        <v>41</v>
      </c>
      <c r="G827" s="14">
        <v>44</v>
      </c>
      <c r="H827" s="14">
        <v>102.2</v>
      </c>
      <c r="I827" s="14">
        <f>'PIVOT TABLES'!$B$26</f>
        <v>60.283999999999999</v>
      </c>
      <c r="J827" s="14">
        <f>'PIVOT TABLES'!$B$27-'PIVOT TABLES'!$B$26</f>
        <v>30.142000000000003</v>
      </c>
      <c r="K827" s="14">
        <f>'PIVOT TABLES'!$B$28-'PIVOT TABLES'!$B$27</f>
        <v>30.141999999999996</v>
      </c>
      <c r="L827" s="14">
        <f>200-SUM(Table3[[#This Row],[D - LIGHT]:[D - VIGOROUS]])</f>
        <v>79.432000000000002</v>
      </c>
      <c r="M827" s="14">
        <f>'PIVOT TABLES'!$I$26</f>
        <v>65.603999999999999</v>
      </c>
      <c r="N827" s="14">
        <f>'PIVOT TABLES'!$I$27-'PIVOT TABLES'!$I$26</f>
        <v>32.802000000000007</v>
      </c>
      <c r="O827" s="14">
        <f>'PIVOT TABLES'!$I$28-'PIVOT TABLES'!$I$27</f>
        <v>32.801999999999992</v>
      </c>
      <c r="P827" s="14">
        <f>200-SUM(Table3[[#This Row],[M - LIGHT]:[M - VIGOROUS]])</f>
        <v>68.792000000000002</v>
      </c>
      <c r="Q827" s="14">
        <f>'PIVOT TABLES'!$P$26</f>
        <v>62.64</v>
      </c>
      <c r="R827" s="14">
        <f>'PIVOT TABLES'!$P$27-'PIVOT TABLES'!$P$26</f>
        <v>31.320000000000007</v>
      </c>
      <c r="S827" s="14">
        <f>'PIVOT TABLES'!$P$28-'PIVOT TABLES'!$P$27</f>
        <v>31.319999999999993</v>
      </c>
      <c r="T827" s="14">
        <f>200-SUM(Table3[[#This Row],[W - LIGHT]:[W - VIGOROUS]])</f>
        <v>74.72</v>
      </c>
      <c r="U827" s="14">
        <f>'PIVOT TABLES'!$W$26</f>
        <v>55.895999999999994</v>
      </c>
      <c r="V827" s="14">
        <f>'PIVOT TABLES'!$W$27-'PIVOT TABLES'!$W$26</f>
        <v>27.948</v>
      </c>
      <c r="W827" s="14">
        <f>'PIVOT TABLES'!$W$28-'PIVOT TABLES'!$W$27</f>
        <v>27.947999999999993</v>
      </c>
      <c r="X827" s="14">
        <f>200-SUM(Table3[[#This Row],[S - LIGHT]:[S - VIGOROUS]])</f>
        <v>88.208000000000013</v>
      </c>
    </row>
    <row r="828" spans="1:24" x14ac:dyDescent="0.25">
      <c r="A828" s="17" t="s">
        <v>67</v>
      </c>
      <c r="B828" s="13" t="str">
        <f t="shared" si="12"/>
        <v>Midfielder</v>
      </c>
      <c r="C828" s="7">
        <v>45345.404236111113</v>
      </c>
      <c r="D828" s="14">
        <v>4885</v>
      </c>
      <c r="E828" s="14">
        <v>0</v>
      </c>
      <c r="F828" s="14">
        <v>14</v>
      </c>
      <c r="G828" s="14">
        <v>17</v>
      </c>
      <c r="H828" s="14">
        <v>49.75</v>
      </c>
      <c r="I828" s="14">
        <f>'PIVOT TABLES'!$B$26</f>
        <v>60.283999999999999</v>
      </c>
      <c r="J828" s="14">
        <f>'PIVOT TABLES'!$B$27-'PIVOT TABLES'!$B$26</f>
        <v>30.142000000000003</v>
      </c>
      <c r="K828" s="14">
        <f>'PIVOT TABLES'!$B$28-'PIVOT TABLES'!$B$27</f>
        <v>30.141999999999996</v>
      </c>
      <c r="L828" s="14">
        <f>200-SUM(Table3[[#This Row],[D - LIGHT]:[D - VIGOROUS]])</f>
        <v>79.432000000000002</v>
      </c>
      <c r="M828" s="14">
        <f>'PIVOT TABLES'!$I$26</f>
        <v>65.603999999999999</v>
      </c>
      <c r="N828" s="14">
        <f>'PIVOT TABLES'!$I$27-'PIVOT TABLES'!$I$26</f>
        <v>32.802000000000007</v>
      </c>
      <c r="O828" s="14">
        <f>'PIVOT TABLES'!$I$28-'PIVOT TABLES'!$I$27</f>
        <v>32.801999999999992</v>
      </c>
      <c r="P828" s="14">
        <f>200-SUM(Table3[[#This Row],[M - LIGHT]:[M - VIGOROUS]])</f>
        <v>68.792000000000002</v>
      </c>
      <c r="Q828" s="14">
        <f>'PIVOT TABLES'!$P$26</f>
        <v>62.64</v>
      </c>
      <c r="R828" s="14">
        <f>'PIVOT TABLES'!$P$27-'PIVOT TABLES'!$P$26</f>
        <v>31.320000000000007</v>
      </c>
      <c r="S828" s="14">
        <f>'PIVOT TABLES'!$P$28-'PIVOT TABLES'!$P$27</f>
        <v>31.319999999999993</v>
      </c>
      <c r="T828" s="14">
        <f>200-SUM(Table3[[#This Row],[W - LIGHT]:[W - VIGOROUS]])</f>
        <v>74.72</v>
      </c>
      <c r="U828" s="14">
        <f>'PIVOT TABLES'!$W$26</f>
        <v>55.895999999999994</v>
      </c>
      <c r="V828" s="14">
        <f>'PIVOT TABLES'!$W$27-'PIVOT TABLES'!$W$26</f>
        <v>27.948</v>
      </c>
      <c r="W828" s="14">
        <f>'PIVOT TABLES'!$W$28-'PIVOT TABLES'!$W$27</f>
        <v>27.947999999999993</v>
      </c>
      <c r="X828" s="14">
        <f>200-SUM(Table3[[#This Row],[S - LIGHT]:[S - VIGOROUS]])</f>
        <v>88.208000000000013</v>
      </c>
    </row>
    <row r="829" spans="1:24" x14ac:dyDescent="0.25">
      <c r="A829" s="17" t="s">
        <v>9</v>
      </c>
      <c r="B829" s="13" t="str">
        <f t="shared" si="12"/>
        <v>Striker</v>
      </c>
      <c r="C829" s="7">
        <v>45345.404236111113</v>
      </c>
      <c r="D829" s="14">
        <v>1687</v>
      </c>
      <c r="E829" s="14">
        <v>6</v>
      </c>
      <c r="F829" s="14">
        <v>6</v>
      </c>
      <c r="G829" s="14">
        <v>5</v>
      </c>
      <c r="H829" s="14">
        <v>17.39</v>
      </c>
      <c r="I829" s="14">
        <f>'PIVOT TABLES'!$B$26</f>
        <v>60.283999999999999</v>
      </c>
      <c r="J829" s="14">
        <f>'PIVOT TABLES'!$B$27-'PIVOT TABLES'!$B$26</f>
        <v>30.142000000000003</v>
      </c>
      <c r="K829" s="14">
        <f>'PIVOT TABLES'!$B$28-'PIVOT TABLES'!$B$27</f>
        <v>30.141999999999996</v>
      </c>
      <c r="L829" s="14">
        <f>200-SUM(Table3[[#This Row],[D - LIGHT]:[D - VIGOROUS]])</f>
        <v>79.432000000000002</v>
      </c>
      <c r="M829" s="14">
        <f>'PIVOT TABLES'!$I$26</f>
        <v>65.603999999999999</v>
      </c>
      <c r="N829" s="14">
        <f>'PIVOT TABLES'!$I$27-'PIVOT TABLES'!$I$26</f>
        <v>32.802000000000007</v>
      </c>
      <c r="O829" s="14">
        <f>'PIVOT TABLES'!$I$28-'PIVOT TABLES'!$I$27</f>
        <v>32.801999999999992</v>
      </c>
      <c r="P829" s="14">
        <f>200-SUM(Table3[[#This Row],[M - LIGHT]:[M - VIGOROUS]])</f>
        <v>68.792000000000002</v>
      </c>
      <c r="Q829" s="14">
        <f>'PIVOT TABLES'!$P$26</f>
        <v>62.64</v>
      </c>
      <c r="R829" s="14">
        <f>'PIVOT TABLES'!$P$27-'PIVOT TABLES'!$P$26</f>
        <v>31.320000000000007</v>
      </c>
      <c r="S829" s="14">
        <f>'PIVOT TABLES'!$P$28-'PIVOT TABLES'!$P$27</f>
        <v>31.319999999999993</v>
      </c>
      <c r="T829" s="14">
        <f>200-SUM(Table3[[#This Row],[W - LIGHT]:[W - VIGOROUS]])</f>
        <v>74.72</v>
      </c>
      <c r="U829" s="14">
        <f>'PIVOT TABLES'!$W$26</f>
        <v>55.895999999999994</v>
      </c>
      <c r="V829" s="14">
        <f>'PIVOT TABLES'!$W$27-'PIVOT TABLES'!$W$26</f>
        <v>27.948</v>
      </c>
      <c r="W829" s="14">
        <f>'PIVOT TABLES'!$W$28-'PIVOT TABLES'!$W$27</f>
        <v>27.947999999999993</v>
      </c>
      <c r="X829" s="14">
        <f>200-SUM(Table3[[#This Row],[S - LIGHT]:[S - VIGOROUS]])</f>
        <v>88.208000000000013</v>
      </c>
    </row>
    <row r="830" spans="1:24" x14ac:dyDescent="0.25">
      <c r="A830" s="17" t="s">
        <v>69</v>
      </c>
      <c r="B830" s="13" t="str">
        <f t="shared" si="12"/>
        <v>Midfielder</v>
      </c>
      <c r="C830" s="7">
        <v>45345.404236111113</v>
      </c>
      <c r="D830" s="14">
        <v>7819</v>
      </c>
      <c r="E830" s="14">
        <v>111</v>
      </c>
      <c r="F830" s="14">
        <v>26</v>
      </c>
      <c r="G830" s="14">
        <v>13</v>
      </c>
      <c r="H830" s="14">
        <v>97.07</v>
      </c>
      <c r="I830" s="14">
        <f>'PIVOT TABLES'!$B$26</f>
        <v>60.283999999999999</v>
      </c>
      <c r="J830" s="14">
        <f>'PIVOT TABLES'!$B$27-'PIVOT TABLES'!$B$26</f>
        <v>30.142000000000003</v>
      </c>
      <c r="K830" s="14">
        <f>'PIVOT TABLES'!$B$28-'PIVOT TABLES'!$B$27</f>
        <v>30.141999999999996</v>
      </c>
      <c r="L830" s="14">
        <f>200-SUM(Table3[[#This Row],[D - LIGHT]:[D - VIGOROUS]])</f>
        <v>79.432000000000002</v>
      </c>
      <c r="M830" s="14">
        <f>'PIVOT TABLES'!$I$26</f>
        <v>65.603999999999999</v>
      </c>
      <c r="N830" s="14">
        <f>'PIVOT TABLES'!$I$27-'PIVOT TABLES'!$I$26</f>
        <v>32.802000000000007</v>
      </c>
      <c r="O830" s="14">
        <f>'PIVOT TABLES'!$I$28-'PIVOT TABLES'!$I$27</f>
        <v>32.801999999999992</v>
      </c>
      <c r="P830" s="14">
        <f>200-SUM(Table3[[#This Row],[M - LIGHT]:[M - VIGOROUS]])</f>
        <v>68.792000000000002</v>
      </c>
      <c r="Q830" s="14">
        <f>'PIVOT TABLES'!$P$26</f>
        <v>62.64</v>
      </c>
      <c r="R830" s="14">
        <f>'PIVOT TABLES'!$P$27-'PIVOT TABLES'!$P$26</f>
        <v>31.320000000000007</v>
      </c>
      <c r="S830" s="14">
        <f>'PIVOT TABLES'!$P$28-'PIVOT TABLES'!$P$27</f>
        <v>31.319999999999993</v>
      </c>
      <c r="T830" s="14">
        <f>200-SUM(Table3[[#This Row],[W - LIGHT]:[W - VIGOROUS]])</f>
        <v>74.72</v>
      </c>
      <c r="U830" s="14">
        <f>'PIVOT TABLES'!$W$26</f>
        <v>55.895999999999994</v>
      </c>
      <c r="V830" s="14">
        <f>'PIVOT TABLES'!$W$27-'PIVOT TABLES'!$W$26</f>
        <v>27.948</v>
      </c>
      <c r="W830" s="14">
        <f>'PIVOT TABLES'!$W$28-'PIVOT TABLES'!$W$27</f>
        <v>27.947999999999993</v>
      </c>
      <c r="X830" s="14">
        <f>200-SUM(Table3[[#This Row],[S - LIGHT]:[S - VIGOROUS]])</f>
        <v>88.208000000000013</v>
      </c>
    </row>
    <row r="831" spans="1:24" x14ac:dyDescent="0.25">
      <c r="A831" s="17" t="s">
        <v>53</v>
      </c>
      <c r="B831" s="13" t="str">
        <f t="shared" si="12"/>
        <v>Midfielder</v>
      </c>
      <c r="C831" s="7">
        <v>45348.647581018522</v>
      </c>
      <c r="D831" s="14">
        <v>5304</v>
      </c>
      <c r="E831" s="14">
        <v>37</v>
      </c>
      <c r="F831" s="14">
        <v>15</v>
      </c>
      <c r="G831" s="14">
        <v>35</v>
      </c>
      <c r="H831" s="14">
        <v>55.45</v>
      </c>
      <c r="I831" s="14">
        <f>'PIVOT TABLES'!$B$26</f>
        <v>60.283999999999999</v>
      </c>
      <c r="J831" s="14">
        <f>'PIVOT TABLES'!$B$27-'PIVOT TABLES'!$B$26</f>
        <v>30.142000000000003</v>
      </c>
      <c r="K831" s="14">
        <f>'PIVOT TABLES'!$B$28-'PIVOT TABLES'!$B$27</f>
        <v>30.141999999999996</v>
      </c>
      <c r="L831" s="14">
        <f>200-SUM(Table3[[#This Row],[D - LIGHT]:[D - VIGOROUS]])</f>
        <v>79.432000000000002</v>
      </c>
      <c r="M831" s="14">
        <f>'PIVOT TABLES'!$I$26</f>
        <v>65.603999999999999</v>
      </c>
      <c r="N831" s="14">
        <f>'PIVOT TABLES'!$I$27-'PIVOT TABLES'!$I$26</f>
        <v>32.802000000000007</v>
      </c>
      <c r="O831" s="14">
        <f>'PIVOT TABLES'!$I$28-'PIVOT TABLES'!$I$27</f>
        <v>32.801999999999992</v>
      </c>
      <c r="P831" s="14">
        <f>200-SUM(Table3[[#This Row],[M - LIGHT]:[M - VIGOROUS]])</f>
        <v>68.792000000000002</v>
      </c>
      <c r="Q831" s="14">
        <f>'PIVOT TABLES'!$P$26</f>
        <v>62.64</v>
      </c>
      <c r="R831" s="14">
        <f>'PIVOT TABLES'!$P$27-'PIVOT TABLES'!$P$26</f>
        <v>31.320000000000007</v>
      </c>
      <c r="S831" s="14">
        <f>'PIVOT TABLES'!$P$28-'PIVOT TABLES'!$P$27</f>
        <v>31.319999999999993</v>
      </c>
      <c r="T831" s="14">
        <f>200-SUM(Table3[[#This Row],[W - LIGHT]:[W - VIGOROUS]])</f>
        <v>74.72</v>
      </c>
      <c r="U831" s="14">
        <f>'PIVOT TABLES'!$W$26</f>
        <v>55.895999999999994</v>
      </c>
      <c r="V831" s="14">
        <f>'PIVOT TABLES'!$W$27-'PIVOT TABLES'!$W$26</f>
        <v>27.948</v>
      </c>
      <c r="W831" s="14">
        <f>'PIVOT TABLES'!$W$28-'PIVOT TABLES'!$W$27</f>
        <v>27.947999999999993</v>
      </c>
      <c r="X831" s="14">
        <f>200-SUM(Table3[[#This Row],[S - LIGHT]:[S - VIGOROUS]])</f>
        <v>88.208000000000013</v>
      </c>
    </row>
    <row r="832" spans="1:24" x14ac:dyDescent="0.25">
      <c r="A832" s="17" t="s">
        <v>55</v>
      </c>
      <c r="B832" s="13" t="str">
        <f t="shared" si="12"/>
        <v>Striker</v>
      </c>
      <c r="C832" s="7">
        <v>45348.647581018522</v>
      </c>
      <c r="D832" s="14">
        <v>5456</v>
      </c>
      <c r="E832" s="14">
        <v>9</v>
      </c>
      <c r="F832" s="14">
        <v>24</v>
      </c>
      <c r="G832" s="14">
        <v>16</v>
      </c>
      <c r="H832" s="14">
        <v>56.11</v>
      </c>
      <c r="I832" s="14">
        <f>'PIVOT TABLES'!$B$26</f>
        <v>60.283999999999999</v>
      </c>
      <c r="J832" s="14">
        <f>'PIVOT TABLES'!$B$27-'PIVOT TABLES'!$B$26</f>
        <v>30.142000000000003</v>
      </c>
      <c r="K832" s="14">
        <f>'PIVOT TABLES'!$B$28-'PIVOT TABLES'!$B$27</f>
        <v>30.141999999999996</v>
      </c>
      <c r="L832" s="14">
        <f>200-SUM(Table3[[#This Row],[D - LIGHT]:[D - VIGOROUS]])</f>
        <v>79.432000000000002</v>
      </c>
      <c r="M832" s="14">
        <f>'PIVOT TABLES'!$I$26</f>
        <v>65.603999999999999</v>
      </c>
      <c r="N832" s="14">
        <f>'PIVOT TABLES'!$I$27-'PIVOT TABLES'!$I$26</f>
        <v>32.802000000000007</v>
      </c>
      <c r="O832" s="14">
        <f>'PIVOT TABLES'!$I$28-'PIVOT TABLES'!$I$27</f>
        <v>32.801999999999992</v>
      </c>
      <c r="P832" s="14">
        <f>200-SUM(Table3[[#This Row],[M - LIGHT]:[M - VIGOROUS]])</f>
        <v>68.792000000000002</v>
      </c>
      <c r="Q832" s="14">
        <f>'PIVOT TABLES'!$P$26</f>
        <v>62.64</v>
      </c>
      <c r="R832" s="14">
        <f>'PIVOT TABLES'!$P$27-'PIVOT TABLES'!$P$26</f>
        <v>31.320000000000007</v>
      </c>
      <c r="S832" s="14">
        <f>'PIVOT TABLES'!$P$28-'PIVOT TABLES'!$P$27</f>
        <v>31.319999999999993</v>
      </c>
      <c r="T832" s="14">
        <f>200-SUM(Table3[[#This Row],[W - LIGHT]:[W - VIGOROUS]])</f>
        <v>74.72</v>
      </c>
      <c r="U832" s="14">
        <f>'PIVOT TABLES'!$W$26</f>
        <v>55.895999999999994</v>
      </c>
      <c r="V832" s="14">
        <f>'PIVOT TABLES'!$W$27-'PIVOT TABLES'!$W$26</f>
        <v>27.948</v>
      </c>
      <c r="W832" s="14">
        <f>'PIVOT TABLES'!$W$28-'PIVOT TABLES'!$W$27</f>
        <v>27.947999999999993</v>
      </c>
      <c r="X832" s="14">
        <f>200-SUM(Table3[[#This Row],[S - LIGHT]:[S - VIGOROUS]])</f>
        <v>88.208000000000013</v>
      </c>
    </row>
    <row r="833" spans="1:24" x14ac:dyDescent="0.25">
      <c r="A833" s="17" t="s">
        <v>1</v>
      </c>
      <c r="B833" s="13" t="str">
        <f t="shared" si="12"/>
        <v>Defender</v>
      </c>
      <c r="C833" s="7">
        <v>45348.647581018522</v>
      </c>
      <c r="D833" s="14">
        <v>5202</v>
      </c>
      <c r="E833" s="14">
        <v>40</v>
      </c>
      <c r="F833" s="14">
        <v>13</v>
      </c>
      <c r="G833" s="14">
        <v>18</v>
      </c>
      <c r="H833" s="14">
        <v>54.1</v>
      </c>
      <c r="I833" s="14">
        <f>'PIVOT TABLES'!$B$26</f>
        <v>60.283999999999999</v>
      </c>
      <c r="J833" s="14">
        <f>'PIVOT TABLES'!$B$27-'PIVOT TABLES'!$B$26</f>
        <v>30.142000000000003</v>
      </c>
      <c r="K833" s="14">
        <f>'PIVOT TABLES'!$B$28-'PIVOT TABLES'!$B$27</f>
        <v>30.141999999999996</v>
      </c>
      <c r="L833" s="14">
        <f>200-SUM(Table3[[#This Row],[D - LIGHT]:[D - VIGOROUS]])</f>
        <v>79.432000000000002</v>
      </c>
      <c r="M833" s="14">
        <f>'PIVOT TABLES'!$I$26</f>
        <v>65.603999999999999</v>
      </c>
      <c r="N833" s="14">
        <f>'PIVOT TABLES'!$I$27-'PIVOT TABLES'!$I$26</f>
        <v>32.802000000000007</v>
      </c>
      <c r="O833" s="14">
        <f>'PIVOT TABLES'!$I$28-'PIVOT TABLES'!$I$27</f>
        <v>32.801999999999992</v>
      </c>
      <c r="P833" s="14">
        <f>200-SUM(Table3[[#This Row],[M - LIGHT]:[M - VIGOROUS]])</f>
        <v>68.792000000000002</v>
      </c>
      <c r="Q833" s="14">
        <f>'PIVOT TABLES'!$P$26</f>
        <v>62.64</v>
      </c>
      <c r="R833" s="14">
        <f>'PIVOT TABLES'!$P$27-'PIVOT TABLES'!$P$26</f>
        <v>31.320000000000007</v>
      </c>
      <c r="S833" s="14">
        <f>'PIVOT TABLES'!$P$28-'PIVOT TABLES'!$P$27</f>
        <v>31.319999999999993</v>
      </c>
      <c r="T833" s="14">
        <f>200-SUM(Table3[[#This Row],[W - LIGHT]:[W - VIGOROUS]])</f>
        <v>74.72</v>
      </c>
      <c r="U833" s="14">
        <f>'PIVOT TABLES'!$W$26</f>
        <v>55.895999999999994</v>
      </c>
      <c r="V833" s="14">
        <f>'PIVOT TABLES'!$W$27-'PIVOT TABLES'!$W$26</f>
        <v>27.948</v>
      </c>
      <c r="W833" s="14">
        <f>'PIVOT TABLES'!$W$28-'PIVOT TABLES'!$W$27</f>
        <v>27.947999999999993</v>
      </c>
      <c r="X833" s="14">
        <f>200-SUM(Table3[[#This Row],[S - LIGHT]:[S - VIGOROUS]])</f>
        <v>88.208000000000013</v>
      </c>
    </row>
    <row r="834" spans="1:24" x14ac:dyDescent="0.25">
      <c r="A834" s="17" t="s">
        <v>56</v>
      </c>
      <c r="B834" s="13" t="str">
        <f t="shared" si="12"/>
        <v>Midfielder</v>
      </c>
      <c r="C834" s="7">
        <v>45348.647581018522</v>
      </c>
      <c r="D834" s="14">
        <v>5916</v>
      </c>
      <c r="E834" s="14">
        <v>9</v>
      </c>
      <c r="F834" s="14">
        <v>15</v>
      </c>
      <c r="G834" s="14">
        <v>16</v>
      </c>
      <c r="H834" s="14">
        <v>60.35</v>
      </c>
      <c r="I834" s="14">
        <f>'PIVOT TABLES'!$B$26</f>
        <v>60.283999999999999</v>
      </c>
      <c r="J834" s="14">
        <f>'PIVOT TABLES'!$B$27-'PIVOT TABLES'!$B$26</f>
        <v>30.142000000000003</v>
      </c>
      <c r="K834" s="14">
        <f>'PIVOT TABLES'!$B$28-'PIVOT TABLES'!$B$27</f>
        <v>30.141999999999996</v>
      </c>
      <c r="L834" s="14">
        <f>200-SUM(Table3[[#This Row],[D - LIGHT]:[D - VIGOROUS]])</f>
        <v>79.432000000000002</v>
      </c>
      <c r="M834" s="14">
        <f>'PIVOT TABLES'!$I$26</f>
        <v>65.603999999999999</v>
      </c>
      <c r="N834" s="14">
        <f>'PIVOT TABLES'!$I$27-'PIVOT TABLES'!$I$26</f>
        <v>32.802000000000007</v>
      </c>
      <c r="O834" s="14">
        <f>'PIVOT TABLES'!$I$28-'PIVOT TABLES'!$I$27</f>
        <v>32.801999999999992</v>
      </c>
      <c r="P834" s="14">
        <f>200-SUM(Table3[[#This Row],[M - LIGHT]:[M - VIGOROUS]])</f>
        <v>68.792000000000002</v>
      </c>
      <c r="Q834" s="14">
        <f>'PIVOT TABLES'!$P$26</f>
        <v>62.64</v>
      </c>
      <c r="R834" s="14">
        <f>'PIVOT TABLES'!$P$27-'PIVOT TABLES'!$P$26</f>
        <v>31.320000000000007</v>
      </c>
      <c r="S834" s="14">
        <f>'PIVOT TABLES'!$P$28-'PIVOT TABLES'!$P$27</f>
        <v>31.319999999999993</v>
      </c>
      <c r="T834" s="14">
        <f>200-SUM(Table3[[#This Row],[W - LIGHT]:[W - VIGOROUS]])</f>
        <v>74.72</v>
      </c>
      <c r="U834" s="14">
        <f>'PIVOT TABLES'!$W$26</f>
        <v>55.895999999999994</v>
      </c>
      <c r="V834" s="14">
        <f>'PIVOT TABLES'!$W$27-'PIVOT TABLES'!$W$26</f>
        <v>27.948</v>
      </c>
      <c r="W834" s="14">
        <f>'PIVOT TABLES'!$W$28-'PIVOT TABLES'!$W$27</f>
        <v>27.947999999999993</v>
      </c>
      <c r="X834" s="14">
        <f>200-SUM(Table3[[#This Row],[S - LIGHT]:[S - VIGOROUS]])</f>
        <v>88.208000000000013</v>
      </c>
    </row>
    <row r="835" spans="1:24" x14ac:dyDescent="0.25">
      <c r="A835" s="17" t="s">
        <v>2</v>
      </c>
      <c r="B835" s="13" t="str">
        <f t="shared" ref="B835:B898" si="13">IF(A835="Sihle Gum","Defender",IF(A835="Kenny Langa","Defender",IF(A835="Tshepang Makara","Defender",IF(A835="Tshepiso Mahlangu","Defender",IF(A835="Neo Ramashala","Defender",IF(A835="Keabetswe Nkogatse","Defender",IF(A835="Kaketso Harold Majadibodu","Defender",IF(A835="Samuel Julies","Midfielder",IF(A835="Frank Mpedi","Midfielder",IF(A835="Sapholwethu Kelepu","Midfielder",IF(A835="Manelisi Sithole","Midfielder",IF(A835="Thabiso Mokoena","Midfielder",IF(A835="Khomotso Marebane","Midfielder",IF(A835="Tebogo Mohlamonyane","Midfielder",IF(A835="Thulani Zandamela","Midfielder",IF(A835="Mdevulana Camagu","Midfielder",IF(A835="Promise Mkhuma","Midfielder",IF(A835="Essien Makwarimba","Midfielder",IF(A835="Ayanda Mvambi","Winger",IF(A835="Delano Abrahams","Winger",IF(A835="Thokozani Sekotlong","Winger",IF(A835="Maselaelo Seanego","Winger",IF(A835="Lesedi Motha","Winger",IF(A835="Malekgene Mampuru","Winger",IF(A835="Matome Rangata","Winger",IF(A835="Thabang Sibanyoni","Striker",IF(A835="Tebogo Makungo","Striker",IF(A835="Neo Dikgale","Striker",IF(A835="Kamohelo Pheeane","Striker",IF(A835="Athenkosi Tonisi","Striker",IF(A835="Jesse Francis","Striker","####")))))))))))))))))))))))))))))))</f>
        <v>Defender</v>
      </c>
      <c r="C835" s="7">
        <v>45348.647581018522</v>
      </c>
      <c r="D835" s="14">
        <v>5044</v>
      </c>
      <c r="E835" s="14">
        <v>131</v>
      </c>
      <c r="F835" s="14">
        <v>29</v>
      </c>
      <c r="G835" s="14">
        <v>31</v>
      </c>
      <c r="H835" s="14">
        <v>56.15</v>
      </c>
      <c r="I835" s="14">
        <f>'PIVOT TABLES'!$B$26</f>
        <v>60.283999999999999</v>
      </c>
      <c r="J835" s="14">
        <f>'PIVOT TABLES'!$B$27-'PIVOT TABLES'!$B$26</f>
        <v>30.142000000000003</v>
      </c>
      <c r="K835" s="14">
        <f>'PIVOT TABLES'!$B$28-'PIVOT TABLES'!$B$27</f>
        <v>30.141999999999996</v>
      </c>
      <c r="L835" s="14">
        <f>200-SUM(Table3[[#This Row],[D - LIGHT]:[D - VIGOROUS]])</f>
        <v>79.432000000000002</v>
      </c>
      <c r="M835" s="14">
        <f>'PIVOT TABLES'!$I$26</f>
        <v>65.603999999999999</v>
      </c>
      <c r="N835" s="14">
        <f>'PIVOT TABLES'!$I$27-'PIVOT TABLES'!$I$26</f>
        <v>32.802000000000007</v>
      </c>
      <c r="O835" s="14">
        <f>'PIVOT TABLES'!$I$28-'PIVOT TABLES'!$I$27</f>
        <v>32.801999999999992</v>
      </c>
      <c r="P835" s="14">
        <f>200-SUM(Table3[[#This Row],[M - LIGHT]:[M - VIGOROUS]])</f>
        <v>68.792000000000002</v>
      </c>
      <c r="Q835" s="14">
        <f>'PIVOT TABLES'!$P$26</f>
        <v>62.64</v>
      </c>
      <c r="R835" s="14">
        <f>'PIVOT TABLES'!$P$27-'PIVOT TABLES'!$P$26</f>
        <v>31.320000000000007</v>
      </c>
      <c r="S835" s="14">
        <f>'PIVOT TABLES'!$P$28-'PIVOT TABLES'!$P$27</f>
        <v>31.319999999999993</v>
      </c>
      <c r="T835" s="14">
        <f>200-SUM(Table3[[#This Row],[W - LIGHT]:[W - VIGOROUS]])</f>
        <v>74.72</v>
      </c>
      <c r="U835" s="14">
        <f>'PIVOT TABLES'!$W$26</f>
        <v>55.895999999999994</v>
      </c>
      <c r="V835" s="14">
        <f>'PIVOT TABLES'!$W$27-'PIVOT TABLES'!$W$26</f>
        <v>27.948</v>
      </c>
      <c r="W835" s="14">
        <f>'PIVOT TABLES'!$W$28-'PIVOT TABLES'!$W$27</f>
        <v>27.947999999999993</v>
      </c>
      <c r="X835" s="14">
        <f>200-SUM(Table3[[#This Row],[S - LIGHT]:[S - VIGOROUS]])</f>
        <v>88.208000000000013</v>
      </c>
    </row>
    <row r="836" spans="1:24" x14ac:dyDescent="0.25">
      <c r="A836" s="17" t="s">
        <v>94</v>
      </c>
      <c r="B836" s="13" t="str">
        <f t="shared" si="13"/>
        <v>Defender</v>
      </c>
      <c r="C836" s="7">
        <v>45348.647581018522</v>
      </c>
      <c r="D836" s="14">
        <v>5505</v>
      </c>
      <c r="E836" s="14">
        <v>23</v>
      </c>
      <c r="F836" s="14">
        <v>14</v>
      </c>
      <c r="G836" s="14">
        <v>26</v>
      </c>
      <c r="H836" s="14">
        <v>56.82</v>
      </c>
      <c r="I836" s="14">
        <f>'PIVOT TABLES'!$B$26</f>
        <v>60.283999999999999</v>
      </c>
      <c r="J836" s="14">
        <f>'PIVOT TABLES'!$B$27-'PIVOT TABLES'!$B$26</f>
        <v>30.142000000000003</v>
      </c>
      <c r="K836" s="14">
        <f>'PIVOT TABLES'!$B$28-'PIVOT TABLES'!$B$27</f>
        <v>30.141999999999996</v>
      </c>
      <c r="L836" s="14">
        <f>200-SUM(Table3[[#This Row],[D - LIGHT]:[D - VIGOROUS]])</f>
        <v>79.432000000000002</v>
      </c>
      <c r="M836" s="14">
        <f>'PIVOT TABLES'!$I$26</f>
        <v>65.603999999999999</v>
      </c>
      <c r="N836" s="14">
        <f>'PIVOT TABLES'!$I$27-'PIVOT TABLES'!$I$26</f>
        <v>32.802000000000007</v>
      </c>
      <c r="O836" s="14">
        <f>'PIVOT TABLES'!$I$28-'PIVOT TABLES'!$I$27</f>
        <v>32.801999999999992</v>
      </c>
      <c r="P836" s="14">
        <f>200-SUM(Table3[[#This Row],[M - LIGHT]:[M - VIGOROUS]])</f>
        <v>68.792000000000002</v>
      </c>
      <c r="Q836" s="14">
        <f>'PIVOT TABLES'!$P$26</f>
        <v>62.64</v>
      </c>
      <c r="R836" s="14">
        <f>'PIVOT TABLES'!$P$27-'PIVOT TABLES'!$P$26</f>
        <v>31.320000000000007</v>
      </c>
      <c r="S836" s="14">
        <f>'PIVOT TABLES'!$P$28-'PIVOT TABLES'!$P$27</f>
        <v>31.319999999999993</v>
      </c>
      <c r="T836" s="14">
        <f>200-SUM(Table3[[#This Row],[W - LIGHT]:[W - VIGOROUS]])</f>
        <v>74.72</v>
      </c>
      <c r="U836" s="14">
        <f>'PIVOT TABLES'!$W$26</f>
        <v>55.895999999999994</v>
      </c>
      <c r="V836" s="14">
        <f>'PIVOT TABLES'!$W$27-'PIVOT TABLES'!$W$26</f>
        <v>27.948</v>
      </c>
      <c r="W836" s="14">
        <f>'PIVOT TABLES'!$W$28-'PIVOT TABLES'!$W$27</f>
        <v>27.947999999999993</v>
      </c>
      <c r="X836" s="14">
        <f>200-SUM(Table3[[#This Row],[S - LIGHT]:[S - VIGOROUS]])</f>
        <v>88.208000000000013</v>
      </c>
    </row>
    <row r="837" spans="1:24" x14ac:dyDescent="0.25">
      <c r="A837" s="17" t="s">
        <v>3</v>
      </c>
      <c r="B837" s="13" t="str">
        <f t="shared" si="13"/>
        <v>Defender</v>
      </c>
      <c r="C837" s="7">
        <v>45348.647581018522</v>
      </c>
      <c r="D837" s="14">
        <v>4977</v>
      </c>
      <c r="E837" s="14">
        <v>21</v>
      </c>
      <c r="F837" s="14">
        <v>16</v>
      </c>
      <c r="G837" s="14">
        <v>42</v>
      </c>
      <c r="H837" s="14">
        <v>51.88</v>
      </c>
      <c r="I837" s="14">
        <f>'PIVOT TABLES'!$B$26</f>
        <v>60.283999999999999</v>
      </c>
      <c r="J837" s="14">
        <f>'PIVOT TABLES'!$B$27-'PIVOT TABLES'!$B$26</f>
        <v>30.142000000000003</v>
      </c>
      <c r="K837" s="14">
        <f>'PIVOT TABLES'!$B$28-'PIVOT TABLES'!$B$27</f>
        <v>30.141999999999996</v>
      </c>
      <c r="L837" s="14">
        <f>200-SUM(Table3[[#This Row],[D - LIGHT]:[D - VIGOROUS]])</f>
        <v>79.432000000000002</v>
      </c>
      <c r="M837" s="14">
        <f>'PIVOT TABLES'!$I$26</f>
        <v>65.603999999999999</v>
      </c>
      <c r="N837" s="14">
        <f>'PIVOT TABLES'!$I$27-'PIVOT TABLES'!$I$26</f>
        <v>32.802000000000007</v>
      </c>
      <c r="O837" s="14">
        <f>'PIVOT TABLES'!$I$28-'PIVOT TABLES'!$I$27</f>
        <v>32.801999999999992</v>
      </c>
      <c r="P837" s="14">
        <f>200-SUM(Table3[[#This Row],[M - LIGHT]:[M - VIGOROUS]])</f>
        <v>68.792000000000002</v>
      </c>
      <c r="Q837" s="14">
        <f>'PIVOT TABLES'!$P$26</f>
        <v>62.64</v>
      </c>
      <c r="R837" s="14">
        <f>'PIVOT TABLES'!$P$27-'PIVOT TABLES'!$P$26</f>
        <v>31.320000000000007</v>
      </c>
      <c r="S837" s="14">
        <f>'PIVOT TABLES'!$P$28-'PIVOT TABLES'!$P$27</f>
        <v>31.319999999999993</v>
      </c>
      <c r="T837" s="14">
        <f>200-SUM(Table3[[#This Row],[W - LIGHT]:[W - VIGOROUS]])</f>
        <v>74.72</v>
      </c>
      <c r="U837" s="14">
        <f>'PIVOT TABLES'!$W$26</f>
        <v>55.895999999999994</v>
      </c>
      <c r="V837" s="14">
        <f>'PIVOT TABLES'!$W$27-'PIVOT TABLES'!$W$26</f>
        <v>27.948</v>
      </c>
      <c r="W837" s="14">
        <f>'PIVOT TABLES'!$W$28-'PIVOT TABLES'!$W$27</f>
        <v>27.947999999999993</v>
      </c>
      <c r="X837" s="14">
        <f>200-SUM(Table3[[#This Row],[S - LIGHT]:[S - VIGOROUS]])</f>
        <v>88.208000000000013</v>
      </c>
    </row>
    <row r="838" spans="1:24" x14ac:dyDescent="0.25">
      <c r="A838" s="17" t="s">
        <v>59</v>
      </c>
      <c r="B838" s="13" t="str">
        <f t="shared" si="13"/>
        <v>Striker</v>
      </c>
      <c r="C838" s="7">
        <v>45348.647581018522</v>
      </c>
      <c r="D838" s="14">
        <v>5845</v>
      </c>
      <c r="E838" s="14">
        <v>73</v>
      </c>
      <c r="F838" s="14">
        <v>16</v>
      </c>
      <c r="G838" s="14">
        <v>27</v>
      </c>
      <c r="H838" s="14">
        <v>61.82</v>
      </c>
      <c r="I838" s="14">
        <f>'PIVOT TABLES'!$B$26</f>
        <v>60.283999999999999</v>
      </c>
      <c r="J838" s="14">
        <f>'PIVOT TABLES'!$B$27-'PIVOT TABLES'!$B$26</f>
        <v>30.142000000000003</v>
      </c>
      <c r="K838" s="14">
        <f>'PIVOT TABLES'!$B$28-'PIVOT TABLES'!$B$27</f>
        <v>30.141999999999996</v>
      </c>
      <c r="L838" s="14">
        <f>200-SUM(Table3[[#This Row],[D - LIGHT]:[D - VIGOROUS]])</f>
        <v>79.432000000000002</v>
      </c>
      <c r="M838" s="14">
        <f>'PIVOT TABLES'!$I$26</f>
        <v>65.603999999999999</v>
      </c>
      <c r="N838" s="14">
        <f>'PIVOT TABLES'!$I$27-'PIVOT TABLES'!$I$26</f>
        <v>32.802000000000007</v>
      </c>
      <c r="O838" s="14">
        <f>'PIVOT TABLES'!$I$28-'PIVOT TABLES'!$I$27</f>
        <v>32.801999999999992</v>
      </c>
      <c r="P838" s="14">
        <f>200-SUM(Table3[[#This Row],[M - LIGHT]:[M - VIGOROUS]])</f>
        <v>68.792000000000002</v>
      </c>
      <c r="Q838" s="14">
        <f>'PIVOT TABLES'!$P$26</f>
        <v>62.64</v>
      </c>
      <c r="R838" s="14">
        <f>'PIVOT TABLES'!$P$27-'PIVOT TABLES'!$P$26</f>
        <v>31.320000000000007</v>
      </c>
      <c r="S838" s="14">
        <f>'PIVOT TABLES'!$P$28-'PIVOT TABLES'!$P$27</f>
        <v>31.319999999999993</v>
      </c>
      <c r="T838" s="14">
        <f>200-SUM(Table3[[#This Row],[W - LIGHT]:[W - VIGOROUS]])</f>
        <v>74.72</v>
      </c>
      <c r="U838" s="14">
        <f>'PIVOT TABLES'!$W$26</f>
        <v>55.895999999999994</v>
      </c>
      <c r="V838" s="14">
        <f>'PIVOT TABLES'!$W$27-'PIVOT TABLES'!$W$26</f>
        <v>27.948</v>
      </c>
      <c r="W838" s="14">
        <f>'PIVOT TABLES'!$W$28-'PIVOT TABLES'!$W$27</f>
        <v>27.947999999999993</v>
      </c>
      <c r="X838" s="14">
        <f>200-SUM(Table3[[#This Row],[S - LIGHT]:[S - VIGOROUS]])</f>
        <v>88.208000000000013</v>
      </c>
    </row>
    <row r="839" spans="1:24" x14ac:dyDescent="0.25">
      <c r="A839" s="17" t="s">
        <v>4</v>
      </c>
      <c r="B839" s="13" t="str">
        <f t="shared" si="13"/>
        <v>Midfielder</v>
      </c>
      <c r="C839" s="7">
        <v>45348.647581018522</v>
      </c>
      <c r="D839" s="14">
        <v>5345</v>
      </c>
      <c r="E839" s="14">
        <v>25</v>
      </c>
      <c r="F839" s="14">
        <v>11</v>
      </c>
      <c r="G839" s="14">
        <v>27</v>
      </c>
      <c r="H839" s="14">
        <v>55.18</v>
      </c>
      <c r="I839" s="14">
        <f>'PIVOT TABLES'!$B$26</f>
        <v>60.283999999999999</v>
      </c>
      <c r="J839" s="14">
        <f>'PIVOT TABLES'!$B$27-'PIVOT TABLES'!$B$26</f>
        <v>30.142000000000003</v>
      </c>
      <c r="K839" s="14">
        <f>'PIVOT TABLES'!$B$28-'PIVOT TABLES'!$B$27</f>
        <v>30.141999999999996</v>
      </c>
      <c r="L839" s="14">
        <f>200-SUM(Table3[[#This Row],[D - LIGHT]:[D - VIGOROUS]])</f>
        <v>79.432000000000002</v>
      </c>
      <c r="M839" s="14">
        <f>'PIVOT TABLES'!$I$26</f>
        <v>65.603999999999999</v>
      </c>
      <c r="N839" s="14">
        <f>'PIVOT TABLES'!$I$27-'PIVOT TABLES'!$I$26</f>
        <v>32.802000000000007</v>
      </c>
      <c r="O839" s="14">
        <f>'PIVOT TABLES'!$I$28-'PIVOT TABLES'!$I$27</f>
        <v>32.801999999999992</v>
      </c>
      <c r="P839" s="14">
        <f>200-SUM(Table3[[#This Row],[M - LIGHT]:[M - VIGOROUS]])</f>
        <v>68.792000000000002</v>
      </c>
      <c r="Q839" s="14">
        <f>'PIVOT TABLES'!$P$26</f>
        <v>62.64</v>
      </c>
      <c r="R839" s="14">
        <f>'PIVOT TABLES'!$P$27-'PIVOT TABLES'!$P$26</f>
        <v>31.320000000000007</v>
      </c>
      <c r="S839" s="14">
        <f>'PIVOT TABLES'!$P$28-'PIVOT TABLES'!$P$27</f>
        <v>31.319999999999993</v>
      </c>
      <c r="T839" s="14">
        <f>200-SUM(Table3[[#This Row],[W - LIGHT]:[W - VIGOROUS]])</f>
        <v>74.72</v>
      </c>
      <c r="U839" s="14">
        <f>'PIVOT TABLES'!$W$26</f>
        <v>55.895999999999994</v>
      </c>
      <c r="V839" s="14">
        <f>'PIVOT TABLES'!$W$27-'PIVOT TABLES'!$W$26</f>
        <v>27.948</v>
      </c>
      <c r="W839" s="14">
        <f>'PIVOT TABLES'!$W$28-'PIVOT TABLES'!$W$27</f>
        <v>27.947999999999993</v>
      </c>
      <c r="X839" s="14">
        <f>200-SUM(Table3[[#This Row],[S - LIGHT]:[S - VIGOROUS]])</f>
        <v>88.208000000000013</v>
      </c>
    </row>
    <row r="840" spans="1:24" x14ac:dyDescent="0.25">
      <c r="A840" s="17" t="s">
        <v>71</v>
      </c>
      <c r="B840" s="13" t="str">
        <f t="shared" si="13"/>
        <v>Midfielder</v>
      </c>
      <c r="C840" s="7">
        <v>45348.647581018522</v>
      </c>
      <c r="D840" s="14">
        <v>5792</v>
      </c>
      <c r="E840" s="14">
        <v>7</v>
      </c>
      <c r="F840" s="14">
        <v>13</v>
      </c>
      <c r="G840" s="14">
        <v>11</v>
      </c>
      <c r="H840" s="14">
        <v>58.87</v>
      </c>
      <c r="I840" s="14">
        <f>'PIVOT TABLES'!$B$26</f>
        <v>60.283999999999999</v>
      </c>
      <c r="J840" s="14">
        <f>'PIVOT TABLES'!$B$27-'PIVOT TABLES'!$B$26</f>
        <v>30.142000000000003</v>
      </c>
      <c r="K840" s="14">
        <f>'PIVOT TABLES'!$B$28-'PIVOT TABLES'!$B$27</f>
        <v>30.141999999999996</v>
      </c>
      <c r="L840" s="14">
        <f>200-SUM(Table3[[#This Row],[D - LIGHT]:[D - VIGOROUS]])</f>
        <v>79.432000000000002</v>
      </c>
      <c r="M840" s="14">
        <f>'PIVOT TABLES'!$I$26</f>
        <v>65.603999999999999</v>
      </c>
      <c r="N840" s="14">
        <f>'PIVOT TABLES'!$I$27-'PIVOT TABLES'!$I$26</f>
        <v>32.802000000000007</v>
      </c>
      <c r="O840" s="14">
        <f>'PIVOT TABLES'!$I$28-'PIVOT TABLES'!$I$27</f>
        <v>32.801999999999992</v>
      </c>
      <c r="P840" s="14">
        <f>200-SUM(Table3[[#This Row],[M - LIGHT]:[M - VIGOROUS]])</f>
        <v>68.792000000000002</v>
      </c>
      <c r="Q840" s="14">
        <f>'PIVOT TABLES'!$P$26</f>
        <v>62.64</v>
      </c>
      <c r="R840" s="14">
        <f>'PIVOT TABLES'!$P$27-'PIVOT TABLES'!$P$26</f>
        <v>31.320000000000007</v>
      </c>
      <c r="S840" s="14">
        <f>'PIVOT TABLES'!$P$28-'PIVOT TABLES'!$P$27</f>
        <v>31.319999999999993</v>
      </c>
      <c r="T840" s="14">
        <f>200-SUM(Table3[[#This Row],[W - LIGHT]:[W - VIGOROUS]])</f>
        <v>74.72</v>
      </c>
      <c r="U840" s="14">
        <f>'PIVOT TABLES'!$W$26</f>
        <v>55.895999999999994</v>
      </c>
      <c r="V840" s="14">
        <f>'PIVOT TABLES'!$W$27-'PIVOT TABLES'!$W$26</f>
        <v>27.948</v>
      </c>
      <c r="W840" s="14">
        <f>'PIVOT TABLES'!$W$28-'PIVOT TABLES'!$W$27</f>
        <v>27.947999999999993</v>
      </c>
      <c r="X840" s="14">
        <f>200-SUM(Table3[[#This Row],[S - LIGHT]:[S - VIGOROUS]])</f>
        <v>88.208000000000013</v>
      </c>
    </row>
    <row r="841" spans="1:24" x14ac:dyDescent="0.25">
      <c r="A841" s="17" t="s">
        <v>62</v>
      </c>
      <c r="B841" s="13" t="str">
        <f t="shared" si="13"/>
        <v>Midfielder</v>
      </c>
      <c r="C841" s="7">
        <v>45348.647581018522</v>
      </c>
      <c r="D841" s="14">
        <v>4756</v>
      </c>
      <c r="E841" s="14">
        <v>51</v>
      </c>
      <c r="F841" s="14">
        <v>11</v>
      </c>
      <c r="G841" s="14">
        <v>26</v>
      </c>
      <c r="H841" s="14">
        <v>50.05</v>
      </c>
      <c r="I841" s="14">
        <f>'PIVOT TABLES'!$B$26</f>
        <v>60.283999999999999</v>
      </c>
      <c r="J841" s="14">
        <f>'PIVOT TABLES'!$B$27-'PIVOT TABLES'!$B$26</f>
        <v>30.142000000000003</v>
      </c>
      <c r="K841" s="14">
        <f>'PIVOT TABLES'!$B$28-'PIVOT TABLES'!$B$27</f>
        <v>30.141999999999996</v>
      </c>
      <c r="L841" s="14">
        <f>200-SUM(Table3[[#This Row],[D - LIGHT]:[D - VIGOROUS]])</f>
        <v>79.432000000000002</v>
      </c>
      <c r="M841" s="14">
        <f>'PIVOT TABLES'!$I$26</f>
        <v>65.603999999999999</v>
      </c>
      <c r="N841" s="14">
        <f>'PIVOT TABLES'!$I$27-'PIVOT TABLES'!$I$26</f>
        <v>32.802000000000007</v>
      </c>
      <c r="O841" s="14">
        <f>'PIVOT TABLES'!$I$28-'PIVOT TABLES'!$I$27</f>
        <v>32.801999999999992</v>
      </c>
      <c r="P841" s="14">
        <f>200-SUM(Table3[[#This Row],[M - LIGHT]:[M - VIGOROUS]])</f>
        <v>68.792000000000002</v>
      </c>
      <c r="Q841" s="14">
        <f>'PIVOT TABLES'!$P$26</f>
        <v>62.64</v>
      </c>
      <c r="R841" s="14">
        <f>'PIVOT TABLES'!$P$27-'PIVOT TABLES'!$P$26</f>
        <v>31.320000000000007</v>
      </c>
      <c r="S841" s="14">
        <f>'PIVOT TABLES'!$P$28-'PIVOT TABLES'!$P$27</f>
        <v>31.319999999999993</v>
      </c>
      <c r="T841" s="14">
        <f>200-SUM(Table3[[#This Row],[W - LIGHT]:[W - VIGOROUS]])</f>
        <v>74.72</v>
      </c>
      <c r="U841" s="14">
        <f>'PIVOT TABLES'!$W$26</f>
        <v>55.895999999999994</v>
      </c>
      <c r="V841" s="14">
        <f>'PIVOT TABLES'!$W$27-'PIVOT TABLES'!$W$26</f>
        <v>27.948</v>
      </c>
      <c r="W841" s="14">
        <f>'PIVOT TABLES'!$W$28-'PIVOT TABLES'!$W$27</f>
        <v>27.947999999999993</v>
      </c>
      <c r="X841" s="14">
        <f>200-SUM(Table3[[#This Row],[S - LIGHT]:[S - VIGOROUS]])</f>
        <v>88.208000000000013</v>
      </c>
    </row>
    <row r="842" spans="1:24" x14ac:dyDescent="0.25">
      <c r="A842" s="17" t="s">
        <v>64</v>
      </c>
      <c r="B842" s="13" t="str">
        <f t="shared" si="13"/>
        <v>Midfielder</v>
      </c>
      <c r="C842" s="7">
        <v>45348.647581018522</v>
      </c>
      <c r="D842" s="14">
        <v>5693</v>
      </c>
      <c r="E842" s="14">
        <v>0</v>
      </c>
      <c r="F842" s="14">
        <v>15</v>
      </c>
      <c r="G842" s="14">
        <v>32</v>
      </c>
      <c r="H842" s="14">
        <v>58.17</v>
      </c>
      <c r="I842" s="14">
        <f>'PIVOT TABLES'!$B$26</f>
        <v>60.283999999999999</v>
      </c>
      <c r="J842" s="14">
        <f>'PIVOT TABLES'!$B$27-'PIVOT TABLES'!$B$26</f>
        <v>30.142000000000003</v>
      </c>
      <c r="K842" s="14">
        <f>'PIVOT TABLES'!$B$28-'PIVOT TABLES'!$B$27</f>
        <v>30.141999999999996</v>
      </c>
      <c r="L842" s="14">
        <f>200-SUM(Table3[[#This Row],[D - LIGHT]:[D - VIGOROUS]])</f>
        <v>79.432000000000002</v>
      </c>
      <c r="M842" s="14">
        <f>'PIVOT TABLES'!$I$26</f>
        <v>65.603999999999999</v>
      </c>
      <c r="N842" s="14">
        <f>'PIVOT TABLES'!$I$27-'PIVOT TABLES'!$I$26</f>
        <v>32.802000000000007</v>
      </c>
      <c r="O842" s="14">
        <f>'PIVOT TABLES'!$I$28-'PIVOT TABLES'!$I$27</f>
        <v>32.801999999999992</v>
      </c>
      <c r="P842" s="14">
        <f>200-SUM(Table3[[#This Row],[M - LIGHT]:[M - VIGOROUS]])</f>
        <v>68.792000000000002</v>
      </c>
      <c r="Q842" s="14">
        <f>'PIVOT TABLES'!$P$26</f>
        <v>62.64</v>
      </c>
      <c r="R842" s="14">
        <f>'PIVOT TABLES'!$P$27-'PIVOT TABLES'!$P$26</f>
        <v>31.320000000000007</v>
      </c>
      <c r="S842" s="14">
        <f>'PIVOT TABLES'!$P$28-'PIVOT TABLES'!$P$27</f>
        <v>31.319999999999993</v>
      </c>
      <c r="T842" s="14">
        <f>200-SUM(Table3[[#This Row],[W - LIGHT]:[W - VIGOROUS]])</f>
        <v>74.72</v>
      </c>
      <c r="U842" s="14">
        <f>'PIVOT TABLES'!$W$26</f>
        <v>55.895999999999994</v>
      </c>
      <c r="V842" s="14">
        <f>'PIVOT TABLES'!$W$27-'PIVOT TABLES'!$W$26</f>
        <v>27.948</v>
      </c>
      <c r="W842" s="14">
        <f>'PIVOT TABLES'!$W$28-'PIVOT TABLES'!$W$27</f>
        <v>27.947999999999993</v>
      </c>
      <c r="X842" s="14">
        <f>200-SUM(Table3[[#This Row],[S - LIGHT]:[S - VIGOROUS]])</f>
        <v>88.208000000000013</v>
      </c>
    </row>
    <row r="843" spans="1:24" x14ac:dyDescent="0.25">
      <c r="A843" s="17" t="s">
        <v>65</v>
      </c>
      <c r="B843" s="13" t="str">
        <f t="shared" si="13"/>
        <v>Winger</v>
      </c>
      <c r="C843" s="7">
        <v>45348.647581018522</v>
      </c>
      <c r="D843" s="14">
        <v>5675</v>
      </c>
      <c r="E843" s="14">
        <v>134</v>
      </c>
      <c r="F843" s="14">
        <v>9</v>
      </c>
      <c r="G843" s="14">
        <v>26</v>
      </c>
      <c r="H843" s="14">
        <v>61.65</v>
      </c>
      <c r="I843" s="14">
        <f>'PIVOT TABLES'!$B$26</f>
        <v>60.283999999999999</v>
      </c>
      <c r="J843" s="14">
        <f>'PIVOT TABLES'!$B$27-'PIVOT TABLES'!$B$26</f>
        <v>30.142000000000003</v>
      </c>
      <c r="K843" s="14">
        <f>'PIVOT TABLES'!$B$28-'PIVOT TABLES'!$B$27</f>
        <v>30.141999999999996</v>
      </c>
      <c r="L843" s="14">
        <f>200-SUM(Table3[[#This Row],[D - LIGHT]:[D - VIGOROUS]])</f>
        <v>79.432000000000002</v>
      </c>
      <c r="M843" s="14">
        <f>'PIVOT TABLES'!$I$26</f>
        <v>65.603999999999999</v>
      </c>
      <c r="N843" s="14">
        <f>'PIVOT TABLES'!$I$27-'PIVOT TABLES'!$I$26</f>
        <v>32.802000000000007</v>
      </c>
      <c r="O843" s="14">
        <f>'PIVOT TABLES'!$I$28-'PIVOT TABLES'!$I$27</f>
        <v>32.801999999999992</v>
      </c>
      <c r="P843" s="14">
        <f>200-SUM(Table3[[#This Row],[M - LIGHT]:[M - VIGOROUS]])</f>
        <v>68.792000000000002</v>
      </c>
      <c r="Q843" s="14">
        <f>'PIVOT TABLES'!$P$26</f>
        <v>62.64</v>
      </c>
      <c r="R843" s="14">
        <f>'PIVOT TABLES'!$P$27-'PIVOT TABLES'!$P$26</f>
        <v>31.320000000000007</v>
      </c>
      <c r="S843" s="14">
        <f>'PIVOT TABLES'!$P$28-'PIVOT TABLES'!$P$27</f>
        <v>31.319999999999993</v>
      </c>
      <c r="T843" s="14">
        <f>200-SUM(Table3[[#This Row],[W - LIGHT]:[W - VIGOROUS]])</f>
        <v>74.72</v>
      </c>
      <c r="U843" s="14">
        <f>'PIVOT TABLES'!$W$26</f>
        <v>55.895999999999994</v>
      </c>
      <c r="V843" s="14">
        <f>'PIVOT TABLES'!$W$27-'PIVOT TABLES'!$W$26</f>
        <v>27.948</v>
      </c>
      <c r="W843" s="14">
        <f>'PIVOT TABLES'!$W$28-'PIVOT TABLES'!$W$27</f>
        <v>27.947999999999993</v>
      </c>
      <c r="X843" s="14">
        <f>200-SUM(Table3[[#This Row],[S - LIGHT]:[S - VIGOROUS]])</f>
        <v>88.208000000000013</v>
      </c>
    </row>
    <row r="844" spans="1:24" x14ac:dyDescent="0.25">
      <c r="A844" s="17" t="s">
        <v>66</v>
      </c>
      <c r="B844" s="13" t="str">
        <f t="shared" si="13"/>
        <v>Striker</v>
      </c>
      <c r="C844" s="7">
        <v>45348.647581018522</v>
      </c>
      <c r="D844" s="14">
        <v>5961</v>
      </c>
      <c r="E844" s="14">
        <v>72</v>
      </c>
      <c r="F844" s="14">
        <v>20</v>
      </c>
      <c r="G844" s="14">
        <v>30</v>
      </c>
      <c r="H844" s="14">
        <v>63.17</v>
      </c>
      <c r="I844" s="14">
        <f>'PIVOT TABLES'!$B$26</f>
        <v>60.283999999999999</v>
      </c>
      <c r="J844" s="14">
        <f>'PIVOT TABLES'!$B$27-'PIVOT TABLES'!$B$26</f>
        <v>30.142000000000003</v>
      </c>
      <c r="K844" s="14">
        <f>'PIVOT TABLES'!$B$28-'PIVOT TABLES'!$B$27</f>
        <v>30.141999999999996</v>
      </c>
      <c r="L844" s="14">
        <f>200-SUM(Table3[[#This Row],[D - LIGHT]:[D - VIGOROUS]])</f>
        <v>79.432000000000002</v>
      </c>
      <c r="M844" s="14">
        <f>'PIVOT TABLES'!$I$26</f>
        <v>65.603999999999999</v>
      </c>
      <c r="N844" s="14">
        <f>'PIVOT TABLES'!$I$27-'PIVOT TABLES'!$I$26</f>
        <v>32.802000000000007</v>
      </c>
      <c r="O844" s="14">
        <f>'PIVOT TABLES'!$I$28-'PIVOT TABLES'!$I$27</f>
        <v>32.801999999999992</v>
      </c>
      <c r="P844" s="14">
        <f>200-SUM(Table3[[#This Row],[M - LIGHT]:[M - VIGOROUS]])</f>
        <v>68.792000000000002</v>
      </c>
      <c r="Q844" s="14">
        <f>'PIVOT TABLES'!$P$26</f>
        <v>62.64</v>
      </c>
      <c r="R844" s="14">
        <f>'PIVOT TABLES'!$P$27-'PIVOT TABLES'!$P$26</f>
        <v>31.320000000000007</v>
      </c>
      <c r="S844" s="14">
        <f>'PIVOT TABLES'!$P$28-'PIVOT TABLES'!$P$27</f>
        <v>31.319999999999993</v>
      </c>
      <c r="T844" s="14">
        <f>200-SUM(Table3[[#This Row],[W - LIGHT]:[W - VIGOROUS]])</f>
        <v>74.72</v>
      </c>
      <c r="U844" s="14">
        <f>'PIVOT TABLES'!$W$26</f>
        <v>55.895999999999994</v>
      </c>
      <c r="V844" s="14">
        <f>'PIVOT TABLES'!$W$27-'PIVOT TABLES'!$W$26</f>
        <v>27.948</v>
      </c>
      <c r="W844" s="14">
        <f>'PIVOT TABLES'!$W$28-'PIVOT TABLES'!$W$27</f>
        <v>27.947999999999993</v>
      </c>
      <c r="X844" s="14">
        <f>200-SUM(Table3[[#This Row],[S - LIGHT]:[S - VIGOROUS]])</f>
        <v>88.208000000000013</v>
      </c>
    </row>
    <row r="845" spans="1:24" x14ac:dyDescent="0.25">
      <c r="A845" s="17" t="s">
        <v>95</v>
      </c>
      <c r="B845" s="13" t="str">
        <f t="shared" si="13"/>
        <v>Winger</v>
      </c>
      <c r="C845" s="7">
        <v>45348.647581018522</v>
      </c>
      <c r="D845" s="14">
        <v>5605</v>
      </c>
      <c r="E845" s="14">
        <v>35</v>
      </c>
      <c r="F845" s="14">
        <v>9</v>
      </c>
      <c r="G845" s="14">
        <v>15</v>
      </c>
      <c r="H845" s="14">
        <v>57.76</v>
      </c>
      <c r="I845" s="14">
        <f>'PIVOT TABLES'!$B$26</f>
        <v>60.283999999999999</v>
      </c>
      <c r="J845" s="14">
        <f>'PIVOT TABLES'!$B$27-'PIVOT TABLES'!$B$26</f>
        <v>30.142000000000003</v>
      </c>
      <c r="K845" s="14">
        <f>'PIVOT TABLES'!$B$28-'PIVOT TABLES'!$B$27</f>
        <v>30.141999999999996</v>
      </c>
      <c r="L845" s="14">
        <f>200-SUM(Table3[[#This Row],[D - LIGHT]:[D - VIGOROUS]])</f>
        <v>79.432000000000002</v>
      </c>
      <c r="M845" s="14">
        <f>'PIVOT TABLES'!$I$26</f>
        <v>65.603999999999999</v>
      </c>
      <c r="N845" s="14">
        <f>'PIVOT TABLES'!$I$27-'PIVOT TABLES'!$I$26</f>
        <v>32.802000000000007</v>
      </c>
      <c r="O845" s="14">
        <f>'PIVOT TABLES'!$I$28-'PIVOT TABLES'!$I$27</f>
        <v>32.801999999999992</v>
      </c>
      <c r="P845" s="14">
        <f>200-SUM(Table3[[#This Row],[M - LIGHT]:[M - VIGOROUS]])</f>
        <v>68.792000000000002</v>
      </c>
      <c r="Q845" s="14">
        <f>'PIVOT TABLES'!$P$26</f>
        <v>62.64</v>
      </c>
      <c r="R845" s="14">
        <f>'PIVOT TABLES'!$P$27-'PIVOT TABLES'!$P$26</f>
        <v>31.320000000000007</v>
      </c>
      <c r="S845" s="14">
        <f>'PIVOT TABLES'!$P$28-'PIVOT TABLES'!$P$27</f>
        <v>31.319999999999993</v>
      </c>
      <c r="T845" s="14">
        <f>200-SUM(Table3[[#This Row],[W - LIGHT]:[W - VIGOROUS]])</f>
        <v>74.72</v>
      </c>
      <c r="U845" s="14">
        <f>'PIVOT TABLES'!$W$26</f>
        <v>55.895999999999994</v>
      </c>
      <c r="V845" s="14">
        <f>'PIVOT TABLES'!$W$27-'PIVOT TABLES'!$W$26</f>
        <v>27.948</v>
      </c>
      <c r="W845" s="14">
        <f>'PIVOT TABLES'!$W$28-'PIVOT TABLES'!$W$27</f>
        <v>27.947999999999993</v>
      </c>
      <c r="X845" s="14">
        <f>200-SUM(Table3[[#This Row],[S - LIGHT]:[S - VIGOROUS]])</f>
        <v>88.208000000000013</v>
      </c>
    </row>
    <row r="846" spans="1:24" x14ac:dyDescent="0.25">
      <c r="A846" s="17" t="s">
        <v>96</v>
      </c>
      <c r="B846" s="13" t="str">
        <f t="shared" si="13"/>
        <v>Winger</v>
      </c>
      <c r="C846" s="7">
        <v>45348.647581018522</v>
      </c>
      <c r="D846" s="14">
        <v>5326</v>
      </c>
      <c r="E846" s="14">
        <v>157</v>
      </c>
      <c r="F846" s="14">
        <v>39</v>
      </c>
      <c r="G846" s="14">
        <v>28</v>
      </c>
      <c r="H846" s="14">
        <v>60.09</v>
      </c>
      <c r="I846" s="14">
        <f>'PIVOT TABLES'!$B$26</f>
        <v>60.283999999999999</v>
      </c>
      <c r="J846" s="14">
        <f>'PIVOT TABLES'!$B$27-'PIVOT TABLES'!$B$26</f>
        <v>30.142000000000003</v>
      </c>
      <c r="K846" s="14">
        <f>'PIVOT TABLES'!$B$28-'PIVOT TABLES'!$B$27</f>
        <v>30.141999999999996</v>
      </c>
      <c r="L846" s="14">
        <f>200-SUM(Table3[[#This Row],[D - LIGHT]:[D - VIGOROUS]])</f>
        <v>79.432000000000002</v>
      </c>
      <c r="M846" s="14">
        <f>'PIVOT TABLES'!$I$26</f>
        <v>65.603999999999999</v>
      </c>
      <c r="N846" s="14">
        <f>'PIVOT TABLES'!$I$27-'PIVOT TABLES'!$I$26</f>
        <v>32.802000000000007</v>
      </c>
      <c r="O846" s="14">
        <f>'PIVOT TABLES'!$I$28-'PIVOT TABLES'!$I$27</f>
        <v>32.801999999999992</v>
      </c>
      <c r="P846" s="14">
        <f>200-SUM(Table3[[#This Row],[M - LIGHT]:[M - VIGOROUS]])</f>
        <v>68.792000000000002</v>
      </c>
      <c r="Q846" s="14">
        <f>'PIVOT TABLES'!$P$26</f>
        <v>62.64</v>
      </c>
      <c r="R846" s="14">
        <f>'PIVOT TABLES'!$P$27-'PIVOT TABLES'!$P$26</f>
        <v>31.320000000000007</v>
      </c>
      <c r="S846" s="14">
        <f>'PIVOT TABLES'!$P$28-'PIVOT TABLES'!$P$27</f>
        <v>31.319999999999993</v>
      </c>
      <c r="T846" s="14">
        <f>200-SUM(Table3[[#This Row],[W - LIGHT]:[W - VIGOROUS]])</f>
        <v>74.72</v>
      </c>
      <c r="U846" s="14">
        <f>'PIVOT TABLES'!$W$26</f>
        <v>55.895999999999994</v>
      </c>
      <c r="V846" s="14">
        <f>'PIVOT TABLES'!$W$27-'PIVOT TABLES'!$W$26</f>
        <v>27.948</v>
      </c>
      <c r="W846" s="14">
        <f>'PIVOT TABLES'!$W$28-'PIVOT TABLES'!$W$27</f>
        <v>27.947999999999993</v>
      </c>
      <c r="X846" s="14">
        <f>200-SUM(Table3[[#This Row],[S - LIGHT]:[S - VIGOROUS]])</f>
        <v>88.208000000000013</v>
      </c>
    </row>
    <row r="847" spans="1:24" x14ac:dyDescent="0.25">
      <c r="A847" s="17" t="s">
        <v>8</v>
      </c>
      <c r="B847" s="13" t="str">
        <f t="shared" si="13"/>
        <v>Striker</v>
      </c>
      <c r="C847" s="7">
        <v>45348.647581018522</v>
      </c>
      <c r="D847" s="14">
        <v>3235</v>
      </c>
      <c r="E847" s="14">
        <v>31</v>
      </c>
      <c r="F847" s="14">
        <v>10</v>
      </c>
      <c r="G847" s="14">
        <v>19</v>
      </c>
      <c r="H847" s="14">
        <v>34.06</v>
      </c>
      <c r="I847" s="14">
        <f>'PIVOT TABLES'!$B$26</f>
        <v>60.283999999999999</v>
      </c>
      <c r="J847" s="14">
        <f>'PIVOT TABLES'!$B$27-'PIVOT TABLES'!$B$26</f>
        <v>30.142000000000003</v>
      </c>
      <c r="K847" s="14">
        <f>'PIVOT TABLES'!$B$28-'PIVOT TABLES'!$B$27</f>
        <v>30.141999999999996</v>
      </c>
      <c r="L847" s="14">
        <f>200-SUM(Table3[[#This Row],[D - LIGHT]:[D - VIGOROUS]])</f>
        <v>79.432000000000002</v>
      </c>
      <c r="M847" s="14">
        <f>'PIVOT TABLES'!$I$26</f>
        <v>65.603999999999999</v>
      </c>
      <c r="N847" s="14">
        <f>'PIVOT TABLES'!$I$27-'PIVOT TABLES'!$I$26</f>
        <v>32.802000000000007</v>
      </c>
      <c r="O847" s="14">
        <f>'PIVOT TABLES'!$I$28-'PIVOT TABLES'!$I$27</f>
        <v>32.801999999999992</v>
      </c>
      <c r="P847" s="14">
        <f>200-SUM(Table3[[#This Row],[M - LIGHT]:[M - VIGOROUS]])</f>
        <v>68.792000000000002</v>
      </c>
      <c r="Q847" s="14">
        <f>'PIVOT TABLES'!$P$26</f>
        <v>62.64</v>
      </c>
      <c r="R847" s="14">
        <f>'PIVOT TABLES'!$P$27-'PIVOT TABLES'!$P$26</f>
        <v>31.320000000000007</v>
      </c>
      <c r="S847" s="14">
        <f>'PIVOT TABLES'!$P$28-'PIVOT TABLES'!$P$27</f>
        <v>31.319999999999993</v>
      </c>
      <c r="T847" s="14">
        <f>200-SUM(Table3[[#This Row],[W - LIGHT]:[W - VIGOROUS]])</f>
        <v>74.72</v>
      </c>
      <c r="U847" s="14">
        <f>'PIVOT TABLES'!$W$26</f>
        <v>55.895999999999994</v>
      </c>
      <c r="V847" s="14">
        <f>'PIVOT TABLES'!$W$27-'PIVOT TABLES'!$W$26</f>
        <v>27.948</v>
      </c>
      <c r="W847" s="14">
        <f>'PIVOT TABLES'!$W$28-'PIVOT TABLES'!$W$27</f>
        <v>27.947999999999993</v>
      </c>
      <c r="X847" s="14">
        <f>200-SUM(Table3[[#This Row],[S - LIGHT]:[S - VIGOROUS]])</f>
        <v>88.208000000000013</v>
      </c>
    </row>
    <row r="848" spans="1:24" x14ac:dyDescent="0.25">
      <c r="A848" s="17" t="s">
        <v>67</v>
      </c>
      <c r="B848" s="13" t="str">
        <f t="shared" si="13"/>
        <v>Midfielder</v>
      </c>
      <c r="C848" s="7">
        <v>45348.647581018522</v>
      </c>
      <c r="D848" s="14">
        <v>5308</v>
      </c>
      <c r="E848" s="14">
        <v>55</v>
      </c>
      <c r="F848" s="14">
        <v>21</v>
      </c>
      <c r="G848" s="14">
        <v>36</v>
      </c>
      <c r="H848" s="14">
        <v>56.29</v>
      </c>
      <c r="I848" s="14">
        <f>'PIVOT TABLES'!$B$26</f>
        <v>60.283999999999999</v>
      </c>
      <c r="J848" s="14">
        <f>'PIVOT TABLES'!$B$27-'PIVOT TABLES'!$B$26</f>
        <v>30.142000000000003</v>
      </c>
      <c r="K848" s="14">
        <f>'PIVOT TABLES'!$B$28-'PIVOT TABLES'!$B$27</f>
        <v>30.141999999999996</v>
      </c>
      <c r="L848" s="14">
        <f>200-SUM(Table3[[#This Row],[D - LIGHT]:[D - VIGOROUS]])</f>
        <v>79.432000000000002</v>
      </c>
      <c r="M848" s="14">
        <f>'PIVOT TABLES'!$I$26</f>
        <v>65.603999999999999</v>
      </c>
      <c r="N848" s="14">
        <f>'PIVOT TABLES'!$I$27-'PIVOT TABLES'!$I$26</f>
        <v>32.802000000000007</v>
      </c>
      <c r="O848" s="14">
        <f>'PIVOT TABLES'!$I$28-'PIVOT TABLES'!$I$27</f>
        <v>32.801999999999992</v>
      </c>
      <c r="P848" s="14">
        <f>200-SUM(Table3[[#This Row],[M - LIGHT]:[M - VIGOROUS]])</f>
        <v>68.792000000000002</v>
      </c>
      <c r="Q848" s="14">
        <f>'PIVOT TABLES'!$P$26</f>
        <v>62.64</v>
      </c>
      <c r="R848" s="14">
        <f>'PIVOT TABLES'!$P$27-'PIVOT TABLES'!$P$26</f>
        <v>31.320000000000007</v>
      </c>
      <c r="S848" s="14">
        <f>'PIVOT TABLES'!$P$28-'PIVOT TABLES'!$P$27</f>
        <v>31.319999999999993</v>
      </c>
      <c r="T848" s="14">
        <f>200-SUM(Table3[[#This Row],[W - LIGHT]:[W - VIGOROUS]])</f>
        <v>74.72</v>
      </c>
      <c r="U848" s="14">
        <f>'PIVOT TABLES'!$W$26</f>
        <v>55.895999999999994</v>
      </c>
      <c r="V848" s="14">
        <f>'PIVOT TABLES'!$W$27-'PIVOT TABLES'!$W$26</f>
        <v>27.948</v>
      </c>
      <c r="W848" s="14">
        <f>'PIVOT TABLES'!$W$28-'PIVOT TABLES'!$W$27</f>
        <v>27.947999999999993</v>
      </c>
      <c r="X848" s="14">
        <f>200-SUM(Table3[[#This Row],[S - LIGHT]:[S - VIGOROUS]])</f>
        <v>88.208000000000013</v>
      </c>
    </row>
    <row r="849" spans="1:24" x14ac:dyDescent="0.25">
      <c r="A849" s="17" t="s">
        <v>9</v>
      </c>
      <c r="B849" s="13" t="str">
        <f t="shared" si="13"/>
        <v>Striker</v>
      </c>
      <c r="C849" s="7">
        <v>45348.647581018522</v>
      </c>
      <c r="D849" s="14">
        <v>7105</v>
      </c>
      <c r="E849" s="14">
        <v>22</v>
      </c>
      <c r="F849" s="14">
        <v>14</v>
      </c>
      <c r="G849" s="14">
        <v>21</v>
      </c>
      <c r="H849" s="14">
        <v>72.69</v>
      </c>
      <c r="I849" s="14">
        <f>'PIVOT TABLES'!$B$26</f>
        <v>60.283999999999999</v>
      </c>
      <c r="J849" s="14">
        <f>'PIVOT TABLES'!$B$27-'PIVOT TABLES'!$B$26</f>
        <v>30.142000000000003</v>
      </c>
      <c r="K849" s="14">
        <f>'PIVOT TABLES'!$B$28-'PIVOT TABLES'!$B$27</f>
        <v>30.141999999999996</v>
      </c>
      <c r="L849" s="14">
        <f>200-SUM(Table3[[#This Row],[D - LIGHT]:[D - VIGOROUS]])</f>
        <v>79.432000000000002</v>
      </c>
      <c r="M849" s="14">
        <f>'PIVOT TABLES'!$I$26</f>
        <v>65.603999999999999</v>
      </c>
      <c r="N849" s="14">
        <f>'PIVOT TABLES'!$I$27-'PIVOT TABLES'!$I$26</f>
        <v>32.802000000000007</v>
      </c>
      <c r="O849" s="14">
        <f>'PIVOT TABLES'!$I$28-'PIVOT TABLES'!$I$27</f>
        <v>32.801999999999992</v>
      </c>
      <c r="P849" s="14">
        <f>200-SUM(Table3[[#This Row],[M - LIGHT]:[M - VIGOROUS]])</f>
        <v>68.792000000000002</v>
      </c>
      <c r="Q849" s="14">
        <f>'PIVOT TABLES'!$P$26</f>
        <v>62.64</v>
      </c>
      <c r="R849" s="14">
        <f>'PIVOT TABLES'!$P$27-'PIVOT TABLES'!$P$26</f>
        <v>31.320000000000007</v>
      </c>
      <c r="S849" s="14">
        <f>'PIVOT TABLES'!$P$28-'PIVOT TABLES'!$P$27</f>
        <v>31.319999999999993</v>
      </c>
      <c r="T849" s="14">
        <f>200-SUM(Table3[[#This Row],[W - LIGHT]:[W - VIGOROUS]])</f>
        <v>74.72</v>
      </c>
      <c r="U849" s="14">
        <f>'PIVOT TABLES'!$W$26</f>
        <v>55.895999999999994</v>
      </c>
      <c r="V849" s="14">
        <f>'PIVOT TABLES'!$W$27-'PIVOT TABLES'!$W$26</f>
        <v>27.948</v>
      </c>
      <c r="W849" s="14">
        <f>'PIVOT TABLES'!$W$28-'PIVOT TABLES'!$W$27</f>
        <v>27.947999999999993</v>
      </c>
      <c r="X849" s="14">
        <f>200-SUM(Table3[[#This Row],[S - LIGHT]:[S - VIGOROUS]])</f>
        <v>88.208000000000013</v>
      </c>
    </row>
    <row r="850" spans="1:24" x14ac:dyDescent="0.25">
      <c r="A850" s="17" t="s">
        <v>69</v>
      </c>
      <c r="B850" s="13" t="str">
        <f t="shared" si="13"/>
        <v>Midfielder</v>
      </c>
      <c r="C850" s="7">
        <v>45348.647581018522</v>
      </c>
      <c r="D850" s="14">
        <v>5902</v>
      </c>
      <c r="E850" s="14">
        <v>142</v>
      </c>
      <c r="F850" s="14">
        <v>15</v>
      </c>
      <c r="G850" s="14">
        <v>21</v>
      </c>
      <c r="H850" s="14">
        <v>64.3</v>
      </c>
      <c r="I850" s="14">
        <f>'PIVOT TABLES'!$B$26</f>
        <v>60.283999999999999</v>
      </c>
      <c r="J850" s="14">
        <f>'PIVOT TABLES'!$B$27-'PIVOT TABLES'!$B$26</f>
        <v>30.142000000000003</v>
      </c>
      <c r="K850" s="14">
        <f>'PIVOT TABLES'!$B$28-'PIVOT TABLES'!$B$27</f>
        <v>30.141999999999996</v>
      </c>
      <c r="L850" s="14">
        <f>200-SUM(Table3[[#This Row],[D - LIGHT]:[D - VIGOROUS]])</f>
        <v>79.432000000000002</v>
      </c>
      <c r="M850" s="14">
        <f>'PIVOT TABLES'!$I$26</f>
        <v>65.603999999999999</v>
      </c>
      <c r="N850" s="14">
        <f>'PIVOT TABLES'!$I$27-'PIVOT TABLES'!$I$26</f>
        <v>32.802000000000007</v>
      </c>
      <c r="O850" s="14">
        <f>'PIVOT TABLES'!$I$28-'PIVOT TABLES'!$I$27</f>
        <v>32.801999999999992</v>
      </c>
      <c r="P850" s="14">
        <f>200-SUM(Table3[[#This Row],[M - LIGHT]:[M - VIGOROUS]])</f>
        <v>68.792000000000002</v>
      </c>
      <c r="Q850" s="14">
        <f>'PIVOT TABLES'!$P$26</f>
        <v>62.64</v>
      </c>
      <c r="R850" s="14">
        <f>'PIVOT TABLES'!$P$27-'PIVOT TABLES'!$P$26</f>
        <v>31.320000000000007</v>
      </c>
      <c r="S850" s="14">
        <f>'PIVOT TABLES'!$P$28-'PIVOT TABLES'!$P$27</f>
        <v>31.319999999999993</v>
      </c>
      <c r="T850" s="14">
        <f>200-SUM(Table3[[#This Row],[W - LIGHT]:[W - VIGOROUS]])</f>
        <v>74.72</v>
      </c>
      <c r="U850" s="14">
        <f>'PIVOT TABLES'!$W$26</f>
        <v>55.895999999999994</v>
      </c>
      <c r="V850" s="14">
        <f>'PIVOT TABLES'!$W$27-'PIVOT TABLES'!$W$26</f>
        <v>27.948</v>
      </c>
      <c r="W850" s="14">
        <f>'PIVOT TABLES'!$W$28-'PIVOT TABLES'!$W$27</f>
        <v>27.947999999999993</v>
      </c>
      <c r="X850" s="14">
        <f>200-SUM(Table3[[#This Row],[S - LIGHT]:[S - VIGOROUS]])</f>
        <v>88.208000000000013</v>
      </c>
    </row>
    <row r="851" spans="1:24" x14ac:dyDescent="0.25">
      <c r="A851" s="17" t="s">
        <v>70</v>
      </c>
      <c r="B851" s="13" t="str">
        <f t="shared" si="13"/>
        <v>Winger</v>
      </c>
      <c r="C851" s="7">
        <v>45349.430358796293</v>
      </c>
      <c r="D851" s="14">
        <v>7363</v>
      </c>
      <c r="E851" s="14">
        <v>13</v>
      </c>
      <c r="F851" s="14">
        <v>19</v>
      </c>
      <c r="G851" s="14">
        <v>38</v>
      </c>
      <c r="H851" s="14">
        <v>75.540000000000006</v>
      </c>
      <c r="I851" s="14">
        <f>'PIVOT TABLES'!$B$26</f>
        <v>60.283999999999999</v>
      </c>
      <c r="J851" s="14">
        <f>'PIVOT TABLES'!$B$27-'PIVOT TABLES'!$B$26</f>
        <v>30.142000000000003</v>
      </c>
      <c r="K851" s="14">
        <f>'PIVOT TABLES'!$B$28-'PIVOT TABLES'!$B$27</f>
        <v>30.141999999999996</v>
      </c>
      <c r="L851" s="14">
        <f>200-SUM(Table3[[#This Row],[D - LIGHT]:[D - VIGOROUS]])</f>
        <v>79.432000000000002</v>
      </c>
      <c r="M851" s="14">
        <f>'PIVOT TABLES'!$I$26</f>
        <v>65.603999999999999</v>
      </c>
      <c r="N851" s="14">
        <f>'PIVOT TABLES'!$I$27-'PIVOT TABLES'!$I$26</f>
        <v>32.802000000000007</v>
      </c>
      <c r="O851" s="14">
        <f>'PIVOT TABLES'!$I$28-'PIVOT TABLES'!$I$27</f>
        <v>32.801999999999992</v>
      </c>
      <c r="P851" s="14">
        <f>200-SUM(Table3[[#This Row],[M - LIGHT]:[M - VIGOROUS]])</f>
        <v>68.792000000000002</v>
      </c>
      <c r="Q851" s="14">
        <f>'PIVOT TABLES'!$P$26</f>
        <v>62.64</v>
      </c>
      <c r="R851" s="14">
        <f>'PIVOT TABLES'!$P$27-'PIVOT TABLES'!$P$26</f>
        <v>31.320000000000007</v>
      </c>
      <c r="S851" s="14">
        <f>'PIVOT TABLES'!$P$28-'PIVOT TABLES'!$P$27</f>
        <v>31.319999999999993</v>
      </c>
      <c r="T851" s="14">
        <f>200-SUM(Table3[[#This Row],[W - LIGHT]:[W - VIGOROUS]])</f>
        <v>74.72</v>
      </c>
      <c r="U851" s="14">
        <f>'PIVOT TABLES'!$W$26</f>
        <v>55.895999999999994</v>
      </c>
      <c r="V851" s="14">
        <f>'PIVOT TABLES'!$W$27-'PIVOT TABLES'!$W$26</f>
        <v>27.948</v>
      </c>
      <c r="W851" s="14">
        <f>'PIVOT TABLES'!$W$28-'PIVOT TABLES'!$W$27</f>
        <v>27.947999999999993</v>
      </c>
      <c r="X851" s="14">
        <f>200-SUM(Table3[[#This Row],[S - LIGHT]:[S - VIGOROUS]])</f>
        <v>88.208000000000013</v>
      </c>
    </row>
    <row r="852" spans="1:24" x14ac:dyDescent="0.25">
      <c r="A852" s="17" t="s">
        <v>54</v>
      </c>
      <c r="B852" s="13" t="str">
        <f t="shared" si="13"/>
        <v>Striker</v>
      </c>
      <c r="C852" s="7">
        <v>45349.430358796293</v>
      </c>
      <c r="D852" s="14">
        <v>9178</v>
      </c>
      <c r="E852" s="14">
        <v>12</v>
      </c>
      <c r="F852" s="14">
        <v>27</v>
      </c>
      <c r="G852" s="14">
        <v>46</v>
      </c>
      <c r="H852" s="14">
        <v>94.14</v>
      </c>
      <c r="I852" s="14">
        <f>'PIVOT TABLES'!$B$26</f>
        <v>60.283999999999999</v>
      </c>
      <c r="J852" s="14">
        <f>'PIVOT TABLES'!$B$27-'PIVOT TABLES'!$B$26</f>
        <v>30.142000000000003</v>
      </c>
      <c r="K852" s="14">
        <f>'PIVOT TABLES'!$B$28-'PIVOT TABLES'!$B$27</f>
        <v>30.141999999999996</v>
      </c>
      <c r="L852" s="14">
        <f>200-SUM(Table3[[#This Row],[D - LIGHT]:[D - VIGOROUS]])</f>
        <v>79.432000000000002</v>
      </c>
      <c r="M852" s="14">
        <f>'PIVOT TABLES'!$I$26</f>
        <v>65.603999999999999</v>
      </c>
      <c r="N852" s="14">
        <f>'PIVOT TABLES'!$I$27-'PIVOT TABLES'!$I$26</f>
        <v>32.802000000000007</v>
      </c>
      <c r="O852" s="14">
        <f>'PIVOT TABLES'!$I$28-'PIVOT TABLES'!$I$27</f>
        <v>32.801999999999992</v>
      </c>
      <c r="P852" s="14">
        <f>200-SUM(Table3[[#This Row],[M - LIGHT]:[M - VIGOROUS]])</f>
        <v>68.792000000000002</v>
      </c>
      <c r="Q852" s="14">
        <f>'PIVOT TABLES'!$P$26</f>
        <v>62.64</v>
      </c>
      <c r="R852" s="14">
        <f>'PIVOT TABLES'!$P$27-'PIVOT TABLES'!$P$26</f>
        <v>31.320000000000007</v>
      </c>
      <c r="S852" s="14">
        <f>'PIVOT TABLES'!$P$28-'PIVOT TABLES'!$P$27</f>
        <v>31.319999999999993</v>
      </c>
      <c r="T852" s="14">
        <f>200-SUM(Table3[[#This Row],[W - LIGHT]:[W - VIGOROUS]])</f>
        <v>74.72</v>
      </c>
      <c r="U852" s="14">
        <f>'PIVOT TABLES'!$W$26</f>
        <v>55.895999999999994</v>
      </c>
      <c r="V852" s="14">
        <f>'PIVOT TABLES'!$W$27-'PIVOT TABLES'!$W$26</f>
        <v>27.948</v>
      </c>
      <c r="W852" s="14">
        <f>'PIVOT TABLES'!$W$28-'PIVOT TABLES'!$W$27</f>
        <v>27.947999999999993</v>
      </c>
      <c r="X852" s="14">
        <f>200-SUM(Table3[[#This Row],[S - LIGHT]:[S - VIGOROUS]])</f>
        <v>88.208000000000013</v>
      </c>
    </row>
    <row r="853" spans="1:24" x14ac:dyDescent="0.25">
      <c r="A853" s="17" t="s">
        <v>55</v>
      </c>
      <c r="B853" s="13" t="str">
        <f t="shared" si="13"/>
        <v>Striker</v>
      </c>
      <c r="C853" s="7">
        <v>45349.430358796293</v>
      </c>
      <c r="D853" s="14">
        <v>9010</v>
      </c>
      <c r="E853" s="14">
        <v>0</v>
      </c>
      <c r="F853" s="14">
        <v>38</v>
      </c>
      <c r="G853" s="14">
        <v>28</v>
      </c>
      <c r="H853" s="14">
        <v>92.18</v>
      </c>
      <c r="I853" s="14">
        <f>'PIVOT TABLES'!$B$26</f>
        <v>60.283999999999999</v>
      </c>
      <c r="J853" s="14">
        <f>'PIVOT TABLES'!$B$27-'PIVOT TABLES'!$B$26</f>
        <v>30.142000000000003</v>
      </c>
      <c r="K853" s="14">
        <f>'PIVOT TABLES'!$B$28-'PIVOT TABLES'!$B$27</f>
        <v>30.141999999999996</v>
      </c>
      <c r="L853" s="14">
        <f>200-SUM(Table3[[#This Row],[D - LIGHT]:[D - VIGOROUS]])</f>
        <v>79.432000000000002</v>
      </c>
      <c r="M853" s="14">
        <f>'PIVOT TABLES'!$I$26</f>
        <v>65.603999999999999</v>
      </c>
      <c r="N853" s="14">
        <f>'PIVOT TABLES'!$I$27-'PIVOT TABLES'!$I$26</f>
        <v>32.802000000000007</v>
      </c>
      <c r="O853" s="14">
        <f>'PIVOT TABLES'!$I$28-'PIVOT TABLES'!$I$27</f>
        <v>32.801999999999992</v>
      </c>
      <c r="P853" s="14">
        <f>200-SUM(Table3[[#This Row],[M - LIGHT]:[M - VIGOROUS]])</f>
        <v>68.792000000000002</v>
      </c>
      <c r="Q853" s="14">
        <f>'PIVOT TABLES'!$P$26</f>
        <v>62.64</v>
      </c>
      <c r="R853" s="14">
        <f>'PIVOT TABLES'!$P$27-'PIVOT TABLES'!$P$26</f>
        <v>31.320000000000007</v>
      </c>
      <c r="S853" s="14">
        <f>'PIVOT TABLES'!$P$28-'PIVOT TABLES'!$P$27</f>
        <v>31.319999999999993</v>
      </c>
      <c r="T853" s="14">
        <f>200-SUM(Table3[[#This Row],[W - LIGHT]:[W - VIGOROUS]])</f>
        <v>74.72</v>
      </c>
      <c r="U853" s="14">
        <f>'PIVOT TABLES'!$W$26</f>
        <v>55.895999999999994</v>
      </c>
      <c r="V853" s="14">
        <f>'PIVOT TABLES'!$W$27-'PIVOT TABLES'!$W$26</f>
        <v>27.948</v>
      </c>
      <c r="W853" s="14">
        <f>'PIVOT TABLES'!$W$28-'PIVOT TABLES'!$W$27</f>
        <v>27.947999999999993</v>
      </c>
      <c r="X853" s="14">
        <f>200-SUM(Table3[[#This Row],[S - LIGHT]:[S - VIGOROUS]])</f>
        <v>88.208000000000013</v>
      </c>
    </row>
    <row r="854" spans="1:24" x14ac:dyDescent="0.25">
      <c r="A854" s="17" t="s">
        <v>1</v>
      </c>
      <c r="B854" s="13" t="str">
        <f t="shared" si="13"/>
        <v>Defender</v>
      </c>
      <c r="C854" s="7">
        <v>45349.430358796293</v>
      </c>
      <c r="D854" s="14">
        <v>6282</v>
      </c>
      <c r="E854" s="14">
        <v>25</v>
      </c>
      <c r="F854" s="14">
        <v>36</v>
      </c>
      <c r="G854" s="14">
        <v>24</v>
      </c>
      <c r="H854" s="14">
        <v>65.489999999999995</v>
      </c>
      <c r="I854" s="14">
        <f>'PIVOT TABLES'!$B$26</f>
        <v>60.283999999999999</v>
      </c>
      <c r="J854" s="14">
        <f>'PIVOT TABLES'!$B$27-'PIVOT TABLES'!$B$26</f>
        <v>30.142000000000003</v>
      </c>
      <c r="K854" s="14">
        <f>'PIVOT TABLES'!$B$28-'PIVOT TABLES'!$B$27</f>
        <v>30.141999999999996</v>
      </c>
      <c r="L854" s="14">
        <f>200-SUM(Table3[[#This Row],[D - LIGHT]:[D - VIGOROUS]])</f>
        <v>79.432000000000002</v>
      </c>
      <c r="M854" s="14">
        <f>'PIVOT TABLES'!$I$26</f>
        <v>65.603999999999999</v>
      </c>
      <c r="N854" s="14">
        <f>'PIVOT TABLES'!$I$27-'PIVOT TABLES'!$I$26</f>
        <v>32.802000000000007</v>
      </c>
      <c r="O854" s="14">
        <f>'PIVOT TABLES'!$I$28-'PIVOT TABLES'!$I$27</f>
        <v>32.801999999999992</v>
      </c>
      <c r="P854" s="14">
        <f>200-SUM(Table3[[#This Row],[M - LIGHT]:[M - VIGOROUS]])</f>
        <v>68.792000000000002</v>
      </c>
      <c r="Q854" s="14">
        <f>'PIVOT TABLES'!$P$26</f>
        <v>62.64</v>
      </c>
      <c r="R854" s="14">
        <f>'PIVOT TABLES'!$P$27-'PIVOT TABLES'!$P$26</f>
        <v>31.320000000000007</v>
      </c>
      <c r="S854" s="14">
        <f>'PIVOT TABLES'!$P$28-'PIVOT TABLES'!$P$27</f>
        <v>31.319999999999993</v>
      </c>
      <c r="T854" s="14">
        <f>200-SUM(Table3[[#This Row],[W - LIGHT]:[W - VIGOROUS]])</f>
        <v>74.72</v>
      </c>
      <c r="U854" s="14">
        <f>'PIVOT TABLES'!$W$26</f>
        <v>55.895999999999994</v>
      </c>
      <c r="V854" s="14">
        <f>'PIVOT TABLES'!$W$27-'PIVOT TABLES'!$W$26</f>
        <v>27.948</v>
      </c>
      <c r="W854" s="14">
        <f>'PIVOT TABLES'!$W$28-'PIVOT TABLES'!$W$27</f>
        <v>27.947999999999993</v>
      </c>
      <c r="X854" s="14">
        <f>200-SUM(Table3[[#This Row],[S - LIGHT]:[S - VIGOROUS]])</f>
        <v>88.208000000000013</v>
      </c>
    </row>
    <row r="855" spans="1:24" x14ac:dyDescent="0.25">
      <c r="A855" s="17" t="s">
        <v>56</v>
      </c>
      <c r="B855" s="13" t="str">
        <f t="shared" si="13"/>
        <v>Midfielder</v>
      </c>
      <c r="C855" s="7">
        <v>45349.430358796293</v>
      </c>
      <c r="D855" s="14">
        <v>9371</v>
      </c>
      <c r="E855" s="14">
        <v>16</v>
      </c>
      <c r="F855" s="14">
        <v>50</v>
      </c>
      <c r="G855" s="14">
        <v>41</v>
      </c>
      <c r="H855" s="14">
        <v>97.01</v>
      </c>
      <c r="I855" s="14">
        <f>'PIVOT TABLES'!$B$26</f>
        <v>60.283999999999999</v>
      </c>
      <c r="J855" s="14">
        <f>'PIVOT TABLES'!$B$27-'PIVOT TABLES'!$B$26</f>
        <v>30.142000000000003</v>
      </c>
      <c r="K855" s="14">
        <f>'PIVOT TABLES'!$B$28-'PIVOT TABLES'!$B$27</f>
        <v>30.141999999999996</v>
      </c>
      <c r="L855" s="14">
        <f>200-SUM(Table3[[#This Row],[D - LIGHT]:[D - VIGOROUS]])</f>
        <v>79.432000000000002</v>
      </c>
      <c r="M855" s="14">
        <f>'PIVOT TABLES'!$I$26</f>
        <v>65.603999999999999</v>
      </c>
      <c r="N855" s="14">
        <f>'PIVOT TABLES'!$I$27-'PIVOT TABLES'!$I$26</f>
        <v>32.802000000000007</v>
      </c>
      <c r="O855" s="14">
        <f>'PIVOT TABLES'!$I$28-'PIVOT TABLES'!$I$27</f>
        <v>32.801999999999992</v>
      </c>
      <c r="P855" s="14">
        <f>200-SUM(Table3[[#This Row],[M - LIGHT]:[M - VIGOROUS]])</f>
        <v>68.792000000000002</v>
      </c>
      <c r="Q855" s="14">
        <f>'PIVOT TABLES'!$P$26</f>
        <v>62.64</v>
      </c>
      <c r="R855" s="14">
        <f>'PIVOT TABLES'!$P$27-'PIVOT TABLES'!$P$26</f>
        <v>31.320000000000007</v>
      </c>
      <c r="S855" s="14">
        <f>'PIVOT TABLES'!$P$28-'PIVOT TABLES'!$P$27</f>
        <v>31.319999999999993</v>
      </c>
      <c r="T855" s="14">
        <f>200-SUM(Table3[[#This Row],[W - LIGHT]:[W - VIGOROUS]])</f>
        <v>74.72</v>
      </c>
      <c r="U855" s="14">
        <f>'PIVOT TABLES'!$W$26</f>
        <v>55.895999999999994</v>
      </c>
      <c r="V855" s="14">
        <f>'PIVOT TABLES'!$W$27-'PIVOT TABLES'!$W$26</f>
        <v>27.948</v>
      </c>
      <c r="W855" s="14">
        <f>'PIVOT TABLES'!$W$28-'PIVOT TABLES'!$W$27</f>
        <v>27.947999999999993</v>
      </c>
      <c r="X855" s="14">
        <f>200-SUM(Table3[[#This Row],[S - LIGHT]:[S - VIGOROUS]])</f>
        <v>88.208000000000013</v>
      </c>
    </row>
    <row r="856" spans="1:24" x14ac:dyDescent="0.25">
      <c r="A856" s="17" t="s">
        <v>2</v>
      </c>
      <c r="B856" s="13" t="str">
        <f t="shared" si="13"/>
        <v>Defender</v>
      </c>
      <c r="C856" s="7">
        <v>45349.430358796293</v>
      </c>
      <c r="D856" s="14">
        <v>7010</v>
      </c>
      <c r="E856" s="14">
        <v>42</v>
      </c>
      <c r="F856" s="14">
        <v>55</v>
      </c>
      <c r="G856" s="14">
        <v>54</v>
      </c>
      <c r="H856" s="14">
        <v>74.64</v>
      </c>
      <c r="I856" s="14">
        <f>'PIVOT TABLES'!$B$26</f>
        <v>60.283999999999999</v>
      </c>
      <c r="J856" s="14">
        <f>'PIVOT TABLES'!$B$27-'PIVOT TABLES'!$B$26</f>
        <v>30.142000000000003</v>
      </c>
      <c r="K856" s="14">
        <f>'PIVOT TABLES'!$B$28-'PIVOT TABLES'!$B$27</f>
        <v>30.141999999999996</v>
      </c>
      <c r="L856" s="14">
        <f>200-SUM(Table3[[#This Row],[D - LIGHT]:[D - VIGOROUS]])</f>
        <v>79.432000000000002</v>
      </c>
      <c r="M856" s="14">
        <f>'PIVOT TABLES'!$I$26</f>
        <v>65.603999999999999</v>
      </c>
      <c r="N856" s="14">
        <f>'PIVOT TABLES'!$I$27-'PIVOT TABLES'!$I$26</f>
        <v>32.802000000000007</v>
      </c>
      <c r="O856" s="14">
        <f>'PIVOT TABLES'!$I$28-'PIVOT TABLES'!$I$27</f>
        <v>32.801999999999992</v>
      </c>
      <c r="P856" s="14">
        <f>200-SUM(Table3[[#This Row],[M - LIGHT]:[M - VIGOROUS]])</f>
        <v>68.792000000000002</v>
      </c>
      <c r="Q856" s="14">
        <f>'PIVOT TABLES'!$P$26</f>
        <v>62.64</v>
      </c>
      <c r="R856" s="14">
        <f>'PIVOT TABLES'!$P$27-'PIVOT TABLES'!$P$26</f>
        <v>31.320000000000007</v>
      </c>
      <c r="S856" s="14">
        <f>'PIVOT TABLES'!$P$28-'PIVOT TABLES'!$P$27</f>
        <v>31.319999999999993</v>
      </c>
      <c r="T856" s="14">
        <f>200-SUM(Table3[[#This Row],[W - LIGHT]:[W - VIGOROUS]])</f>
        <v>74.72</v>
      </c>
      <c r="U856" s="14">
        <f>'PIVOT TABLES'!$W$26</f>
        <v>55.895999999999994</v>
      </c>
      <c r="V856" s="14">
        <f>'PIVOT TABLES'!$W$27-'PIVOT TABLES'!$W$26</f>
        <v>27.948</v>
      </c>
      <c r="W856" s="14">
        <f>'PIVOT TABLES'!$W$28-'PIVOT TABLES'!$W$27</f>
        <v>27.947999999999993</v>
      </c>
      <c r="X856" s="14">
        <f>200-SUM(Table3[[#This Row],[S - LIGHT]:[S - VIGOROUS]])</f>
        <v>88.208000000000013</v>
      </c>
    </row>
    <row r="857" spans="1:24" x14ac:dyDescent="0.25">
      <c r="A857" s="17" t="s">
        <v>58</v>
      </c>
      <c r="B857" s="13" t="str">
        <f t="shared" si="13"/>
        <v>Defender</v>
      </c>
      <c r="C857" s="7">
        <v>45349.430358796293</v>
      </c>
      <c r="D857" s="14">
        <v>8424</v>
      </c>
      <c r="E857" s="14">
        <v>11</v>
      </c>
      <c r="F857" s="14">
        <v>40</v>
      </c>
      <c r="G857" s="14">
        <v>37</v>
      </c>
      <c r="H857" s="14">
        <v>86.91</v>
      </c>
      <c r="I857" s="14">
        <f>'PIVOT TABLES'!$B$26</f>
        <v>60.283999999999999</v>
      </c>
      <c r="J857" s="14">
        <f>'PIVOT TABLES'!$B$27-'PIVOT TABLES'!$B$26</f>
        <v>30.142000000000003</v>
      </c>
      <c r="K857" s="14">
        <f>'PIVOT TABLES'!$B$28-'PIVOT TABLES'!$B$27</f>
        <v>30.141999999999996</v>
      </c>
      <c r="L857" s="14">
        <f>200-SUM(Table3[[#This Row],[D - LIGHT]:[D - VIGOROUS]])</f>
        <v>79.432000000000002</v>
      </c>
      <c r="M857" s="14">
        <f>'PIVOT TABLES'!$I$26</f>
        <v>65.603999999999999</v>
      </c>
      <c r="N857" s="14">
        <f>'PIVOT TABLES'!$I$27-'PIVOT TABLES'!$I$26</f>
        <v>32.802000000000007</v>
      </c>
      <c r="O857" s="14">
        <f>'PIVOT TABLES'!$I$28-'PIVOT TABLES'!$I$27</f>
        <v>32.801999999999992</v>
      </c>
      <c r="P857" s="14">
        <f>200-SUM(Table3[[#This Row],[M - LIGHT]:[M - VIGOROUS]])</f>
        <v>68.792000000000002</v>
      </c>
      <c r="Q857" s="14">
        <f>'PIVOT TABLES'!$P$26</f>
        <v>62.64</v>
      </c>
      <c r="R857" s="14">
        <f>'PIVOT TABLES'!$P$27-'PIVOT TABLES'!$P$26</f>
        <v>31.320000000000007</v>
      </c>
      <c r="S857" s="14">
        <f>'PIVOT TABLES'!$P$28-'PIVOT TABLES'!$P$27</f>
        <v>31.319999999999993</v>
      </c>
      <c r="T857" s="14">
        <f>200-SUM(Table3[[#This Row],[W - LIGHT]:[W - VIGOROUS]])</f>
        <v>74.72</v>
      </c>
      <c r="U857" s="14">
        <f>'PIVOT TABLES'!$W$26</f>
        <v>55.895999999999994</v>
      </c>
      <c r="V857" s="14">
        <f>'PIVOT TABLES'!$W$27-'PIVOT TABLES'!$W$26</f>
        <v>27.948</v>
      </c>
      <c r="W857" s="14">
        <f>'PIVOT TABLES'!$W$28-'PIVOT TABLES'!$W$27</f>
        <v>27.947999999999993</v>
      </c>
      <c r="X857" s="14">
        <f>200-SUM(Table3[[#This Row],[S - LIGHT]:[S - VIGOROUS]])</f>
        <v>88.208000000000013</v>
      </c>
    </row>
    <row r="858" spans="1:24" x14ac:dyDescent="0.25">
      <c r="A858" s="17" t="s">
        <v>94</v>
      </c>
      <c r="B858" s="13" t="str">
        <f t="shared" si="13"/>
        <v>Defender</v>
      </c>
      <c r="C858" s="7">
        <v>45349.430358796293</v>
      </c>
      <c r="D858" s="14">
        <v>7886</v>
      </c>
      <c r="E858" s="14">
        <v>0</v>
      </c>
      <c r="F858" s="14">
        <v>19</v>
      </c>
      <c r="G858" s="14">
        <v>23</v>
      </c>
      <c r="H858" s="14">
        <v>80.08</v>
      </c>
      <c r="I858" s="14">
        <f>'PIVOT TABLES'!$B$26</f>
        <v>60.283999999999999</v>
      </c>
      <c r="J858" s="14">
        <f>'PIVOT TABLES'!$B$27-'PIVOT TABLES'!$B$26</f>
        <v>30.142000000000003</v>
      </c>
      <c r="K858" s="14">
        <f>'PIVOT TABLES'!$B$28-'PIVOT TABLES'!$B$27</f>
        <v>30.141999999999996</v>
      </c>
      <c r="L858" s="14">
        <f>200-SUM(Table3[[#This Row],[D - LIGHT]:[D - VIGOROUS]])</f>
        <v>79.432000000000002</v>
      </c>
      <c r="M858" s="14">
        <f>'PIVOT TABLES'!$I$26</f>
        <v>65.603999999999999</v>
      </c>
      <c r="N858" s="14">
        <f>'PIVOT TABLES'!$I$27-'PIVOT TABLES'!$I$26</f>
        <v>32.802000000000007</v>
      </c>
      <c r="O858" s="14">
        <f>'PIVOT TABLES'!$I$28-'PIVOT TABLES'!$I$27</f>
        <v>32.801999999999992</v>
      </c>
      <c r="P858" s="14">
        <f>200-SUM(Table3[[#This Row],[M - LIGHT]:[M - VIGOROUS]])</f>
        <v>68.792000000000002</v>
      </c>
      <c r="Q858" s="14">
        <f>'PIVOT TABLES'!$P$26</f>
        <v>62.64</v>
      </c>
      <c r="R858" s="14">
        <f>'PIVOT TABLES'!$P$27-'PIVOT TABLES'!$P$26</f>
        <v>31.320000000000007</v>
      </c>
      <c r="S858" s="14">
        <f>'PIVOT TABLES'!$P$28-'PIVOT TABLES'!$P$27</f>
        <v>31.319999999999993</v>
      </c>
      <c r="T858" s="14">
        <f>200-SUM(Table3[[#This Row],[W - LIGHT]:[W - VIGOROUS]])</f>
        <v>74.72</v>
      </c>
      <c r="U858" s="14">
        <f>'PIVOT TABLES'!$W$26</f>
        <v>55.895999999999994</v>
      </c>
      <c r="V858" s="14">
        <f>'PIVOT TABLES'!$W$27-'PIVOT TABLES'!$W$26</f>
        <v>27.948</v>
      </c>
      <c r="W858" s="14">
        <f>'PIVOT TABLES'!$W$28-'PIVOT TABLES'!$W$27</f>
        <v>27.947999999999993</v>
      </c>
      <c r="X858" s="14">
        <f>200-SUM(Table3[[#This Row],[S - LIGHT]:[S - VIGOROUS]])</f>
        <v>88.208000000000013</v>
      </c>
    </row>
    <row r="859" spans="1:24" x14ac:dyDescent="0.25">
      <c r="A859" s="17" t="s">
        <v>3</v>
      </c>
      <c r="B859" s="13" t="str">
        <f t="shared" si="13"/>
        <v>Defender</v>
      </c>
      <c r="C859" s="7">
        <v>45349.430358796293</v>
      </c>
      <c r="D859" s="14">
        <v>8802</v>
      </c>
      <c r="E859" s="14">
        <v>49</v>
      </c>
      <c r="F859" s="14">
        <v>37</v>
      </c>
      <c r="G859" s="14">
        <v>57</v>
      </c>
      <c r="H859" s="14">
        <v>92.11</v>
      </c>
      <c r="I859" s="14">
        <f>'PIVOT TABLES'!$B$26</f>
        <v>60.283999999999999</v>
      </c>
      <c r="J859" s="14">
        <f>'PIVOT TABLES'!$B$27-'PIVOT TABLES'!$B$26</f>
        <v>30.142000000000003</v>
      </c>
      <c r="K859" s="14">
        <f>'PIVOT TABLES'!$B$28-'PIVOT TABLES'!$B$27</f>
        <v>30.141999999999996</v>
      </c>
      <c r="L859" s="14">
        <f>200-SUM(Table3[[#This Row],[D - LIGHT]:[D - VIGOROUS]])</f>
        <v>79.432000000000002</v>
      </c>
      <c r="M859" s="14">
        <f>'PIVOT TABLES'!$I$26</f>
        <v>65.603999999999999</v>
      </c>
      <c r="N859" s="14">
        <f>'PIVOT TABLES'!$I$27-'PIVOT TABLES'!$I$26</f>
        <v>32.802000000000007</v>
      </c>
      <c r="O859" s="14">
        <f>'PIVOT TABLES'!$I$28-'PIVOT TABLES'!$I$27</f>
        <v>32.801999999999992</v>
      </c>
      <c r="P859" s="14">
        <f>200-SUM(Table3[[#This Row],[M - LIGHT]:[M - VIGOROUS]])</f>
        <v>68.792000000000002</v>
      </c>
      <c r="Q859" s="14">
        <f>'PIVOT TABLES'!$P$26</f>
        <v>62.64</v>
      </c>
      <c r="R859" s="14">
        <f>'PIVOT TABLES'!$P$27-'PIVOT TABLES'!$P$26</f>
        <v>31.320000000000007</v>
      </c>
      <c r="S859" s="14">
        <f>'PIVOT TABLES'!$P$28-'PIVOT TABLES'!$P$27</f>
        <v>31.319999999999993</v>
      </c>
      <c r="T859" s="14">
        <f>200-SUM(Table3[[#This Row],[W - LIGHT]:[W - VIGOROUS]])</f>
        <v>74.72</v>
      </c>
      <c r="U859" s="14">
        <f>'PIVOT TABLES'!$W$26</f>
        <v>55.895999999999994</v>
      </c>
      <c r="V859" s="14">
        <f>'PIVOT TABLES'!$W$27-'PIVOT TABLES'!$W$26</f>
        <v>27.948</v>
      </c>
      <c r="W859" s="14">
        <f>'PIVOT TABLES'!$W$28-'PIVOT TABLES'!$W$27</f>
        <v>27.947999999999993</v>
      </c>
      <c r="X859" s="14">
        <f>200-SUM(Table3[[#This Row],[S - LIGHT]:[S - VIGOROUS]])</f>
        <v>88.208000000000013</v>
      </c>
    </row>
    <row r="860" spans="1:24" x14ac:dyDescent="0.25">
      <c r="A860" s="17" t="s">
        <v>59</v>
      </c>
      <c r="B860" s="13" t="str">
        <f t="shared" si="13"/>
        <v>Striker</v>
      </c>
      <c r="C860" s="7">
        <v>45349.430358796293</v>
      </c>
      <c r="D860" s="14">
        <v>8488</v>
      </c>
      <c r="E860" s="14">
        <v>54</v>
      </c>
      <c r="F860" s="14">
        <v>32</v>
      </c>
      <c r="G860" s="14">
        <v>45</v>
      </c>
      <c r="H860" s="14">
        <v>88.68</v>
      </c>
      <c r="I860" s="14">
        <f>'PIVOT TABLES'!$B$26</f>
        <v>60.283999999999999</v>
      </c>
      <c r="J860" s="14">
        <f>'PIVOT TABLES'!$B$27-'PIVOT TABLES'!$B$26</f>
        <v>30.142000000000003</v>
      </c>
      <c r="K860" s="14">
        <f>'PIVOT TABLES'!$B$28-'PIVOT TABLES'!$B$27</f>
        <v>30.141999999999996</v>
      </c>
      <c r="L860" s="14">
        <f>200-SUM(Table3[[#This Row],[D - LIGHT]:[D - VIGOROUS]])</f>
        <v>79.432000000000002</v>
      </c>
      <c r="M860" s="14">
        <f>'PIVOT TABLES'!$I$26</f>
        <v>65.603999999999999</v>
      </c>
      <c r="N860" s="14">
        <f>'PIVOT TABLES'!$I$27-'PIVOT TABLES'!$I$26</f>
        <v>32.802000000000007</v>
      </c>
      <c r="O860" s="14">
        <f>'PIVOT TABLES'!$I$28-'PIVOT TABLES'!$I$27</f>
        <v>32.801999999999992</v>
      </c>
      <c r="P860" s="14">
        <f>200-SUM(Table3[[#This Row],[M - LIGHT]:[M - VIGOROUS]])</f>
        <v>68.792000000000002</v>
      </c>
      <c r="Q860" s="14">
        <f>'PIVOT TABLES'!$P$26</f>
        <v>62.64</v>
      </c>
      <c r="R860" s="14">
        <f>'PIVOT TABLES'!$P$27-'PIVOT TABLES'!$P$26</f>
        <v>31.320000000000007</v>
      </c>
      <c r="S860" s="14">
        <f>'PIVOT TABLES'!$P$28-'PIVOT TABLES'!$P$27</f>
        <v>31.319999999999993</v>
      </c>
      <c r="T860" s="14">
        <f>200-SUM(Table3[[#This Row],[W - LIGHT]:[W - VIGOROUS]])</f>
        <v>74.72</v>
      </c>
      <c r="U860" s="14">
        <f>'PIVOT TABLES'!$W$26</f>
        <v>55.895999999999994</v>
      </c>
      <c r="V860" s="14">
        <f>'PIVOT TABLES'!$W$27-'PIVOT TABLES'!$W$26</f>
        <v>27.948</v>
      </c>
      <c r="W860" s="14">
        <f>'PIVOT TABLES'!$W$28-'PIVOT TABLES'!$W$27</f>
        <v>27.947999999999993</v>
      </c>
      <c r="X860" s="14">
        <f>200-SUM(Table3[[#This Row],[S - LIGHT]:[S - VIGOROUS]])</f>
        <v>88.208000000000013</v>
      </c>
    </row>
    <row r="861" spans="1:24" x14ac:dyDescent="0.25">
      <c r="A861" s="17" t="s">
        <v>4</v>
      </c>
      <c r="B861" s="13" t="str">
        <f t="shared" si="13"/>
        <v>Midfielder</v>
      </c>
      <c r="C861" s="7">
        <v>45349.430358796293</v>
      </c>
      <c r="D861" s="14">
        <v>7701</v>
      </c>
      <c r="E861" s="14">
        <v>17</v>
      </c>
      <c r="F861" s="14">
        <v>29</v>
      </c>
      <c r="G861" s="14">
        <v>32</v>
      </c>
      <c r="H861" s="14">
        <v>79.319999999999993</v>
      </c>
      <c r="I861" s="14">
        <f>'PIVOT TABLES'!$B$26</f>
        <v>60.283999999999999</v>
      </c>
      <c r="J861" s="14">
        <f>'PIVOT TABLES'!$B$27-'PIVOT TABLES'!$B$26</f>
        <v>30.142000000000003</v>
      </c>
      <c r="K861" s="14">
        <f>'PIVOT TABLES'!$B$28-'PIVOT TABLES'!$B$27</f>
        <v>30.141999999999996</v>
      </c>
      <c r="L861" s="14">
        <f>200-SUM(Table3[[#This Row],[D - LIGHT]:[D - VIGOROUS]])</f>
        <v>79.432000000000002</v>
      </c>
      <c r="M861" s="14">
        <f>'PIVOT TABLES'!$I$26</f>
        <v>65.603999999999999</v>
      </c>
      <c r="N861" s="14">
        <f>'PIVOT TABLES'!$I$27-'PIVOT TABLES'!$I$26</f>
        <v>32.802000000000007</v>
      </c>
      <c r="O861" s="14">
        <f>'PIVOT TABLES'!$I$28-'PIVOT TABLES'!$I$27</f>
        <v>32.801999999999992</v>
      </c>
      <c r="P861" s="14">
        <f>200-SUM(Table3[[#This Row],[M - LIGHT]:[M - VIGOROUS]])</f>
        <v>68.792000000000002</v>
      </c>
      <c r="Q861" s="14">
        <f>'PIVOT TABLES'!$P$26</f>
        <v>62.64</v>
      </c>
      <c r="R861" s="14">
        <f>'PIVOT TABLES'!$P$27-'PIVOT TABLES'!$P$26</f>
        <v>31.320000000000007</v>
      </c>
      <c r="S861" s="14">
        <f>'PIVOT TABLES'!$P$28-'PIVOT TABLES'!$P$27</f>
        <v>31.319999999999993</v>
      </c>
      <c r="T861" s="14">
        <f>200-SUM(Table3[[#This Row],[W - LIGHT]:[W - VIGOROUS]])</f>
        <v>74.72</v>
      </c>
      <c r="U861" s="14">
        <f>'PIVOT TABLES'!$W$26</f>
        <v>55.895999999999994</v>
      </c>
      <c r="V861" s="14">
        <f>'PIVOT TABLES'!$W$27-'PIVOT TABLES'!$W$26</f>
        <v>27.948</v>
      </c>
      <c r="W861" s="14">
        <f>'PIVOT TABLES'!$W$28-'PIVOT TABLES'!$W$27</f>
        <v>27.947999999999993</v>
      </c>
      <c r="X861" s="14">
        <f>200-SUM(Table3[[#This Row],[S - LIGHT]:[S - VIGOROUS]])</f>
        <v>88.208000000000013</v>
      </c>
    </row>
    <row r="862" spans="1:24" x14ac:dyDescent="0.25">
      <c r="A862" s="17" t="s">
        <v>60</v>
      </c>
      <c r="B862" s="13" t="str">
        <f t="shared" si="13"/>
        <v>Winger</v>
      </c>
      <c r="C862" s="7">
        <v>45349.430358796293</v>
      </c>
      <c r="D862" s="14">
        <v>9482</v>
      </c>
      <c r="E862" s="14">
        <v>45</v>
      </c>
      <c r="F862" s="14">
        <v>32</v>
      </c>
      <c r="G862" s="14">
        <v>51</v>
      </c>
      <c r="H862" s="14">
        <v>98.47</v>
      </c>
      <c r="I862" s="14">
        <f>'PIVOT TABLES'!$B$26</f>
        <v>60.283999999999999</v>
      </c>
      <c r="J862" s="14">
        <f>'PIVOT TABLES'!$B$27-'PIVOT TABLES'!$B$26</f>
        <v>30.142000000000003</v>
      </c>
      <c r="K862" s="14">
        <f>'PIVOT TABLES'!$B$28-'PIVOT TABLES'!$B$27</f>
        <v>30.141999999999996</v>
      </c>
      <c r="L862" s="14">
        <f>200-SUM(Table3[[#This Row],[D - LIGHT]:[D - VIGOROUS]])</f>
        <v>79.432000000000002</v>
      </c>
      <c r="M862" s="14">
        <f>'PIVOT TABLES'!$I$26</f>
        <v>65.603999999999999</v>
      </c>
      <c r="N862" s="14">
        <f>'PIVOT TABLES'!$I$27-'PIVOT TABLES'!$I$26</f>
        <v>32.802000000000007</v>
      </c>
      <c r="O862" s="14">
        <f>'PIVOT TABLES'!$I$28-'PIVOT TABLES'!$I$27</f>
        <v>32.801999999999992</v>
      </c>
      <c r="P862" s="14">
        <f>200-SUM(Table3[[#This Row],[M - LIGHT]:[M - VIGOROUS]])</f>
        <v>68.792000000000002</v>
      </c>
      <c r="Q862" s="14">
        <f>'PIVOT TABLES'!$P$26</f>
        <v>62.64</v>
      </c>
      <c r="R862" s="14">
        <f>'PIVOT TABLES'!$P$27-'PIVOT TABLES'!$P$26</f>
        <v>31.320000000000007</v>
      </c>
      <c r="S862" s="14">
        <f>'PIVOT TABLES'!$P$28-'PIVOT TABLES'!$P$27</f>
        <v>31.319999999999993</v>
      </c>
      <c r="T862" s="14">
        <f>200-SUM(Table3[[#This Row],[W - LIGHT]:[W - VIGOROUS]])</f>
        <v>74.72</v>
      </c>
      <c r="U862" s="14">
        <f>'PIVOT TABLES'!$W$26</f>
        <v>55.895999999999994</v>
      </c>
      <c r="V862" s="14">
        <f>'PIVOT TABLES'!$W$27-'PIVOT TABLES'!$W$26</f>
        <v>27.948</v>
      </c>
      <c r="W862" s="14">
        <f>'PIVOT TABLES'!$W$28-'PIVOT TABLES'!$W$27</f>
        <v>27.947999999999993</v>
      </c>
      <c r="X862" s="14">
        <f>200-SUM(Table3[[#This Row],[S - LIGHT]:[S - VIGOROUS]])</f>
        <v>88.208000000000013</v>
      </c>
    </row>
    <row r="863" spans="1:24" x14ac:dyDescent="0.25">
      <c r="A863" s="17" t="s">
        <v>71</v>
      </c>
      <c r="B863" s="13" t="str">
        <f t="shared" si="13"/>
        <v>Midfielder</v>
      </c>
      <c r="C863" s="7">
        <v>45349.430358796293</v>
      </c>
      <c r="D863" s="14">
        <v>8822</v>
      </c>
      <c r="E863" s="14">
        <v>0</v>
      </c>
      <c r="F863" s="14">
        <v>43</v>
      </c>
      <c r="G863" s="14">
        <v>20</v>
      </c>
      <c r="H863" s="14">
        <v>90.34</v>
      </c>
      <c r="I863" s="14">
        <f>'PIVOT TABLES'!$B$26</f>
        <v>60.283999999999999</v>
      </c>
      <c r="J863" s="14">
        <f>'PIVOT TABLES'!$B$27-'PIVOT TABLES'!$B$26</f>
        <v>30.142000000000003</v>
      </c>
      <c r="K863" s="14">
        <f>'PIVOT TABLES'!$B$28-'PIVOT TABLES'!$B$27</f>
        <v>30.141999999999996</v>
      </c>
      <c r="L863" s="14">
        <f>200-SUM(Table3[[#This Row],[D - LIGHT]:[D - VIGOROUS]])</f>
        <v>79.432000000000002</v>
      </c>
      <c r="M863" s="14">
        <f>'PIVOT TABLES'!$I$26</f>
        <v>65.603999999999999</v>
      </c>
      <c r="N863" s="14">
        <f>'PIVOT TABLES'!$I$27-'PIVOT TABLES'!$I$26</f>
        <v>32.802000000000007</v>
      </c>
      <c r="O863" s="14">
        <f>'PIVOT TABLES'!$I$28-'PIVOT TABLES'!$I$27</f>
        <v>32.801999999999992</v>
      </c>
      <c r="P863" s="14">
        <f>200-SUM(Table3[[#This Row],[M - LIGHT]:[M - VIGOROUS]])</f>
        <v>68.792000000000002</v>
      </c>
      <c r="Q863" s="14">
        <f>'PIVOT TABLES'!$P$26</f>
        <v>62.64</v>
      </c>
      <c r="R863" s="14">
        <f>'PIVOT TABLES'!$P$27-'PIVOT TABLES'!$P$26</f>
        <v>31.320000000000007</v>
      </c>
      <c r="S863" s="14">
        <f>'PIVOT TABLES'!$P$28-'PIVOT TABLES'!$P$27</f>
        <v>31.319999999999993</v>
      </c>
      <c r="T863" s="14">
        <f>200-SUM(Table3[[#This Row],[W - LIGHT]:[W - VIGOROUS]])</f>
        <v>74.72</v>
      </c>
      <c r="U863" s="14">
        <f>'PIVOT TABLES'!$W$26</f>
        <v>55.895999999999994</v>
      </c>
      <c r="V863" s="14">
        <f>'PIVOT TABLES'!$W$27-'PIVOT TABLES'!$W$26</f>
        <v>27.948</v>
      </c>
      <c r="W863" s="14">
        <f>'PIVOT TABLES'!$W$28-'PIVOT TABLES'!$W$27</f>
        <v>27.947999999999993</v>
      </c>
      <c r="X863" s="14">
        <f>200-SUM(Table3[[#This Row],[S - LIGHT]:[S - VIGOROUS]])</f>
        <v>88.208000000000013</v>
      </c>
    </row>
    <row r="864" spans="1:24" x14ac:dyDescent="0.25">
      <c r="A864" s="17" t="s">
        <v>5</v>
      </c>
      <c r="B864" s="13" t="str">
        <f t="shared" si="13"/>
        <v>Midfielder</v>
      </c>
      <c r="C864" s="7">
        <v>45349.430358796293</v>
      </c>
      <c r="D864" s="14">
        <v>7535</v>
      </c>
      <c r="E864" s="14">
        <v>22</v>
      </c>
      <c r="F864" s="14">
        <v>21</v>
      </c>
      <c r="G864" s="14">
        <v>20</v>
      </c>
      <c r="H864" s="14">
        <v>77.25</v>
      </c>
      <c r="I864" s="14">
        <f>'PIVOT TABLES'!$B$26</f>
        <v>60.283999999999999</v>
      </c>
      <c r="J864" s="14">
        <f>'PIVOT TABLES'!$B$27-'PIVOT TABLES'!$B$26</f>
        <v>30.142000000000003</v>
      </c>
      <c r="K864" s="14">
        <f>'PIVOT TABLES'!$B$28-'PIVOT TABLES'!$B$27</f>
        <v>30.141999999999996</v>
      </c>
      <c r="L864" s="14">
        <f>200-SUM(Table3[[#This Row],[D - LIGHT]:[D - VIGOROUS]])</f>
        <v>79.432000000000002</v>
      </c>
      <c r="M864" s="14">
        <f>'PIVOT TABLES'!$I$26</f>
        <v>65.603999999999999</v>
      </c>
      <c r="N864" s="14">
        <f>'PIVOT TABLES'!$I$27-'PIVOT TABLES'!$I$26</f>
        <v>32.802000000000007</v>
      </c>
      <c r="O864" s="14">
        <f>'PIVOT TABLES'!$I$28-'PIVOT TABLES'!$I$27</f>
        <v>32.801999999999992</v>
      </c>
      <c r="P864" s="14">
        <f>200-SUM(Table3[[#This Row],[M - LIGHT]:[M - VIGOROUS]])</f>
        <v>68.792000000000002</v>
      </c>
      <c r="Q864" s="14">
        <f>'PIVOT TABLES'!$P$26</f>
        <v>62.64</v>
      </c>
      <c r="R864" s="14">
        <f>'PIVOT TABLES'!$P$27-'PIVOT TABLES'!$P$26</f>
        <v>31.320000000000007</v>
      </c>
      <c r="S864" s="14">
        <f>'PIVOT TABLES'!$P$28-'PIVOT TABLES'!$P$27</f>
        <v>31.319999999999993</v>
      </c>
      <c r="T864" s="14">
        <f>200-SUM(Table3[[#This Row],[W - LIGHT]:[W - VIGOROUS]])</f>
        <v>74.72</v>
      </c>
      <c r="U864" s="14">
        <f>'PIVOT TABLES'!$W$26</f>
        <v>55.895999999999994</v>
      </c>
      <c r="V864" s="14">
        <f>'PIVOT TABLES'!$W$27-'PIVOT TABLES'!$W$26</f>
        <v>27.948</v>
      </c>
      <c r="W864" s="14">
        <f>'PIVOT TABLES'!$W$28-'PIVOT TABLES'!$W$27</f>
        <v>27.947999999999993</v>
      </c>
      <c r="X864" s="14">
        <f>200-SUM(Table3[[#This Row],[S - LIGHT]:[S - VIGOROUS]])</f>
        <v>88.208000000000013</v>
      </c>
    </row>
    <row r="865" spans="1:24" x14ac:dyDescent="0.25">
      <c r="A865" s="17" t="s">
        <v>6</v>
      </c>
      <c r="B865" s="13" t="str">
        <f t="shared" si="13"/>
        <v>Midfielder</v>
      </c>
      <c r="C865" s="7">
        <v>45349.430358796293</v>
      </c>
      <c r="D865" s="14">
        <v>9026</v>
      </c>
      <c r="E865" s="14">
        <v>144</v>
      </c>
      <c r="F865" s="14">
        <v>58</v>
      </c>
      <c r="G865" s="14">
        <v>39</v>
      </c>
      <c r="H865" s="14">
        <v>97.68</v>
      </c>
      <c r="I865" s="14">
        <f>'PIVOT TABLES'!$B$26</f>
        <v>60.283999999999999</v>
      </c>
      <c r="J865" s="14">
        <f>'PIVOT TABLES'!$B$27-'PIVOT TABLES'!$B$26</f>
        <v>30.142000000000003</v>
      </c>
      <c r="K865" s="14">
        <f>'PIVOT TABLES'!$B$28-'PIVOT TABLES'!$B$27</f>
        <v>30.141999999999996</v>
      </c>
      <c r="L865" s="14">
        <f>200-SUM(Table3[[#This Row],[D - LIGHT]:[D - VIGOROUS]])</f>
        <v>79.432000000000002</v>
      </c>
      <c r="M865" s="14">
        <f>'PIVOT TABLES'!$I$26</f>
        <v>65.603999999999999</v>
      </c>
      <c r="N865" s="14">
        <f>'PIVOT TABLES'!$I$27-'PIVOT TABLES'!$I$26</f>
        <v>32.802000000000007</v>
      </c>
      <c r="O865" s="14">
        <f>'PIVOT TABLES'!$I$28-'PIVOT TABLES'!$I$27</f>
        <v>32.801999999999992</v>
      </c>
      <c r="P865" s="14">
        <f>200-SUM(Table3[[#This Row],[M - LIGHT]:[M - VIGOROUS]])</f>
        <v>68.792000000000002</v>
      </c>
      <c r="Q865" s="14">
        <f>'PIVOT TABLES'!$P$26</f>
        <v>62.64</v>
      </c>
      <c r="R865" s="14">
        <f>'PIVOT TABLES'!$P$27-'PIVOT TABLES'!$P$26</f>
        <v>31.320000000000007</v>
      </c>
      <c r="S865" s="14">
        <f>'PIVOT TABLES'!$P$28-'PIVOT TABLES'!$P$27</f>
        <v>31.319999999999993</v>
      </c>
      <c r="T865" s="14">
        <f>200-SUM(Table3[[#This Row],[W - LIGHT]:[W - VIGOROUS]])</f>
        <v>74.72</v>
      </c>
      <c r="U865" s="14">
        <f>'PIVOT TABLES'!$W$26</f>
        <v>55.895999999999994</v>
      </c>
      <c r="V865" s="14">
        <f>'PIVOT TABLES'!$W$27-'PIVOT TABLES'!$W$26</f>
        <v>27.948</v>
      </c>
      <c r="W865" s="14">
        <f>'PIVOT TABLES'!$W$28-'PIVOT TABLES'!$W$27</f>
        <v>27.947999999999993</v>
      </c>
      <c r="X865" s="14">
        <f>200-SUM(Table3[[#This Row],[S - LIGHT]:[S - VIGOROUS]])</f>
        <v>88.208000000000013</v>
      </c>
    </row>
    <row r="866" spans="1:24" x14ac:dyDescent="0.25">
      <c r="A866" s="17" t="s">
        <v>62</v>
      </c>
      <c r="B866" s="13" t="str">
        <f t="shared" si="13"/>
        <v>Midfielder</v>
      </c>
      <c r="C866" s="7">
        <v>45349.430358796293</v>
      </c>
      <c r="D866" s="14">
        <v>8512</v>
      </c>
      <c r="E866" s="14">
        <v>37</v>
      </c>
      <c r="F866" s="14">
        <v>28</v>
      </c>
      <c r="G866" s="14">
        <v>16</v>
      </c>
      <c r="H866" s="14">
        <v>87.67</v>
      </c>
      <c r="I866" s="14">
        <f>'PIVOT TABLES'!$B$26</f>
        <v>60.283999999999999</v>
      </c>
      <c r="J866" s="14">
        <f>'PIVOT TABLES'!$B$27-'PIVOT TABLES'!$B$26</f>
        <v>30.142000000000003</v>
      </c>
      <c r="K866" s="14">
        <f>'PIVOT TABLES'!$B$28-'PIVOT TABLES'!$B$27</f>
        <v>30.141999999999996</v>
      </c>
      <c r="L866" s="14">
        <f>200-SUM(Table3[[#This Row],[D - LIGHT]:[D - VIGOROUS]])</f>
        <v>79.432000000000002</v>
      </c>
      <c r="M866" s="14">
        <f>'PIVOT TABLES'!$I$26</f>
        <v>65.603999999999999</v>
      </c>
      <c r="N866" s="14">
        <f>'PIVOT TABLES'!$I$27-'PIVOT TABLES'!$I$26</f>
        <v>32.802000000000007</v>
      </c>
      <c r="O866" s="14">
        <f>'PIVOT TABLES'!$I$28-'PIVOT TABLES'!$I$27</f>
        <v>32.801999999999992</v>
      </c>
      <c r="P866" s="14">
        <f>200-SUM(Table3[[#This Row],[M - LIGHT]:[M - VIGOROUS]])</f>
        <v>68.792000000000002</v>
      </c>
      <c r="Q866" s="14">
        <f>'PIVOT TABLES'!$P$26</f>
        <v>62.64</v>
      </c>
      <c r="R866" s="14">
        <f>'PIVOT TABLES'!$P$27-'PIVOT TABLES'!$P$26</f>
        <v>31.320000000000007</v>
      </c>
      <c r="S866" s="14">
        <f>'PIVOT TABLES'!$P$28-'PIVOT TABLES'!$P$27</f>
        <v>31.319999999999993</v>
      </c>
      <c r="T866" s="14">
        <f>200-SUM(Table3[[#This Row],[W - LIGHT]:[W - VIGOROUS]])</f>
        <v>74.72</v>
      </c>
      <c r="U866" s="14">
        <f>'PIVOT TABLES'!$W$26</f>
        <v>55.895999999999994</v>
      </c>
      <c r="V866" s="14">
        <f>'PIVOT TABLES'!$W$27-'PIVOT TABLES'!$W$26</f>
        <v>27.948</v>
      </c>
      <c r="W866" s="14">
        <f>'PIVOT TABLES'!$W$28-'PIVOT TABLES'!$W$27</f>
        <v>27.947999999999993</v>
      </c>
      <c r="X866" s="14">
        <f>200-SUM(Table3[[#This Row],[S - LIGHT]:[S - VIGOROUS]])</f>
        <v>88.208000000000013</v>
      </c>
    </row>
    <row r="867" spans="1:24" x14ac:dyDescent="0.25">
      <c r="A867" s="17" t="s">
        <v>63</v>
      </c>
      <c r="B867" s="13" t="str">
        <f t="shared" si="13"/>
        <v>Winger</v>
      </c>
      <c r="C867" s="7">
        <v>45349.430358796293</v>
      </c>
      <c r="D867" s="14">
        <v>6343</v>
      </c>
      <c r="E867" s="14">
        <v>0</v>
      </c>
      <c r="F867" s="14">
        <v>11</v>
      </c>
      <c r="G867" s="14">
        <v>23</v>
      </c>
      <c r="H867" s="14">
        <v>64.33</v>
      </c>
      <c r="I867" s="14">
        <f>'PIVOT TABLES'!$B$26</f>
        <v>60.283999999999999</v>
      </c>
      <c r="J867" s="14">
        <f>'PIVOT TABLES'!$B$27-'PIVOT TABLES'!$B$26</f>
        <v>30.142000000000003</v>
      </c>
      <c r="K867" s="14">
        <f>'PIVOT TABLES'!$B$28-'PIVOT TABLES'!$B$27</f>
        <v>30.141999999999996</v>
      </c>
      <c r="L867" s="14">
        <f>200-SUM(Table3[[#This Row],[D - LIGHT]:[D - VIGOROUS]])</f>
        <v>79.432000000000002</v>
      </c>
      <c r="M867" s="14">
        <f>'PIVOT TABLES'!$I$26</f>
        <v>65.603999999999999</v>
      </c>
      <c r="N867" s="14">
        <f>'PIVOT TABLES'!$I$27-'PIVOT TABLES'!$I$26</f>
        <v>32.802000000000007</v>
      </c>
      <c r="O867" s="14">
        <f>'PIVOT TABLES'!$I$28-'PIVOT TABLES'!$I$27</f>
        <v>32.801999999999992</v>
      </c>
      <c r="P867" s="14">
        <f>200-SUM(Table3[[#This Row],[M - LIGHT]:[M - VIGOROUS]])</f>
        <v>68.792000000000002</v>
      </c>
      <c r="Q867" s="14">
        <f>'PIVOT TABLES'!$P$26</f>
        <v>62.64</v>
      </c>
      <c r="R867" s="14">
        <f>'PIVOT TABLES'!$P$27-'PIVOT TABLES'!$P$26</f>
        <v>31.320000000000007</v>
      </c>
      <c r="S867" s="14">
        <f>'PIVOT TABLES'!$P$28-'PIVOT TABLES'!$P$27</f>
        <v>31.319999999999993</v>
      </c>
      <c r="T867" s="14">
        <f>200-SUM(Table3[[#This Row],[W - LIGHT]:[W - VIGOROUS]])</f>
        <v>74.72</v>
      </c>
      <c r="U867" s="14">
        <f>'PIVOT TABLES'!$W$26</f>
        <v>55.895999999999994</v>
      </c>
      <c r="V867" s="14">
        <f>'PIVOT TABLES'!$W$27-'PIVOT TABLES'!$W$26</f>
        <v>27.948</v>
      </c>
      <c r="W867" s="14">
        <f>'PIVOT TABLES'!$W$28-'PIVOT TABLES'!$W$27</f>
        <v>27.947999999999993</v>
      </c>
      <c r="X867" s="14">
        <f>200-SUM(Table3[[#This Row],[S - LIGHT]:[S - VIGOROUS]])</f>
        <v>88.208000000000013</v>
      </c>
    </row>
    <row r="868" spans="1:24" x14ac:dyDescent="0.25">
      <c r="A868" s="17" t="s">
        <v>64</v>
      </c>
      <c r="B868" s="13" t="str">
        <f t="shared" si="13"/>
        <v>Midfielder</v>
      </c>
      <c r="C868" s="7">
        <v>45349.430358796293</v>
      </c>
      <c r="D868" s="14">
        <v>9158</v>
      </c>
      <c r="E868" s="14">
        <v>27</v>
      </c>
      <c r="F868" s="14">
        <v>67</v>
      </c>
      <c r="G868" s="14">
        <v>51</v>
      </c>
      <c r="H868" s="14">
        <v>96.09</v>
      </c>
      <c r="I868" s="14">
        <f>'PIVOT TABLES'!$B$26</f>
        <v>60.283999999999999</v>
      </c>
      <c r="J868" s="14">
        <f>'PIVOT TABLES'!$B$27-'PIVOT TABLES'!$B$26</f>
        <v>30.142000000000003</v>
      </c>
      <c r="K868" s="14">
        <f>'PIVOT TABLES'!$B$28-'PIVOT TABLES'!$B$27</f>
        <v>30.141999999999996</v>
      </c>
      <c r="L868" s="14">
        <f>200-SUM(Table3[[#This Row],[D - LIGHT]:[D - VIGOROUS]])</f>
        <v>79.432000000000002</v>
      </c>
      <c r="M868" s="14">
        <f>'PIVOT TABLES'!$I$26</f>
        <v>65.603999999999999</v>
      </c>
      <c r="N868" s="14">
        <f>'PIVOT TABLES'!$I$27-'PIVOT TABLES'!$I$26</f>
        <v>32.802000000000007</v>
      </c>
      <c r="O868" s="14">
        <f>'PIVOT TABLES'!$I$28-'PIVOT TABLES'!$I$27</f>
        <v>32.801999999999992</v>
      </c>
      <c r="P868" s="14">
        <f>200-SUM(Table3[[#This Row],[M - LIGHT]:[M - VIGOROUS]])</f>
        <v>68.792000000000002</v>
      </c>
      <c r="Q868" s="14">
        <f>'PIVOT TABLES'!$P$26</f>
        <v>62.64</v>
      </c>
      <c r="R868" s="14">
        <f>'PIVOT TABLES'!$P$27-'PIVOT TABLES'!$P$26</f>
        <v>31.320000000000007</v>
      </c>
      <c r="S868" s="14">
        <f>'PIVOT TABLES'!$P$28-'PIVOT TABLES'!$P$27</f>
        <v>31.319999999999993</v>
      </c>
      <c r="T868" s="14">
        <f>200-SUM(Table3[[#This Row],[W - LIGHT]:[W - VIGOROUS]])</f>
        <v>74.72</v>
      </c>
      <c r="U868" s="14">
        <f>'PIVOT TABLES'!$W$26</f>
        <v>55.895999999999994</v>
      </c>
      <c r="V868" s="14">
        <f>'PIVOT TABLES'!$W$27-'PIVOT TABLES'!$W$26</f>
        <v>27.948</v>
      </c>
      <c r="W868" s="14">
        <f>'PIVOT TABLES'!$W$28-'PIVOT TABLES'!$W$27</f>
        <v>27.947999999999993</v>
      </c>
      <c r="X868" s="14">
        <f>200-SUM(Table3[[#This Row],[S - LIGHT]:[S - VIGOROUS]])</f>
        <v>88.208000000000013</v>
      </c>
    </row>
    <row r="869" spans="1:24" x14ac:dyDescent="0.25">
      <c r="A869" s="17" t="s">
        <v>65</v>
      </c>
      <c r="B869" s="13" t="str">
        <f t="shared" si="13"/>
        <v>Winger</v>
      </c>
      <c r="C869" s="7">
        <v>45349.430358796293</v>
      </c>
      <c r="D869" s="14">
        <v>9104</v>
      </c>
      <c r="E869" s="14">
        <v>102</v>
      </c>
      <c r="F869" s="14">
        <v>36</v>
      </c>
      <c r="G869" s="14">
        <v>51</v>
      </c>
      <c r="H869" s="14">
        <v>96.56</v>
      </c>
      <c r="I869" s="14">
        <f>'PIVOT TABLES'!$B$26</f>
        <v>60.283999999999999</v>
      </c>
      <c r="J869" s="14">
        <f>'PIVOT TABLES'!$B$27-'PIVOT TABLES'!$B$26</f>
        <v>30.142000000000003</v>
      </c>
      <c r="K869" s="14">
        <f>'PIVOT TABLES'!$B$28-'PIVOT TABLES'!$B$27</f>
        <v>30.141999999999996</v>
      </c>
      <c r="L869" s="14">
        <f>200-SUM(Table3[[#This Row],[D - LIGHT]:[D - VIGOROUS]])</f>
        <v>79.432000000000002</v>
      </c>
      <c r="M869" s="14">
        <f>'PIVOT TABLES'!$I$26</f>
        <v>65.603999999999999</v>
      </c>
      <c r="N869" s="14">
        <f>'PIVOT TABLES'!$I$27-'PIVOT TABLES'!$I$26</f>
        <v>32.802000000000007</v>
      </c>
      <c r="O869" s="14">
        <f>'PIVOT TABLES'!$I$28-'PIVOT TABLES'!$I$27</f>
        <v>32.801999999999992</v>
      </c>
      <c r="P869" s="14">
        <f>200-SUM(Table3[[#This Row],[M - LIGHT]:[M - VIGOROUS]])</f>
        <v>68.792000000000002</v>
      </c>
      <c r="Q869" s="14">
        <f>'PIVOT TABLES'!$P$26</f>
        <v>62.64</v>
      </c>
      <c r="R869" s="14">
        <f>'PIVOT TABLES'!$P$27-'PIVOT TABLES'!$P$26</f>
        <v>31.320000000000007</v>
      </c>
      <c r="S869" s="14">
        <f>'PIVOT TABLES'!$P$28-'PIVOT TABLES'!$P$27</f>
        <v>31.319999999999993</v>
      </c>
      <c r="T869" s="14">
        <f>200-SUM(Table3[[#This Row],[W - LIGHT]:[W - VIGOROUS]])</f>
        <v>74.72</v>
      </c>
      <c r="U869" s="14">
        <f>'PIVOT TABLES'!$W$26</f>
        <v>55.895999999999994</v>
      </c>
      <c r="V869" s="14">
        <f>'PIVOT TABLES'!$W$27-'PIVOT TABLES'!$W$26</f>
        <v>27.948</v>
      </c>
      <c r="W869" s="14">
        <f>'PIVOT TABLES'!$W$28-'PIVOT TABLES'!$W$27</f>
        <v>27.947999999999993</v>
      </c>
      <c r="X869" s="14">
        <f>200-SUM(Table3[[#This Row],[S - LIGHT]:[S - VIGOROUS]])</f>
        <v>88.208000000000013</v>
      </c>
    </row>
    <row r="870" spans="1:24" x14ac:dyDescent="0.25">
      <c r="A870" s="17" t="s">
        <v>66</v>
      </c>
      <c r="B870" s="13" t="str">
        <f t="shared" si="13"/>
        <v>Striker</v>
      </c>
      <c r="C870" s="7">
        <v>45349.430358796293</v>
      </c>
      <c r="D870" s="14">
        <v>9329</v>
      </c>
      <c r="E870" s="14">
        <v>119</v>
      </c>
      <c r="F870" s="14">
        <v>37</v>
      </c>
      <c r="G870" s="14">
        <v>48</v>
      </c>
      <c r="H870" s="14">
        <v>99.3</v>
      </c>
      <c r="I870" s="14">
        <f>'PIVOT TABLES'!$B$26</f>
        <v>60.283999999999999</v>
      </c>
      <c r="J870" s="14">
        <f>'PIVOT TABLES'!$B$27-'PIVOT TABLES'!$B$26</f>
        <v>30.142000000000003</v>
      </c>
      <c r="K870" s="14">
        <f>'PIVOT TABLES'!$B$28-'PIVOT TABLES'!$B$27</f>
        <v>30.141999999999996</v>
      </c>
      <c r="L870" s="14">
        <f>200-SUM(Table3[[#This Row],[D - LIGHT]:[D - VIGOROUS]])</f>
        <v>79.432000000000002</v>
      </c>
      <c r="M870" s="14">
        <f>'PIVOT TABLES'!$I$26</f>
        <v>65.603999999999999</v>
      </c>
      <c r="N870" s="14">
        <f>'PIVOT TABLES'!$I$27-'PIVOT TABLES'!$I$26</f>
        <v>32.802000000000007</v>
      </c>
      <c r="O870" s="14">
        <f>'PIVOT TABLES'!$I$28-'PIVOT TABLES'!$I$27</f>
        <v>32.801999999999992</v>
      </c>
      <c r="P870" s="14">
        <f>200-SUM(Table3[[#This Row],[M - LIGHT]:[M - VIGOROUS]])</f>
        <v>68.792000000000002</v>
      </c>
      <c r="Q870" s="14">
        <f>'PIVOT TABLES'!$P$26</f>
        <v>62.64</v>
      </c>
      <c r="R870" s="14">
        <f>'PIVOT TABLES'!$P$27-'PIVOT TABLES'!$P$26</f>
        <v>31.320000000000007</v>
      </c>
      <c r="S870" s="14">
        <f>'PIVOT TABLES'!$P$28-'PIVOT TABLES'!$P$27</f>
        <v>31.319999999999993</v>
      </c>
      <c r="T870" s="14">
        <f>200-SUM(Table3[[#This Row],[W - LIGHT]:[W - VIGOROUS]])</f>
        <v>74.72</v>
      </c>
      <c r="U870" s="14">
        <f>'PIVOT TABLES'!$W$26</f>
        <v>55.895999999999994</v>
      </c>
      <c r="V870" s="14">
        <f>'PIVOT TABLES'!$W$27-'PIVOT TABLES'!$W$26</f>
        <v>27.948</v>
      </c>
      <c r="W870" s="14">
        <f>'PIVOT TABLES'!$W$28-'PIVOT TABLES'!$W$27</f>
        <v>27.947999999999993</v>
      </c>
      <c r="X870" s="14">
        <f>200-SUM(Table3[[#This Row],[S - LIGHT]:[S - VIGOROUS]])</f>
        <v>88.208000000000013</v>
      </c>
    </row>
    <row r="871" spans="1:24" x14ac:dyDescent="0.25">
      <c r="A871" s="17" t="s">
        <v>78</v>
      </c>
      <c r="B871" s="13" t="str">
        <f t="shared" si="13"/>
        <v>Defender</v>
      </c>
      <c r="C871" s="7">
        <v>45349.430358796293</v>
      </c>
      <c r="D871" s="14">
        <v>8763</v>
      </c>
      <c r="E871" s="14">
        <v>6</v>
      </c>
      <c r="F871" s="14">
        <v>64</v>
      </c>
      <c r="G871" s="14">
        <v>45</v>
      </c>
      <c r="H871" s="14">
        <v>91.27</v>
      </c>
      <c r="I871" s="14">
        <f>'PIVOT TABLES'!$B$26</f>
        <v>60.283999999999999</v>
      </c>
      <c r="J871" s="14">
        <f>'PIVOT TABLES'!$B$27-'PIVOT TABLES'!$B$26</f>
        <v>30.142000000000003</v>
      </c>
      <c r="K871" s="14">
        <f>'PIVOT TABLES'!$B$28-'PIVOT TABLES'!$B$27</f>
        <v>30.141999999999996</v>
      </c>
      <c r="L871" s="14">
        <f>200-SUM(Table3[[#This Row],[D - LIGHT]:[D - VIGOROUS]])</f>
        <v>79.432000000000002</v>
      </c>
      <c r="M871" s="14">
        <f>'PIVOT TABLES'!$I$26</f>
        <v>65.603999999999999</v>
      </c>
      <c r="N871" s="14">
        <f>'PIVOT TABLES'!$I$27-'PIVOT TABLES'!$I$26</f>
        <v>32.802000000000007</v>
      </c>
      <c r="O871" s="14">
        <f>'PIVOT TABLES'!$I$28-'PIVOT TABLES'!$I$27</f>
        <v>32.801999999999992</v>
      </c>
      <c r="P871" s="14">
        <f>200-SUM(Table3[[#This Row],[M - LIGHT]:[M - VIGOROUS]])</f>
        <v>68.792000000000002</v>
      </c>
      <c r="Q871" s="14">
        <f>'PIVOT TABLES'!$P$26</f>
        <v>62.64</v>
      </c>
      <c r="R871" s="14">
        <f>'PIVOT TABLES'!$P$27-'PIVOT TABLES'!$P$26</f>
        <v>31.320000000000007</v>
      </c>
      <c r="S871" s="14">
        <f>'PIVOT TABLES'!$P$28-'PIVOT TABLES'!$P$27</f>
        <v>31.319999999999993</v>
      </c>
      <c r="T871" s="14">
        <f>200-SUM(Table3[[#This Row],[W - LIGHT]:[W - VIGOROUS]])</f>
        <v>74.72</v>
      </c>
      <c r="U871" s="14">
        <f>'PIVOT TABLES'!$W$26</f>
        <v>55.895999999999994</v>
      </c>
      <c r="V871" s="14">
        <f>'PIVOT TABLES'!$W$27-'PIVOT TABLES'!$W$26</f>
        <v>27.948</v>
      </c>
      <c r="W871" s="14">
        <f>'PIVOT TABLES'!$W$28-'PIVOT TABLES'!$W$27</f>
        <v>27.947999999999993</v>
      </c>
      <c r="X871" s="14">
        <f>200-SUM(Table3[[#This Row],[S - LIGHT]:[S - VIGOROUS]])</f>
        <v>88.208000000000013</v>
      </c>
    </row>
    <row r="872" spans="1:24" x14ac:dyDescent="0.25">
      <c r="A872" s="17" t="s">
        <v>7</v>
      </c>
      <c r="B872" s="13" t="str">
        <f t="shared" si="13"/>
        <v>Winger</v>
      </c>
      <c r="C872" s="7">
        <v>45349.430358796293</v>
      </c>
      <c r="D872" s="14">
        <v>8331</v>
      </c>
      <c r="E872" s="14">
        <v>62</v>
      </c>
      <c r="F872" s="14">
        <v>49</v>
      </c>
      <c r="G872" s="14">
        <v>58</v>
      </c>
      <c r="H872" s="14">
        <v>88.29</v>
      </c>
      <c r="I872" s="14">
        <f>'PIVOT TABLES'!$B$26</f>
        <v>60.283999999999999</v>
      </c>
      <c r="J872" s="14">
        <f>'PIVOT TABLES'!$B$27-'PIVOT TABLES'!$B$26</f>
        <v>30.142000000000003</v>
      </c>
      <c r="K872" s="14">
        <f>'PIVOT TABLES'!$B$28-'PIVOT TABLES'!$B$27</f>
        <v>30.141999999999996</v>
      </c>
      <c r="L872" s="14">
        <f>200-SUM(Table3[[#This Row],[D - LIGHT]:[D - VIGOROUS]])</f>
        <v>79.432000000000002</v>
      </c>
      <c r="M872" s="14">
        <f>'PIVOT TABLES'!$I$26</f>
        <v>65.603999999999999</v>
      </c>
      <c r="N872" s="14">
        <f>'PIVOT TABLES'!$I$27-'PIVOT TABLES'!$I$26</f>
        <v>32.802000000000007</v>
      </c>
      <c r="O872" s="14">
        <f>'PIVOT TABLES'!$I$28-'PIVOT TABLES'!$I$27</f>
        <v>32.801999999999992</v>
      </c>
      <c r="P872" s="14">
        <f>200-SUM(Table3[[#This Row],[M - LIGHT]:[M - VIGOROUS]])</f>
        <v>68.792000000000002</v>
      </c>
      <c r="Q872" s="14">
        <f>'PIVOT TABLES'!$P$26</f>
        <v>62.64</v>
      </c>
      <c r="R872" s="14">
        <f>'PIVOT TABLES'!$P$27-'PIVOT TABLES'!$P$26</f>
        <v>31.320000000000007</v>
      </c>
      <c r="S872" s="14">
        <f>'PIVOT TABLES'!$P$28-'PIVOT TABLES'!$P$27</f>
        <v>31.319999999999993</v>
      </c>
      <c r="T872" s="14">
        <f>200-SUM(Table3[[#This Row],[W - LIGHT]:[W - VIGOROUS]])</f>
        <v>74.72</v>
      </c>
      <c r="U872" s="14">
        <f>'PIVOT TABLES'!$W$26</f>
        <v>55.895999999999994</v>
      </c>
      <c r="V872" s="14">
        <f>'PIVOT TABLES'!$W$27-'PIVOT TABLES'!$W$26</f>
        <v>27.948</v>
      </c>
      <c r="W872" s="14">
        <f>'PIVOT TABLES'!$W$28-'PIVOT TABLES'!$W$27</f>
        <v>27.947999999999993</v>
      </c>
      <c r="X872" s="14">
        <f>200-SUM(Table3[[#This Row],[S - LIGHT]:[S - VIGOROUS]])</f>
        <v>88.208000000000013</v>
      </c>
    </row>
    <row r="873" spans="1:24" x14ac:dyDescent="0.25">
      <c r="A873" s="17" t="s">
        <v>8</v>
      </c>
      <c r="B873" s="13" t="str">
        <f t="shared" si="13"/>
        <v>Striker</v>
      </c>
      <c r="C873" s="7">
        <v>45349.430358796293</v>
      </c>
      <c r="D873" s="14">
        <v>8912</v>
      </c>
      <c r="E873" s="14">
        <v>59</v>
      </c>
      <c r="F873" s="14">
        <v>29</v>
      </c>
      <c r="G873" s="14">
        <v>45</v>
      </c>
      <c r="H873" s="14">
        <v>92.95</v>
      </c>
      <c r="I873" s="14">
        <f>'PIVOT TABLES'!$B$26</f>
        <v>60.283999999999999</v>
      </c>
      <c r="J873" s="14">
        <f>'PIVOT TABLES'!$B$27-'PIVOT TABLES'!$B$26</f>
        <v>30.142000000000003</v>
      </c>
      <c r="K873" s="14">
        <f>'PIVOT TABLES'!$B$28-'PIVOT TABLES'!$B$27</f>
        <v>30.141999999999996</v>
      </c>
      <c r="L873" s="14">
        <f>200-SUM(Table3[[#This Row],[D - LIGHT]:[D - VIGOROUS]])</f>
        <v>79.432000000000002</v>
      </c>
      <c r="M873" s="14">
        <f>'PIVOT TABLES'!$I$26</f>
        <v>65.603999999999999</v>
      </c>
      <c r="N873" s="14">
        <f>'PIVOT TABLES'!$I$27-'PIVOT TABLES'!$I$26</f>
        <v>32.802000000000007</v>
      </c>
      <c r="O873" s="14">
        <f>'PIVOT TABLES'!$I$28-'PIVOT TABLES'!$I$27</f>
        <v>32.801999999999992</v>
      </c>
      <c r="P873" s="14">
        <f>200-SUM(Table3[[#This Row],[M - LIGHT]:[M - VIGOROUS]])</f>
        <v>68.792000000000002</v>
      </c>
      <c r="Q873" s="14">
        <f>'PIVOT TABLES'!$P$26</f>
        <v>62.64</v>
      </c>
      <c r="R873" s="14">
        <f>'PIVOT TABLES'!$P$27-'PIVOT TABLES'!$P$26</f>
        <v>31.320000000000007</v>
      </c>
      <c r="S873" s="14">
        <f>'PIVOT TABLES'!$P$28-'PIVOT TABLES'!$P$27</f>
        <v>31.319999999999993</v>
      </c>
      <c r="T873" s="14">
        <f>200-SUM(Table3[[#This Row],[W - LIGHT]:[W - VIGOROUS]])</f>
        <v>74.72</v>
      </c>
      <c r="U873" s="14">
        <f>'PIVOT TABLES'!$W$26</f>
        <v>55.895999999999994</v>
      </c>
      <c r="V873" s="14">
        <f>'PIVOT TABLES'!$W$27-'PIVOT TABLES'!$W$26</f>
        <v>27.948</v>
      </c>
      <c r="W873" s="14">
        <f>'PIVOT TABLES'!$W$28-'PIVOT TABLES'!$W$27</f>
        <v>27.947999999999993</v>
      </c>
      <c r="X873" s="14">
        <f>200-SUM(Table3[[#This Row],[S - LIGHT]:[S - VIGOROUS]])</f>
        <v>88.208000000000013</v>
      </c>
    </row>
    <row r="874" spans="1:24" x14ac:dyDescent="0.25">
      <c r="A874" s="17" t="s">
        <v>67</v>
      </c>
      <c r="B874" s="13" t="str">
        <f t="shared" si="13"/>
        <v>Midfielder</v>
      </c>
      <c r="C874" s="7">
        <v>45349.430358796293</v>
      </c>
      <c r="D874" s="14">
        <v>8781</v>
      </c>
      <c r="E874" s="14">
        <v>7</v>
      </c>
      <c r="F874" s="14">
        <v>55</v>
      </c>
      <c r="G874" s="14">
        <v>47</v>
      </c>
      <c r="H874" s="14">
        <v>91.16</v>
      </c>
      <c r="I874" s="14">
        <f>'PIVOT TABLES'!$B$26</f>
        <v>60.283999999999999</v>
      </c>
      <c r="J874" s="14">
        <f>'PIVOT TABLES'!$B$27-'PIVOT TABLES'!$B$26</f>
        <v>30.142000000000003</v>
      </c>
      <c r="K874" s="14">
        <f>'PIVOT TABLES'!$B$28-'PIVOT TABLES'!$B$27</f>
        <v>30.141999999999996</v>
      </c>
      <c r="L874" s="14">
        <f>200-SUM(Table3[[#This Row],[D - LIGHT]:[D - VIGOROUS]])</f>
        <v>79.432000000000002</v>
      </c>
      <c r="M874" s="14">
        <f>'PIVOT TABLES'!$I$26</f>
        <v>65.603999999999999</v>
      </c>
      <c r="N874" s="14">
        <f>'PIVOT TABLES'!$I$27-'PIVOT TABLES'!$I$26</f>
        <v>32.802000000000007</v>
      </c>
      <c r="O874" s="14">
        <f>'PIVOT TABLES'!$I$28-'PIVOT TABLES'!$I$27</f>
        <v>32.801999999999992</v>
      </c>
      <c r="P874" s="14">
        <f>200-SUM(Table3[[#This Row],[M - LIGHT]:[M - VIGOROUS]])</f>
        <v>68.792000000000002</v>
      </c>
      <c r="Q874" s="14">
        <f>'PIVOT TABLES'!$P$26</f>
        <v>62.64</v>
      </c>
      <c r="R874" s="14">
        <f>'PIVOT TABLES'!$P$27-'PIVOT TABLES'!$P$26</f>
        <v>31.320000000000007</v>
      </c>
      <c r="S874" s="14">
        <f>'PIVOT TABLES'!$P$28-'PIVOT TABLES'!$P$27</f>
        <v>31.319999999999993</v>
      </c>
      <c r="T874" s="14">
        <f>200-SUM(Table3[[#This Row],[W - LIGHT]:[W - VIGOROUS]])</f>
        <v>74.72</v>
      </c>
      <c r="U874" s="14">
        <f>'PIVOT TABLES'!$W$26</f>
        <v>55.895999999999994</v>
      </c>
      <c r="V874" s="14">
        <f>'PIVOT TABLES'!$W$27-'PIVOT TABLES'!$W$26</f>
        <v>27.948</v>
      </c>
      <c r="W874" s="14">
        <f>'PIVOT TABLES'!$W$28-'PIVOT TABLES'!$W$27</f>
        <v>27.947999999999993</v>
      </c>
      <c r="X874" s="14">
        <f>200-SUM(Table3[[#This Row],[S - LIGHT]:[S - VIGOROUS]])</f>
        <v>88.208000000000013</v>
      </c>
    </row>
    <row r="875" spans="1:24" x14ac:dyDescent="0.25">
      <c r="A875" s="17" t="s">
        <v>9</v>
      </c>
      <c r="B875" s="13" t="str">
        <f t="shared" si="13"/>
        <v>Striker</v>
      </c>
      <c r="C875" s="7">
        <v>45349.430358796293</v>
      </c>
      <c r="D875" s="14">
        <v>9010</v>
      </c>
      <c r="E875" s="14">
        <v>31</v>
      </c>
      <c r="F875" s="14">
        <v>41</v>
      </c>
      <c r="G875" s="14">
        <v>31</v>
      </c>
      <c r="H875" s="14">
        <v>93.29</v>
      </c>
      <c r="I875" s="14">
        <f>'PIVOT TABLES'!$B$26</f>
        <v>60.283999999999999</v>
      </c>
      <c r="J875" s="14">
        <f>'PIVOT TABLES'!$B$27-'PIVOT TABLES'!$B$26</f>
        <v>30.142000000000003</v>
      </c>
      <c r="K875" s="14">
        <f>'PIVOT TABLES'!$B$28-'PIVOT TABLES'!$B$27</f>
        <v>30.141999999999996</v>
      </c>
      <c r="L875" s="14">
        <f>200-SUM(Table3[[#This Row],[D - LIGHT]:[D - VIGOROUS]])</f>
        <v>79.432000000000002</v>
      </c>
      <c r="M875" s="14">
        <f>'PIVOT TABLES'!$I$26</f>
        <v>65.603999999999999</v>
      </c>
      <c r="N875" s="14">
        <f>'PIVOT TABLES'!$I$27-'PIVOT TABLES'!$I$26</f>
        <v>32.802000000000007</v>
      </c>
      <c r="O875" s="14">
        <f>'PIVOT TABLES'!$I$28-'PIVOT TABLES'!$I$27</f>
        <v>32.801999999999992</v>
      </c>
      <c r="P875" s="14">
        <f>200-SUM(Table3[[#This Row],[M - LIGHT]:[M - VIGOROUS]])</f>
        <v>68.792000000000002</v>
      </c>
      <c r="Q875" s="14">
        <f>'PIVOT TABLES'!$P$26</f>
        <v>62.64</v>
      </c>
      <c r="R875" s="14">
        <f>'PIVOT TABLES'!$P$27-'PIVOT TABLES'!$P$26</f>
        <v>31.320000000000007</v>
      </c>
      <c r="S875" s="14">
        <f>'PIVOT TABLES'!$P$28-'PIVOT TABLES'!$P$27</f>
        <v>31.319999999999993</v>
      </c>
      <c r="T875" s="14">
        <f>200-SUM(Table3[[#This Row],[W - LIGHT]:[W - VIGOROUS]])</f>
        <v>74.72</v>
      </c>
      <c r="U875" s="14">
        <f>'PIVOT TABLES'!$W$26</f>
        <v>55.895999999999994</v>
      </c>
      <c r="V875" s="14">
        <f>'PIVOT TABLES'!$W$27-'PIVOT TABLES'!$W$26</f>
        <v>27.948</v>
      </c>
      <c r="W875" s="14">
        <f>'PIVOT TABLES'!$W$28-'PIVOT TABLES'!$W$27</f>
        <v>27.947999999999993</v>
      </c>
      <c r="X875" s="14">
        <f>200-SUM(Table3[[#This Row],[S - LIGHT]:[S - VIGOROUS]])</f>
        <v>88.208000000000013</v>
      </c>
    </row>
    <row r="876" spans="1:24" x14ac:dyDescent="0.25">
      <c r="A876" s="17" t="s">
        <v>69</v>
      </c>
      <c r="B876" s="13" t="str">
        <f t="shared" si="13"/>
        <v>Midfielder</v>
      </c>
      <c r="C876" s="7">
        <v>45349.430358796293</v>
      </c>
      <c r="D876" s="14">
        <v>8673</v>
      </c>
      <c r="E876" s="14">
        <v>0</v>
      </c>
      <c r="F876" s="14">
        <v>30</v>
      </c>
      <c r="G876" s="14">
        <v>42</v>
      </c>
      <c r="H876" s="14">
        <v>88.77</v>
      </c>
      <c r="I876" s="14">
        <f>'PIVOT TABLES'!$B$26</f>
        <v>60.283999999999999</v>
      </c>
      <c r="J876" s="14">
        <f>'PIVOT TABLES'!$B$27-'PIVOT TABLES'!$B$26</f>
        <v>30.142000000000003</v>
      </c>
      <c r="K876" s="14">
        <f>'PIVOT TABLES'!$B$28-'PIVOT TABLES'!$B$27</f>
        <v>30.141999999999996</v>
      </c>
      <c r="L876" s="14">
        <f>200-SUM(Table3[[#This Row],[D - LIGHT]:[D - VIGOROUS]])</f>
        <v>79.432000000000002</v>
      </c>
      <c r="M876" s="14">
        <f>'PIVOT TABLES'!$I$26</f>
        <v>65.603999999999999</v>
      </c>
      <c r="N876" s="14">
        <f>'PIVOT TABLES'!$I$27-'PIVOT TABLES'!$I$26</f>
        <v>32.802000000000007</v>
      </c>
      <c r="O876" s="14">
        <f>'PIVOT TABLES'!$I$28-'PIVOT TABLES'!$I$27</f>
        <v>32.801999999999992</v>
      </c>
      <c r="P876" s="14">
        <f>200-SUM(Table3[[#This Row],[M - LIGHT]:[M - VIGOROUS]])</f>
        <v>68.792000000000002</v>
      </c>
      <c r="Q876" s="14">
        <f>'PIVOT TABLES'!$P$26</f>
        <v>62.64</v>
      </c>
      <c r="R876" s="14">
        <f>'PIVOT TABLES'!$P$27-'PIVOT TABLES'!$P$26</f>
        <v>31.320000000000007</v>
      </c>
      <c r="S876" s="14">
        <f>'PIVOT TABLES'!$P$28-'PIVOT TABLES'!$P$27</f>
        <v>31.319999999999993</v>
      </c>
      <c r="T876" s="14">
        <f>200-SUM(Table3[[#This Row],[W - LIGHT]:[W - VIGOROUS]])</f>
        <v>74.72</v>
      </c>
      <c r="U876" s="14">
        <f>'PIVOT TABLES'!$W$26</f>
        <v>55.895999999999994</v>
      </c>
      <c r="V876" s="14">
        <f>'PIVOT TABLES'!$W$27-'PIVOT TABLES'!$W$26</f>
        <v>27.948</v>
      </c>
      <c r="W876" s="14">
        <f>'PIVOT TABLES'!$W$28-'PIVOT TABLES'!$W$27</f>
        <v>27.947999999999993</v>
      </c>
      <c r="X876" s="14">
        <f>200-SUM(Table3[[#This Row],[S - LIGHT]:[S - VIGOROUS]])</f>
        <v>88.208000000000013</v>
      </c>
    </row>
    <row r="877" spans="1:24" x14ac:dyDescent="0.25">
      <c r="A877" s="17" t="s">
        <v>55</v>
      </c>
      <c r="B877" s="13" t="str">
        <f t="shared" si="13"/>
        <v>Striker</v>
      </c>
      <c r="C877" s="7">
        <v>45350.415567129632</v>
      </c>
      <c r="D877" s="14">
        <v>6052</v>
      </c>
      <c r="E877" s="14">
        <v>135</v>
      </c>
      <c r="F877" s="14">
        <v>15</v>
      </c>
      <c r="G877" s="14">
        <v>17</v>
      </c>
      <c r="H877" s="14">
        <v>97.01</v>
      </c>
      <c r="I877" s="14">
        <f>'PIVOT TABLES'!$B$26</f>
        <v>60.283999999999999</v>
      </c>
      <c r="J877" s="14">
        <f>'PIVOT TABLES'!$B$27-'PIVOT TABLES'!$B$26</f>
        <v>30.142000000000003</v>
      </c>
      <c r="K877" s="14">
        <f>'PIVOT TABLES'!$B$28-'PIVOT TABLES'!$B$27</f>
        <v>30.141999999999996</v>
      </c>
      <c r="L877" s="14">
        <f>200-SUM(Table3[[#This Row],[D - LIGHT]:[D - VIGOROUS]])</f>
        <v>79.432000000000002</v>
      </c>
      <c r="M877" s="14">
        <f>'PIVOT TABLES'!$I$26</f>
        <v>65.603999999999999</v>
      </c>
      <c r="N877" s="14">
        <f>'PIVOT TABLES'!$I$27-'PIVOT TABLES'!$I$26</f>
        <v>32.802000000000007</v>
      </c>
      <c r="O877" s="14">
        <f>'PIVOT TABLES'!$I$28-'PIVOT TABLES'!$I$27</f>
        <v>32.801999999999992</v>
      </c>
      <c r="P877" s="14">
        <f>200-SUM(Table3[[#This Row],[M - LIGHT]:[M - VIGOROUS]])</f>
        <v>68.792000000000002</v>
      </c>
      <c r="Q877" s="14">
        <f>'PIVOT TABLES'!$P$26</f>
        <v>62.64</v>
      </c>
      <c r="R877" s="14">
        <f>'PIVOT TABLES'!$P$27-'PIVOT TABLES'!$P$26</f>
        <v>31.320000000000007</v>
      </c>
      <c r="S877" s="14">
        <f>'PIVOT TABLES'!$P$28-'PIVOT TABLES'!$P$27</f>
        <v>31.319999999999993</v>
      </c>
      <c r="T877" s="14">
        <f>200-SUM(Table3[[#This Row],[W - LIGHT]:[W - VIGOROUS]])</f>
        <v>74.72</v>
      </c>
      <c r="U877" s="14">
        <f>'PIVOT TABLES'!$W$26</f>
        <v>55.895999999999994</v>
      </c>
      <c r="V877" s="14">
        <f>'PIVOT TABLES'!$W$27-'PIVOT TABLES'!$W$26</f>
        <v>27.948</v>
      </c>
      <c r="W877" s="14">
        <f>'PIVOT TABLES'!$W$28-'PIVOT TABLES'!$W$27</f>
        <v>27.947999999999993</v>
      </c>
      <c r="X877" s="14">
        <f>200-SUM(Table3[[#This Row],[S - LIGHT]:[S - VIGOROUS]])</f>
        <v>88.208000000000013</v>
      </c>
    </row>
    <row r="878" spans="1:24" x14ac:dyDescent="0.25">
      <c r="A878" s="17" t="s">
        <v>1</v>
      </c>
      <c r="B878" s="13" t="str">
        <f t="shared" si="13"/>
        <v>Defender</v>
      </c>
      <c r="C878" s="7">
        <v>45350.415567129632</v>
      </c>
      <c r="D878" s="14">
        <v>7131</v>
      </c>
      <c r="E878" s="14">
        <v>46</v>
      </c>
      <c r="F878" s="14">
        <v>27</v>
      </c>
      <c r="G878" s="14">
        <v>17</v>
      </c>
      <c r="H878" s="14">
        <v>105.61</v>
      </c>
      <c r="I878" s="14">
        <f>'PIVOT TABLES'!$B$26</f>
        <v>60.283999999999999</v>
      </c>
      <c r="J878" s="14">
        <f>'PIVOT TABLES'!$B$27-'PIVOT TABLES'!$B$26</f>
        <v>30.142000000000003</v>
      </c>
      <c r="K878" s="14">
        <f>'PIVOT TABLES'!$B$28-'PIVOT TABLES'!$B$27</f>
        <v>30.141999999999996</v>
      </c>
      <c r="L878" s="14">
        <f>200-SUM(Table3[[#This Row],[D - LIGHT]:[D - VIGOROUS]])</f>
        <v>79.432000000000002</v>
      </c>
      <c r="M878" s="14">
        <f>'PIVOT TABLES'!$I$26</f>
        <v>65.603999999999999</v>
      </c>
      <c r="N878" s="14">
        <f>'PIVOT TABLES'!$I$27-'PIVOT TABLES'!$I$26</f>
        <v>32.802000000000007</v>
      </c>
      <c r="O878" s="14">
        <f>'PIVOT TABLES'!$I$28-'PIVOT TABLES'!$I$27</f>
        <v>32.801999999999992</v>
      </c>
      <c r="P878" s="14">
        <f>200-SUM(Table3[[#This Row],[M - LIGHT]:[M - VIGOROUS]])</f>
        <v>68.792000000000002</v>
      </c>
      <c r="Q878" s="14">
        <f>'PIVOT TABLES'!$P$26</f>
        <v>62.64</v>
      </c>
      <c r="R878" s="14">
        <f>'PIVOT TABLES'!$P$27-'PIVOT TABLES'!$P$26</f>
        <v>31.320000000000007</v>
      </c>
      <c r="S878" s="14">
        <f>'PIVOT TABLES'!$P$28-'PIVOT TABLES'!$P$27</f>
        <v>31.319999999999993</v>
      </c>
      <c r="T878" s="14">
        <f>200-SUM(Table3[[#This Row],[W - LIGHT]:[W - VIGOROUS]])</f>
        <v>74.72</v>
      </c>
      <c r="U878" s="14">
        <f>'PIVOT TABLES'!$W$26</f>
        <v>55.895999999999994</v>
      </c>
      <c r="V878" s="14">
        <f>'PIVOT TABLES'!$W$27-'PIVOT TABLES'!$W$26</f>
        <v>27.948</v>
      </c>
      <c r="W878" s="14">
        <f>'PIVOT TABLES'!$W$28-'PIVOT TABLES'!$W$27</f>
        <v>27.947999999999993</v>
      </c>
      <c r="X878" s="14">
        <f>200-SUM(Table3[[#This Row],[S - LIGHT]:[S - VIGOROUS]])</f>
        <v>88.208000000000013</v>
      </c>
    </row>
    <row r="879" spans="1:24" x14ac:dyDescent="0.25">
      <c r="A879" s="17" t="s">
        <v>56</v>
      </c>
      <c r="B879" s="13" t="str">
        <f t="shared" si="13"/>
        <v>Midfielder</v>
      </c>
      <c r="C879" s="7">
        <v>45350.415567129632</v>
      </c>
      <c r="D879" s="14">
        <v>8842</v>
      </c>
      <c r="E879" s="14">
        <v>20</v>
      </c>
      <c r="F879" s="14">
        <v>21</v>
      </c>
      <c r="G879" s="14">
        <v>10</v>
      </c>
      <c r="H879" s="14">
        <v>121.56</v>
      </c>
      <c r="I879" s="14">
        <f>'PIVOT TABLES'!$B$26</f>
        <v>60.283999999999999</v>
      </c>
      <c r="J879" s="14">
        <f>'PIVOT TABLES'!$B$27-'PIVOT TABLES'!$B$26</f>
        <v>30.142000000000003</v>
      </c>
      <c r="K879" s="14">
        <f>'PIVOT TABLES'!$B$28-'PIVOT TABLES'!$B$27</f>
        <v>30.141999999999996</v>
      </c>
      <c r="L879" s="14">
        <f>200-SUM(Table3[[#This Row],[D - LIGHT]:[D - VIGOROUS]])</f>
        <v>79.432000000000002</v>
      </c>
      <c r="M879" s="14">
        <f>'PIVOT TABLES'!$I$26</f>
        <v>65.603999999999999</v>
      </c>
      <c r="N879" s="14">
        <f>'PIVOT TABLES'!$I$27-'PIVOT TABLES'!$I$26</f>
        <v>32.802000000000007</v>
      </c>
      <c r="O879" s="14">
        <f>'PIVOT TABLES'!$I$28-'PIVOT TABLES'!$I$27</f>
        <v>32.801999999999992</v>
      </c>
      <c r="P879" s="14">
        <f>200-SUM(Table3[[#This Row],[M - LIGHT]:[M - VIGOROUS]])</f>
        <v>68.792000000000002</v>
      </c>
      <c r="Q879" s="14">
        <f>'PIVOT TABLES'!$P$26</f>
        <v>62.64</v>
      </c>
      <c r="R879" s="14">
        <f>'PIVOT TABLES'!$P$27-'PIVOT TABLES'!$P$26</f>
        <v>31.320000000000007</v>
      </c>
      <c r="S879" s="14">
        <f>'PIVOT TABLES'!$P$28-'PIVOT TABLES'!$P$27</f>
        <v>31.319999999999993</v>
      </c>
      <c r="T879" s="14">
        <f>200-SUM(Table3[[#This Row],[W - LIGHT]:[W - VIGOROUS]])</f>
        <v>74.72</v>
      </c>
      <c r="U879" s="14">
        <f>'PIVOT TABLES'!$W$26</f>
        <v>55.895999999999994</v>
      </c>
      <c r="V879" s="14">
        <f>'PIVOT TABLES'!$W$27-'PIVOT TABLES'!$W$26</f>
        <v>27.948</v>
      </c>
      <c r="W879" s="14">
        <f>'PIVOT TABLES'!$W$28-'PIVOT TABLES'!$W$27</f>
        <v>27.947999999999993</v>
      </c>
      <c r="X879" s="14">
        <f>200-SUM(Table3[[#This Row],[S - LIGHT]:[S - VIGOROUS]])</f>
        <v>88.208000000000013</v>
      </c>
    </row>
    <row r="880" spans="1:24" x14ac:dyDescent="0.25">
      <c r="A880" s="17" t="s">
        <v>2</v>
      </c>
      <c r="B880" s="13" t="str">
        <f t="shared" si="13"/>
        <v>Defender</v>
      </c>
      <c r="C880" s="7">
        <v>45350.415567129632</v>
      </c>
      <c r="D880" s="14">
        <v>6504</v>
      </c>
      <c r="E880" s="14">
        <v>144</v>
      </c>
      <c r="F880" s="14">
        <v>26</v>
      </c>
      <c r="G880" s="14">
        <v>27</v>
      </c>
      <c r="H880" s="14">
        <v>102.44</v>
      </c>
      <c r="I880" s="14">
        <f>'PIVOT TABLES'!$B$26</f>
        <v>60.283999999999999</v>
      </c>
      <c r="J880" s="14">
        <f>'PIVOT TABLES'!$B$27-'PIVOT TABLES'!$B$26</f>
        <v>30.142000000000003</v>
      </c>
      <c r="K880" s="14">
        <f>'PIVOT TABLES'!$B$28-'PIVOT TABLES'!$B$27</f>
        <v>30.141999999999996</v>
      </c>
      <c r="L880" s="14">
        <f>200-SUM(Table3[[#This Row],[D - LIGHT]:[D - VIGOROUS]])</f>
        <v>79.432000000000002</v>
      </c>
      <c r="M880" s="14">
        <f>'PIVOT TABLES'!$I$26</f>
        <v>65.603999999999999</v>
      </c>
      <c r="N880" s="14">
        <f>'PIVOT TABLES'!$I$27-'PIVOT TABLES'!$I$26</f>
        <v>32.802000000000007</v>
      </c>
      <c r="O880" s="14">
        <f>'PIVOT TABLES'!$I$28-'PIVOT TABLES'!$I$27</f>
        <v>32.801999999999992</v>
      </c>
      <c r="P880" s="14">
        <f>200-SUM(Table3[[#This Row],[M - LIGHT]:[M - VIGOROUS]])</f>
        <v>68.792000000000002</v>
      </c>
      <c r="Q880" s="14">
        <f>'PIVOT TABLES'!$P$26</f>
        <v>62.64</v>
      </c>
      <c r="R880" s="14">
        <f>'PIVOT TABLES'!$P$27-'PIVOT TABLES'!$P$26</f>
        <v>31.320000000000007</v>
      </c>
      <c r="S880" s="14">
        <f>'PIVOT TABLES'!$P$28-'PIVOT TABLES'!$P$27</f>
        <v>31.319999999999993</v>
      </c>
      <c r="T880" s="14">
        <f>200-SUM(Table3[[#This Row],[W - LIGHT]:[W - VIGOROUS]])</f>
        <v>74.72</v>
      </c>
      <c r="U880" s="14">
        <f>'PIVOT TABLES'!$W$26</f>
        <v>55.895999999999994</v>
      </c>
      <c r="V880" s="14">
        <f>'PIVOT TABLES'!$W$27-'PIVOT TABLES'!$W$26</f>
        <v>27.948</v>
      </c>
      <c r="W880" s="14">
        <f>'PIVOT TABLES'!$W$28-'PIVOT TABLES'!$W$27</f>
        <v>27.947999999999993</v>
      </c>
      <c r="X880" s="14">
        <f>200-SUM(Table3[[#This Row],[S - LIGHT]:[S - VIGOROUS]])</f>
        <v>88.208000000000013</v>
      </c>
    </row>
    <row r="881" spans="1:24" x14ac:dyDescent="0.25">
      <c r="A881" s="17" t="s">
        <v>58</v>
      </c>
      <c r="B881" s="13" t="str">
        <f t="shared" si="13"/>
        <v>Defender</v>
      </c>
      <c r="C881" s="7">
        <v>45350.415567129632</v>
      </c>
      <c r="D881" s="14">
        <v>7710</v>
      </c>
      <c r="E881" s="14">
        <v>173</v>
      </c>
      <c r="F881" s="14">
        <v>25</v>
      </c>
      <c r="G881" s="14">
        <v>13</v>
      </c>
      <c r="H881" s="14">
        <v>115.05</v>
      </c>
      <c r="I881" s="14">
        <f>'PIVOT TABLES'!$B$26</f>
        <v>60.283999999999999</v>
      </c>
      <c r="J881" s="14">
        <f>'PIVOT TABLES'!$B$27-'PIVOT TABLES'!$B$26</f>
        <v>30.142000000000003</v>
      </c>
      <c r="K881" s="14">
        <f>'PIVOT TABLES'!$B$28-'PIVOT TABLES'!$B$27</f>
        <v>30.141999999999996</v>
      </c>
      <c r="L881" s="14">
        <f>200-SUM(Table3[[#This Row],[D - LIGHT]:[D - VIGOROUS]])</f>
        <v>79.432000000000002</v>
      </c>
      <c r="M881" s="14">
        <f>'PIVOT TABLES'!$I$26</f>
        <v>65.603999999999999</v>
      </c>
      <c r="N881" s="14">
        <f>'PIVOT TABLES'!$I$27-'PIVOT TABLES'!$I$26</f>
        <v>32.802000000000007</v>
      </c>
      <c r="O881" s="14">
        <f>'PIVOT TABLES'!$I$28-'PIVOT TABLES'!$I$27</f>
        <v>32.801999999999992</v>
      </c>
      <c r="P881" s="14">
        <f>200-SUM(Table3[[#This Row],[M - LIGHT]:[M - VIGOROUS]])</f>
        <v>68.792000000000002</v>
      </c>
      <c r="Q881" s="14">
        <f>'PIVOT TABLES'!$P$26</f>
        <v>62.64</v>
      </c>
      <c r="R881" s="14">
        <f>'PIVOT TABLES'!$P$27-'PIVOT TABLES'!$P$26</f>
        <v>31.320000000000007</v>
      </c>
      <c r="S881" s="14">
        <f>'PIVOT TABLES'!$P$28-'PIVOT TABLES'!$P$27</f>
        <v>31.319999999999993</v>
      </c>
      <c r="T881" s="14">
        <f>200-SUM(Table3[[#This Row],[W - LIGHT]:[W - VIGOROUS]])</f>
        <v>74.72</v>
      </c>
      <c r="U881" s="14">
        <f>'PIVOT TABLES'!$W$26</f>
        <v>55.895999999999994</v>
      </c>
      <c r="V881" s="14">
        <f>'PIVOT TABLES'!$W$27-'PIVOT TABLES'!$W$26</f>
        <v>27.948</v>
      </c>
      <c r="W881" s="14">
        <f>'PIVOT TABLES'!$W$28-'PIVOT TABLES'!$W$27</f>
        <v>27.947999999999993</v>
      </c>
      <c r="X881" s="14">
        <f>200-SUM(Table3[[#This Row],[S - LIGHT]:[S - VIGOROUS]])</f>
        <v>88.208000000000013</v>
      </c>
    </row>
    <row r="882" spans="1:24" x14ac:dyDescent="0.25">
      <c r="A882" s="17" t="s">
        <v>94</v>
      </c>
      <c r="B882" s="13" t="str">
        <f t="shared" si="13"/>
        <v>Defender</v>
      </c>
      <c r="C882" s="7">
        <v>45350.415567129632</v>
      </c>
      <c r="D882" s="14">
        <v>7215</v>
      </c>
      <c r="E882" s="14">
        <v>95</v>
      </c>
      <c r="F882" s="14">
        <v>12</v>
      </c>
      <c r="G882" s="14">
        <v>19</v>
      </c>
      <c r="H882" s="14">
        <v>107.36</v>
      </c>
      <c r="I882" s="14">
        <f>'PIVOT TABLES'!$B$26</f>
        <v>60.283999999999999</v>
      </c>
      <c r="J882" s="14">
        <f>'PIVOT TABLES'!$B$27-'PIVOT TABLES'!$B$26</f>
        <v>30.142000000000003</v>
      </c>
      <c r="K882" s="14">
        <f>'PIVOT TABLES'!$B$28-'PIVOT TABLES'!$B$27</f>
        <v>30.141999999999996</v>
      </c>
      <c r="L882" s="14">
        <f>200-SUM(Table3[[#This Row],[D - LIGHT]:[D - VIGOROUS]])</f>
        <v>79.432000000000002</v>
      </c>
      <c r="M882" s="14">
        <f>'PIVOT TABLES'!$I$26</f>
        <v>65.603999999999999</v>
      </c>
      <c r="N882" s="14">
        <f>'PIVOT TABLES'!$I$27-'PIVOT TABLES'!$I$26</f>
        <v>32.802000000000007</v>
      </c>
      <c r="O882" s="14">
        <f>'PIVOT TABLES'!$I$28-'PIVOT TABLES'!$I$27</f>
        <v>32.801999999999992</v>
      </c>
      <c r="P882" s="14">
        <f>200-SUM(Table3[[#This Row],[M - LIGHT]:[M - VIGOROUS]])</f>
        <v>68.792000000000002</v>
      </c>
      <c r="Q882" s="14">
        <f>'PIVOT TABLES'!$P$26</f>
        <v>62.64</v>
      </c>
      <c r="R882" s="14">
        <f>'PIVOT TABLES'!$P$27-'PIVOT TABLES'!$P$26</f>
        <v>31.320000000000007</v>
      </c>
      <c r="S882" s="14">
        <f>'PIVOT TABLES'!$P$28-'PIVOT TABLES'!$P$27</f>
        <v>31.319999999999993</v>
      </c>
      <c r="T882" s="14">
        <f>200-SUM(Table3[[#This Row],[W - LIGHT]:[W - VIGOROUS]])</f>
        <v>74.72</v>
      </c>
      <c r="U882" s="14">
        <f>'PIVOT TABLES'!$W$26</f>
        <v>55.895999999999994</v>
      </c>
      <c r="V882" s="14">
        <f>'PIVOT TABLES'!$W$27-'PIVOT TABLES'!$W$26</f>
        <v>27.948</v>
      </c>
      <c r="W882" s="14">
        <f>'PIVOT TABLES'!$W$28-'PIVOT TABLES'!$W$27</f>
        <v>27.947999999999993</v>
      </c>
      <c r="X882" s="14">
        <f>200-SUM(Table3[[#This Row],[S - LIGHT]:[S - VIGOROUS]])</f>
        <v>88.208000000000013</v>
      </c>
    </row>
    <row r="883" spans="1:24" x14ac:dyDescent="0.25">
      <c r="A883" s="17" t="s">
        <v>3</v>
      </c>
      <c r="B883" s="13" t="str">
        <f t="shared" si="13"/>
        <v>Defender</v>
      </c>
      <c r="C883" s="7">
        <v>45350.415567129632</v>
      </c>
      <c r="D883" s="14">
        <v>6965</v>
      </c>
      <c r="E883" s="14">
        <v>99</v>
      </c>
      <c r="F883" s="14">
        <v>28</v>
      </c>
      <c r="G883" s="14">
        <v>30</v>
      </c>
      <c r="H883" s="14">
        <v>105.84</v>
      </c>
      <c r="I883" s="14">
        <f>'PIVOT TABLES'!$B$26</f>
        <v>60.283999999999999</v>
      </c>
      <c r="J883" s="14">
        <f>'PIVOT TABLES'!$B$27-'PIVOT TABLES'!$B$26</f>
        <v>30.142000000000003</v>
      </c>
      <c r="K883" s="14">
        <f>'PIVOT TABLES'!$B$28-'PIVOT TABLES'!$B$27</f>
        <v>30.141999999999996</v>
      </c>
      <c r="L883" s="14">
        <f>200-SUM(Table3[[#This Row],[D - LIGHT]:[D - VIGOROUS]])</f>
        <v>79.432000000000002</v>
      </c>
      <c r="M883" s="14">
        <f>'PIVOT TABLES'!$I$26</f>
        <v>65.603999999999999</v>
      </c>
      <c r="N883" s="14">
        <f>'PIVOT TABLES'!$I$27-'PIVOT TABLES'!$I$26</f>
        <v>32.802000000000007</v>
      </c>
      <c r="O883" s="14">
        <f>'PIVOT TABLES'!$I$28-'PIVOT TABLES'!$I$27</f>
        <v>32.801999999999992</v>
      </c>
      <c r="P883" s="14">
        <f>200-SUM(Table3[[#This Row],[M - LIGHT]:[M - VIGOROUS]])</f>
        <v>68.792000000000002</v>
      </c>
      <c r="Q883" s="14">
        <f>'PIVOT TABLES'!$P$26</f>
        <v>62.64</v>
      </c>
      <c r="R883" s="14">
        <f>'PIVOT TABLES'!$P$27-'PIVOT TABLES'!$P$26</f>
        <v>31.320000000000007</v>
      </c>
      <c r="S883" s="14">
        <f>'PIVOT TABLES'!$P$28-'PIVOT TABLES'!$P$27</f>
        <v>31.319999999999993</v>
      </c>
      <c r="T883" s="14">
        <f>200-SUM(Table3[[#This Row],[W - LIGHT]:[W - VIGOROUS]])</f>
        <v>74.72</v>
      </c>
      <c r="U883" s="14">
        <f>'PIVOT TABLES'!$W$26</f>
        <v>55.895999999999994</v>
      </c>
      <c r="V883" s="14">
        <f>'PIVOT TABLES'!$W$27-'PIVOT TABLES'!$W$26</f>
        <v>27.948</v>
      </c>
      <c r="W883" s="14">
        <f>'PIVOT TABLES'!$W$28-'PIVOT TABLES'!$W$27</f>
        <v>27.947999999999993</v>
      </c>
      <c r="X883" s="14">
        <f>200-SUM(Table3[[#This Row],[S - LIGHT]:[S - VIGOROUS]])</f>
        <v>88.208000000000013</v>
      </c>
    </row>
    <row r="884" spans="1:24" x14ac:dyDescent="0.25">
      <c r="A884" s="17" t="s">
        <v>59</v>
      </c>
      <c r="B884" s="13" t="str">
        <f t="shared" si="13"/>
        <v>Striker</v>
      </c>
      <c r="C884" s="7">
        <v>45350.415567129632</v>
      </c>
      <c r="D884" s="14">
        <v>7526</v>
      </c>
      <c r="E884" s="14">
        <v>53</v>
      </c>
      <c r="F884" s="14">
        <v>35</v>
      </c>
      <c r="G884" s="14">
        <v>21</v>
      </c>
      <c r="H884" s="14">
        <v>110.17</v>
      </c>
      <c r="I884" s="14">
        <f>'PIVOT TABLES'!$B$26</f>
        <v>60.283999999999999</v>
      </c>
      <c r="J884" s="14">
        <f>'PIVOT TABLES'!$B$27-'PIVOT TABLES'!$B$26</f>
        <v>30.142000000000003</v>
      </c>
      <c r="K884" s="14">
        <f>'PIVOT TABLES'!$B$28-'PIVOT TABLES'!$B$27</f>
        <v>30.141999999999996</v>
      </c>
      <c r="L884" s="14">
        <f>200-SUM(Table3[[#This Row],[D - LIGHT]:[D - VIGOROUS]])</f>
        <v>79.432000000000002</v>
      </c>
      <c r="M884" s="14">
        <f>'PIVOT TABLES'!$I$26</f>
        <v>65.603999999999999</v>
      </c>
      <c r="N884" s="14">
        <f>'PIVOT TABLES'!$I$27-'PIVOT TABLES'!$I$26</f>
        <v>32.802000000000007</v>
      </c>
      <c r="O884" s="14">
        <f>'PIVOT TABLES'!$I$28-'PIVOT TABLES'!$I$27</f>
        <v>32.801999999999992</v>
      </c>
      <c r="P884" s="14">
        <f>200-SUM(Table3[[#This Row],[M - LIGHT]:[M - VIGOROUS]])</f>
        <v>68.792000000000002</v>
      </c>
      <c r="Q884" s="14">
        <f>'PIVOT TABLES'!$P$26</f>
        <v>62.64</v>
      </c>
      <c r="R884" s="14">
        <f>'PIVOT TABLES'!$P$27-'PIVOT TABLES'!$P$26</f>
        <v>31.320000000000007</v>
      </c>
      <c r="S884" s="14">
        <f>'PIVOT TABLES'!$P$28-'PIVOT TABLES'!$P$27</f>
        <v>31.319999999999993</v>
      </c>
      <c r="T884" s="14">
        <f>200-SUM(Table3[[#This Row],[W - LIGHT]:[W - VIGOROUS]])</f>
        <v>74.72</v>
      </c>
      <c r="U884" s="14">
        <f>'PIVOT TABLES'!$W$26</f>
        <v>55.895999999999994</v>
      </c>
      <c r="V884" s="14">
        <f>'PIVOT TABLES'!$W$27-'PIVOT TABLES'!$W$26</f>
        <v>27.948</v>
      </c>
      <c r="W884" s="14">
        <f>'PIVOT TABLES'!$W$28-'PIVOT TABLES'!$W$27</f>
        <v>27.947999999999993</v>
      </c>
      <c r="X884" s="14">
        <f>200-SUM(Table3[[#This Row],[S - LIGHT]:[S - VIGOROUS]])</f>
        <v>88.208000000000013</v>
      </c>
    </row>
    <row r="885" spans="1:24" x14ac:dyDescent="0.25">
      <c r="A885" s="17" t="s">
        <v>4</v>
      </c>
      <c r="B885" s="13" t="str">
        <f t="shared" si="13"/>
        <v>Midfielder</v>
      </c>
      <c r="C885" s="7">
        <v>45350.415567129632</v>
      </c>
      <c r="D885" s="14">
        <v>5895</v>
      </c>
      <c r="E885" s="14">
        <v>54</v>
      </c>
      <c r="F885" s="14">
        <v>17</v>
      </c>
      <c r="G885" s="14">
        <v>15</v>
      </c>
      <c r="H885" s="14">
        <v>93.05</v>
      </c>
      <c r="I885" s="14">
        <f>'PIVOT TABLES'!$B$26</f>
        <v>60.283999999999999</v>
      </c>
      <c r="J885" s="14">
        <f>'PIVOT TABLES'!$B$27-'PIVOT TABLES'!$B$26</f>
        <v>30.142000000000003</v>
      </c>
      <c r="K885" s="14">
        <f>'PIVOT TABLES'!$B$28-'PIVOT TABLES'!$B$27</f>
        <v>30.141999999999996</v>
      </c>
      <c r="L885" s="14">
        <f>200-SUM(Table3[[#This Row],[D - LIGHT]:[D - VIGOROUS]])</f>
        <v>79.432000000000002</v>
      </c>
      <c r="M885" s="14">
        <f>'PIVOT TABLES'!$I$26</f>
        <v>65.603999999999999</v>
      </c>
      <c r="N885" s="14">
        <f>'PIVOT TABLES'!$I$27-'PIVOT TABLES'!$I$26</f>
        <v>32.802000000000007</v>
      </c>
      <c r="O885" s="14">
        <f>'PIVOT TABLES'!$I$28-'PIVOT TABLES'!$I$27</f>
        <v>32.801999999999992</v>
      </c>
      <c r="P885" s="14">
        <f>200-SUM(Table3[[#This Row],[M - LIGHT]:[M - VIGOROUS]])</f>
        <v>68.792000000000002</v>
      </c>
      <c r="Q885" s="14">
        <f>'PIVOT TABLES'!$P$26</f>
        <v>62.64</v>
      </c>
      <c r="R885" s="14">
        <f>'PIVOT TABLES'!$P$27-'PIVOT TABLES'!$P$26</f>
        <v>31.320000000000007</v>
      </c>
      <c r="S885" s="14">
        <f>'PIVOT TABLES'!$P$28-'PIVOT TABLES'!$P$27</f>
        <v>31.319999999999993</v>
      </c>
      <c r="T885" s="14">
        <f>200-SUM(Table3[[#This Row],[W - LIGHT]:[W - VIGOROUS]])</f>
        <v>74.72</v>
      </c>
      <c r="U885" s="14">
        <f>'PIVOT TABLES'!$W$26</f>
        <v>55.895999999999994</v>
      </c>
      <c r="V885" s="14">
        <f>'PIVOT TABLES'!$W$27-'PIVOT TABLES'!$W$26</f>
        <v>27.948</v>
      </c>
      <c r="W885" s="14">
        <f>'PIVOT TABLES'!$W$28-'PIVOT TABLES'!$W$27</f>
        <v>27.947999999999993</v>
      </c>
      <c r="X885" s="14">
        <f>200-SUM(Table3[[#This Row],[S - LIGHT]:[S - VIGOROUS]])</f>
        <v>88.208000000000013</v>
      </c>
    </row>
    <row r="886" spans="1:24" x14ac:dyDescent="0.25">
      <c r="A886" s="17" t="s">
        <v>60</v>
      </c>
      <c r="B886" s="13" t="str">
        <f t="shared" si="13"/>
        <v>Winger</v>
      </c>
      <c r="C886" s="7">
        <v>45350.415567129632</v>
      </c>
      <c r="D886" s="14">
        <v>9466</v>
      </c>
      <c r="E886" s="14">
        <v>294</v>
      </c>
      <c r="F886" s="14">
        <v>31</v>
      </c>
      <c r="G886" s="14">
        <v>31</v>
      </c>
      <c r="H886" s="14">
        <v>136.84</v>
      </c>
      <c r="I886" s="14">
        <f>'PIVOT TABLES'!$B$26</f>
        <v>60.283999999999999</v>
      </c>
      <c r="J886" s="14">
        <f>'PIVOT TABLES'!$B$27-'PIVOT TABLES'!$B$26</f>
        <v>30.142000000000003</v>
      </c>
      <c r="K886" s="14">
        <f>'PIVOT TABLES'!$B$28-'PIVOT TABLES'!$B$27</f>
        <v>30.141999999999996</v>
      </c>
      <c r="L886" s="14">
        <f>200-SUM(Table3[[#This Row],[D - LIGHT]:[D - VIGOROUS]])</f>
        <v>79.432000000000002</v>
      </c>
      <c r="M886" s="14">
        <f>'PIVOT TABLES'!$I$26</f>
        <v>65.603999999999999</v>
      </c>
      <c r="N886" s="14">
        <f>'PIVOT TABLES'!$I$27-'PIVOT TABLES'!$I$26</f>
        <v>32.802000000000007</v>
      </c>
      <c r="O886" s="14">
        <f>'PIVOT TABLES'!$I$28-'PIVOT TABLES'!$I$27</f>
        <v>32.801999999999992</v>
      </c>
      <c r="P886" s="14">
        <f>200-SUM(Table3[[#This Row],[M - LIGHT]:[M - VIGOROUS]])</f>
        <v>68.792000000000002</v>
      </c>
      <c r="Q886" s="14">
        <f>'PIVOT TABLES'!$P$26</f>
        <v>62.64</v>
      </c>
      <c r="R886" s="14">
        <f>'PIVOT TABLES'!$P$27-'PIVOT TABLES'!$P$26</f>
        <v>31.320000000000007</v>
      </c>
      <c r="S886" s="14">
        <f>'PIVOT TABLES'!$P$28-'PIVOT TABLES'!$P$27</f>
        <v>31.319999999999993</v>
      </c>
      <c r="T886" s="14">
        <f>200-SUM(Table3[[#This Row],[W - LIGHT]:[W - VIGOROUS]])</f>
        <v>74.72</v>
      </c>
      <c r="U886" s="14">
        <f>'PIVOT TABLES'!$W$26</f>
        <v>55.895999999999994</v>
      </c>
      <c r="V886" s="14">
        <f>'PIVOT TABLES'!$W$27-'PIVOT TABLES'!$W$26</f>
        <v>27.948</v>
      </c>
      <c r="W886" s="14">
        <f>'PIVOT TABLES'!$W$28-'PIVOT TABLES'!$W$27</f>
        <v>27.947999999999993</v>
      </c>
      <c r="X886" s="14">
        <f>200-SUM(Table3[[#This Row],[S - LIGHT]:[S - VIGOROUS]])</f>
        <v>88.208000000000013</v>
      </c>
    </row>
    <row r="887" spans="1:24" x14ac:dyDescent="0.25">
      <c r="A887" s="17" t="s">
        <v>71</v>
      </c>
      <c r="B887" s="13" t="str">
        <f t="shared" si="13"/>
        <v>Midfielder</v>
      </c>
      <c r="C887" s="7">
        <v>45350.415567129632</v>
      </c>
      <c r="D887" s="14">
        <v>3449</v>
      </c>
      <c r="E887" s="14">
        <v>0</v>
      </c>
      <c r="F887" s="14">
        <v>0</v>
      </c>
      <c r="G887" s="14">
        <v>0</v>
      </c>
      <c r="H887" s="14">
        <v>65.990000000000009</v>
      </c>
      <c r="I887" s="14">
        <f>'PIVOT TABLES'!$B$26</f>
        <v>60.283999999999999</v>
      </c>
      <c r="J887" s="14">
        <f>'PIVOT TABLES'!$B$27-'PIVOT TABLES'!$B$26</f>
        <v>30.142000000000003</v>
      </c>
      <c r="K887" s="14">
        <f>'PIVOT TABLES'!$B$28-'PIVOT TABLES'!$B$27</f>
        <v>30.141999999999996</v>
      </c>
      <c r="L887" s="14">
        <f>200-SUM(Table3[[#This Row],[D - LIGHT]:[D - VIGOROUS]])</f>
        <v>79.432000000000002</v>
      </c>
      <c r="M887" s="14">
        <f>'PIVOT TABLES'!$I$26</f>
        <v>65.603999999999999</v>
      </c>
      <c r="N887" s="14">
        <f>'PIVOT TABLES'!$I$27-'PIVOT TABLES'!$I$26</f>
        <v>32.802000000000007</v>
      </c>
      <c r="O887" s="14">
        <f>'PIVOT TABLES'!$I$28-'PIVOT TABLES'!$I$27</f>
        <v>32.801999999999992</v>
      </c>
      <c r="P887" s="14">
        <f>200-SUM(Table3[[#This Row],[M - LIGHT]:[M - VIGOROUS]])</f>
        <v>68.792000000000002</v>
      </c>
      <c r="Q887" s="14">
        <f>'PIVOT TABLES'!$P$26</f>
        <v>62.64</v>
      </c>
      <c r="R887" s="14">
        <f>'PIVOT TABLES'!$P$27-'PIVOT TABLES'!$P$26</f>
        <v>31.320000000000007</v>
      </c>
      <c r="S887" s="14">
        <f>'PIVOT TABLES'!$P$28-'PIVOT TABLES'!$P$27</f>
        <v>31.319999999999993</v>
      </c>
      <c r="T887" s="14">
        <f>200-SUM(Table3[[#This Row],[W - LIGHT]:[W - VIGOROUS]])</f>
        <v>74.72</v>
      </c>
      <c r="U887" s="14">
        <f>'PIVOT TABLES'!$W$26</f>
        <v>55.895999999999994</v>
      </c>
      <c r="V887" s="14">
        <f>'PIVOT TABLES'!$W$27-'PIVOT TABLES'!$W$26</f>
        <v>27.948</v>
      </c>
      <c r="W887" s="14">
        <f>'PIVOT TABLES'!$W$28-'PIVOT TABLES'!$W$27</f>
        <v>27.947999999999993</v>
      </c>
      <c r="X887" s="14">
        <f>200-SUM(Table3[[#This Row],[S - LIGHT]:[S - VIGOROUS]])</f>
        <v>88.208000000000013</v>
      </c>
    </row>
    <row r="888" spans="1:24" x14ac:dyDescent="0.25">
      <c r="A888" s="17" t="s">
        <v>5</v>
      </c>
      <c r="B888" s="13" t="str">
        <f t="shared" si="13"/>
        <v>Midfielder</v>
      </c>
      <c r="C888" s="7">
        <v>45350.415567129632</v>
      </c>
      <c r="D888" s="14">
        <v>6972</v>
      </c>
      <c r="E888" s="14">
        <v>80</v>
      </c>
      <c r="F888" s="14">
        <v>22</v>
      </c>
      <c r="G888" s="14">
        <v>14</v>
      </c>
      <c r="H888" s="14">
        <v>104.78</v>
      </c>
      <c r="I888" s="14">
        <f>'PIVOT TABLES'!$B$26</f>
        <v>60.283999999999999</v>
      </c>
      <c r="J888" s="14">
        <f>'PIVOT TABLES'!$B$27-'PIVOT TABLES'!$B$26</f>
        <v>30.142000000000003</v>
      </c>
      <c r="K888" s="14">
        <f>'PIVOT TABLES'!$B$28-'PIVOT TABLES'!$B$27</f>
        <v>30.141999999999996</v>
      </c>
      <c r="L888" s="14">
        <f>200-SUM(Table3[[#This Row],[D - LIGHT]:[D - VIGOROUS]])</f>
        <v>79.432000000000002</v>
      </c>
      <c r="M888" s="14">
        <f>'PIVOT TABLES'!$I$26</f>
        <v>65.603999999999999</v>
      </c>
      <c r="N888" s="14">
        <f>'PIVOT TABLES'!$I$27-'PIVOT TABLES'!$I$26</f>
        <v>32.802000000000007</v>
      </c>
      <c r="O888" s="14">
        <f>'PIVOT TABLES'!$I$28-'PIVOT TABLES'!$I$27</f>
        <v>32.801999999999992</v>
      </c>
      <c r="P888" s="14">
        <f>200-SUM(Table3[[#This Row],[M - LIGHT]:[M - VIGOROUS]])</f>
        <v>68.792000000000002</v>
      </c>
      <c r="Q888" s="14">
        <f>'PIVOT TABLES'!$P$26</f>
        <v>62.64</v>
      </c>
      <c r="R888" s="14">
        <f>'PIVOT TABLES'!$P$27-'PIVOT TABLES'!$P$26</f>
        <v>31.320000000000007</v>
      </c>
      <c r="S888" s="14">
        <f>'PIVOT TABLES'!$P$28-'PIVOT TABLES'!$P$27</f>
        <v>31.319999999999993</v>
      </c>
      <c r="T888" s="14">
        <f>200-SUM(Table3[[#This Row],[W - LIGHT]:[W - VIGOROUS]])</f>
        <v>74.72</v>
      </c>
      <c r="U888" s="14">
        <f>'PIVOT TABLES'!$W$26</f>
        <v>55.895999999999994</v>
      </c>
      <c r="V888" s="14">
        <f>'PIVOT TABLES'!$W$27-'PIVOT TABLES'!$W$26</f>
        <v>27.948</v>
      </c>
      <c r="W888" s="14">
        <f>'PIVOT TABLES'!$W$28-'PIVOT TABLES'!$W$27</f>
        <v>27.947999999999993</v>
      </c>
      <c r="X888" s="14">
        <f>200-SUM(Table3[[#This Row],[S - LIGHT]:[S - VIGOROUS]])</f>
        <v>88.208000000000013</v>
      </c>
    </row>
    <row r="889" spans="1:24" x14ac:dyDescent="0.25">
      <c r="A889" s="17" t="s">
        <v>6</v>
      </c>
      <c r="B889" s="13" t="str">
        <f t="shared" si="13"/>
        <v>Midfielder</v>
      </c>
      <c r="C889" s="7">
        <v>45350.415567129632</v>
      </c>
      <c r="D889" s="14">
        <v>2924</v>
      </c>
      <c r="E889" s="14">
        <v>56</v>
      </c>
      <c r="F889" s="14">
        <v>16</v>
      </c>
      <c r="G889" s="14">
        <v>7</v>
      </c>
      <c r="H889" s="14">
        <v>63.2</v>
      </c>
      <c r="I889" s="14">
        <f>'PIVOT TABLES'!$B$26</f>
        <v>60.283999999999999</v>
      </c>
      <c r="J889" s="14">
        <f>'PIVOT TABLES'!$B$27-'PIVOT TABLES'!$B$26</f>
        <v>30.142000000000003</v>
      </c>
      <c r="K889" s="14">
        <f>'PIVOT TABLES'!$B$28-'PIVOT TABLES'!$B$27</f>
        <v>30.141999999999996</v>
      </c>
      <c r="L889" s="14">
        <f>200-SUM(Table3[[#This Row],[D - LIGHT]:[D - VIGOROUS]])</f>
        <v>79.432000000000002</v>
      </c>
      <c r="M889" s="14">
        <f>'PIVOT TABLES'!$I$26</f>
        <v>65.603999999999999</v>
      </c>
      <c r="N889" s="14">
        <f>'PIVOT TABLES'!$I$27-'PIVOT TABLES'!$I$26</f>
        <v>32.802000000000007</v>
      </c>
      <c r="O889" s="14">
        <f>'PIVOT TABLES'!$I$28-'PIVOT TABLES'!$I$27</f>
        <v>32.801999999999992</v>
      </c>
      <c r="P889" s="14">
        <f>200-SUM(Table3[[#This Row],[M - LIGHT]:[M - VIGOROUS]])</f>
        <v>68.792000000000002</v>
      </c>
      <c r="Q889" s="14">
        <f>'PIVOT TABLES'!$P$26</f>
        <v>62.64</v>
      </c>
      <c r="R889" s="14">
        <f>'PIVOT TABLES'!$P$27-'PIVOT TABLES'!$P$26</f>
        <v>31.320000000000007</v>
      </c>
      <c r="S889" s="14">
        <f>'PIVOT TABLES'!$P$28-'PIVOT TABLES'!$P$27</f>
        <v>31.319999999999993</v>
      </c>
      <c r="T889" s="14">
        <f>200-SUM(Table3[[#This Row],[W - LIGHT]:[W - VIGOROUS]])</f>
        <v>74.72</v>
      </c>
      <c r="U889" s="14">
        <f>'PIVOT TABLES'!$W$26</f>
        <v>55.895999999999994</v>
      </c>
      <c r="V889" s="14">
        <f>'PIVOT TABLES'!$W$27-'PIVOT TABLES'!$W$26</f>
        <v>27.948</v>
      </c>
      <c r="W889" s="14">
        <f>'PIVOT TABLES'!$W$28-'PIVOT TABLES'!$W$27</f>
        <v>27.947999999999993</v>
      </c>
      <c r="X889" s="14">
        <f>200-SUM(Table3[[#This Row],[S - LIGHT]:[S - VIGOROUS]])</f>
        <v>88.208000000000013</v>
      </c>
    </row>
    <row r="890" spans="1:24" x14ac:dyDescent="0.25">
      <c r="A890" s="17" t="s">
        <v>62</v>
      </c>
      <c r="B890" s="13" t="str">
        <f t="shared" si="13"/>
        <v>Midfielder</v>
      </c>
      <c r="C890" s="7">
        <v>45350.415567129632</v>
      </c>
      <c r="D890" s="14">
        <v>7437</v>
      </c>
      <c r="E890" s="14">
        <v>96</v>
      </c>
      <c r="F890" s="14">
        <v>24</v>
      </c>
      <c r="G890" s="14">
        <v>23</v>
      </c>
      <c r="H890" s="14">
        <v>110.17</v>
      </c>
      <c r="I890" s="14">
        <f>'PIVOT TABLES'!$B$26</f>
        <v>60.283999999999999</v>
      </c>
      <c r="J890" s="14">
        <f>'PIVOT TABLES'!$B$27-'PIVOT TABLES'!$B$26</f>
        <v>30.142000000000003</v>
      </c>
      <c r="K890" s="14">
        <f>'PIVOT TABLES'!$B$28-'PIVOT TABLES'!$B$27</f>
        <v>30.141999999999996</v>
      </c>
      <c r="L890" s="14">
        <f>200-SUM(Table3[[#This Row],[D - LIGHT]:[D - VIGOROUS]])</f>
        <v>79.432000000000002</v>
      </c>
      <c r="M890" s="14">
        <f>'PIVOT TABLES'!$I$26</f>
        <v>65.603999999999999</v>
      </c>
      <c r="N890" s="14">
        <f>'PIVOT TABLES'!$I$27-'PIVOT TABLES'!$I$26</f>
        <v>32.802000000000007</v>
      </c>
      <c r="O890" s="14">
        <f>'PIVOT TABLES'!$I$28-'PIVOT TABLES'!$I$27</f>
        <v>32.801999999999992</v>
      </c>
      <c r="P890" s="14">
        <f>200-SUM(Table3[[#This Row],[M - LIGHT]:[M - VIGOROUS]])</f>
        <v>68.792000000000002</v>
      </c>
      <c r="Q890" s="14">
        <f>'PIVOT TABLES'!$P$26</f>
        <v>62.64</v>
      </c>
      <c r="R890" s="14">
        <f>'PIVOT TABLES'!$P$27-'PIVOT TABLES'!$P$26</f>
        <v>31.320000000000007</v>
      </c>
      <c r="S890" s="14">
        <f>'PIVOT TABLES'!$P$28-'PIVOT TABLES'!$P$27</f>
        <v>31.319999999999993</v>
      </c>
      <c r="T890" s="14">
        <f>200-SUM(Table3[[#This Row],[W - LIGHT]:[W - VIGOROUS]])</f>
        <v>74.72</v>
      </c>
      <c r="U890" s="14">
        <f>'PIVOT TABLES'!$W$26</f>
        <v>55.895999999999994</v>
      </c>
      <c r="V890" s="14">
        <f>'PIVOT TABLES'!$W$27-'PIVOT TABLES'!$W$26</f>
        <v>27.948</v>
      </c>
      <c r="W890" s="14">
        <f>'PIVOT TABLES'!$W$28-'PIVOT TABLES'!$W$27</f>
        <v>27.947999999999993</v>
      </c>
      <c r="X890" s="14">
        <f>200-SUM(Table3[[#This Row],[S - LIGHT]:[S - VIGOROUS]])</f>
        <v>88.208000000000013</v>
      </c>
    </row>
    <row r="891" spans="1:24" x14ac:dyDescent="0.25">
      <c r="A891" s="17" t="s">
        <v>64</v>
      </c>
      <c r="B891" s="13" t="str">
        <f t="shared" si="13"/>
        <v>Midfielder</v>
      </c>
      <c r="C891" s="7">
        <v>45350.415567129632</v>
      </c>
      <c r="D891" s="14">
        <v>8448</v>
      </c>
      <c r="E891" s="14">
        <v>168</v>
      </c>
      <c r="F891" s="14">
        <v>18</v>
      </c>
      <c r="G891" s="14">
        <v>18</v>
      </c>
      <c r="H891" s="14">
        <v>122.1</v>
      </c>
      <c r="I891" s="14">
        <f>'PIVOT TABLES'!$B$26</f>
        <v>60.283999999999999</v>
      </c>
      <c r="J891" s="14">
        <f>'PIVOT TABLES'!$B$27-'PIVOT TABLES'!$B$26</f>
        <v>30.142000000000003</v>
      </c>
      <c r="K891" s="14">
        <f>'PIVOT TABLES'!$B$28-'PIVOT TABLES'!$B$27</f>
        <v>30.141999999999996</v>
      </c>
      <c r="L891" s="14">
        <f>200-SUM(Table3[[#This Row],[D - LIGHT]:[D - VIGOROUS]])</f>
        <v>79.432000000000002</v>
      </c>
      <c r="M891" s="14">
        <f>'PIVOT TABLES'!$I$26</f>
        <v>65.603999999999999</v>
      </c>
      <c r="N891" s="14">
        <f>'PIVOT TABLES'!$I$27-'PIVOT TABLES'!$I$26</f>
        <v>32.802000000000007</v>
      </c>
      <c r="O891" s="14">
        <f>'PIVOT TABLES'!$I$28-'PIVOT TABLES'!$I$27</f>
        <v>32.801999999999992</v>
      </c>
      <c r="P891" s="14">
        <f>200-SUM(Table3[[#This Row],[M - LIGHT]:[M - VIGOROUS]])</f>
        <v>68.792000000000002</v>
      </c>
      <c r="Q891" s="14">
        <f>'PIVOT TABLES'!$P$26</f>
        <v>62.64</v>
      </c>
      <c r="R891" s="14">
        <f>'PIVOT TABLES'!$P$27-'PIVOT TABLES'!$P$26</f>
        <v>31.320000000000007</v>
      </c>
      <c r="S891" s="14">
        <f>'PIVOT TABLES'!$P$28-'PIVOT TABLES'!$P$27</f>
        <v>31.319999999999993</v>
      </c>
      <c r="T891" s="14">
        <f>200-SUM(Table3[[#This Row],[W - LIGHT]:[W - VIGOROUS]])</f>
        <v>74.72</v>
      </c>
      <c r="U891" s="14">
        <f>'PIVOT TABLES'!$W$26</f>
        <v>55.895999999999994</v>
      </c>
      <c r="V891" s="14">
        <f>'PIVOT TABLES'!$W$27-'PIVOT TABLES'!$W$26</f>
        <v>27.948</v>
      </c>
      <c r="W891" s="14">
        <f>'PIVOT TABLES'!$W$28-'PIVOT TABLES'!$W$27</f>
        <v>27.947999999999993</v>
      </c>
      <c r="X891" s="14">
        <f>200-SUM(Table3[[#This Row],[S - LIGHT]:[S - VIGOROUS]])</f>
        <v>88.208000000000013</v>
      </c>
    </row>
    <row r="892" spans="1:24" x14ac:dyDescent="0.25">
      <c r="A892" s="17" t="s">
        <v>65</v>
      </c>
      <c r="B892" s="13" t="str">
        <f t="shared" si="13"/>
        <v>Winger</v>
      </c>
      <c r="C892" s="7">
        <v>45350.415567129632</v>
      </c>
      <c r="D892" s="14">
        <v>9759</v>
      </c>
      <c r="E892" s="14">
        <v>213</v>
      </c>
      <c r="F892" s="14">
        <v>34</v>
      </c>
      <c r="G892" s="14">
        <v>24</v>
      </c>
      <c r="H892" s="14">
        <v>137.32</v>
      </c>
      <c r="I892" s="14">
        <f>'PIVOT TABLES'!$B$26</f>
        <v>60.283999999999999</v>
      </c>
      <c r="J892" s="14">
        <f>'PIVOT TABLES'!$B$27-'PIVOT TABLES'!$B$26</f>
        <v>30.142000000000003</v>
      </c>
      <c r="K892" s="14">
        <f>'PIVOT TABLES'!$B$28-'PIVOT TABLES'!$B$27</f>
        <v>30.141999999999996</v>
      </c>
      <c r="L892" s="14">
        <f>200-SUM(Table3[[#This Row],[D - LIGHT]:[D - VIGOROUS]])</f>
        <v>79.432000000000002</v>
      </c>
      <c r="M892" s="14">
        <f>'PIVOT TABLES'!$I$26</f>
        <v>65.603999999999999</v>
      </c>
      <c r="N892" s="14">
        <f>'PIVOT TABLES'!$I$27-'PIVOT TABLES'!$I$26</f>
        <v>32.802000000000007</v>
      </c>
      <c r="O892" s="14">
        <f>'PIVOT TABLES'!$I$28-'PIVOT TABLES'!$I$27</f>
        <v>32.801999999999992</v>
      </c>
      <c r="P892" s="14">
        <f>200-SUM(Table3[[#This Row],[M - LIGHT]:[M - VIGOROUS]])</f>
        <v>68.792000000000002</v>
      </c>
      <c r="Q892" s="14">
        <f>'PIVOT TABLES'!$P$26</f>
        <v>62.64</v>
      </c>
      <c r="R892" s="14">
        <f>'PIVOT TABLES'!$P$27-'PIVOT TABLES'!$P$26</f>
        <v>31.320000000000007</v>
      </c>
      <c r="S892" s="14">
        <f>'PIVOT TABLES'!$P$28-'PIVOT TABLES'!$P$27</f>
        <v>31.319999999999993</v>
      </c>
      <c r="T892" s="14">
        <f>200-SUM(Table3[[#This Row],[W - LIGHT]:[W - VIGOROUS]])</f>
        <v>74.72</v>
      </c>
      <c r="U892" s="14">
        <f>'PIVOT TABLES'!$W$26</f>
        <v>55.895999999999994</v>
      </c>
      <c r="V892" s="14">
        <f>'PIVOT TABLES'!$W$27-'PIVOT TABLES'!$W$26</f>
        <v>27.948</v>
      </c>
      <c r="W892" s="14">
        <f>'PIVOT TABLES'!$W$28-'PIVOT TABLES'!$W$27</f>
        <v>27.947999999999993</v>
      </c>
      <c r="X892" s="14">
        <f>200-SUM(Table3[[#This Row],[S - LIGHT]:[S - VIGOROUS]])</f>
        <v>88.208000000000013</v>
      </c>
    </row>
    <row r="893" spans="1:24" x14ac:dyDescent="0.25">
      <c r="A893" s="17" t="s">
        <v>66</v>
      </c>
      <c r="B893" s="13" t="str">
        <f t="shared" si="13"/>
        <v>Striker</v>
      </c>
      <c r="C893" s="7">
        <v>45350.415567129632</v>
      </c>
      <c r="D893" s="14">
        <v>4278</v>
      </c>
      <c r="E893" s="14">
        <v>56</v>
      </c>
      <c r="F893" s="14">
        <v>27</v>
      </c>
      <c r="G893" s="14">
        <v>18</v>
      </c>
      <c r="H893" s="14">
        <v>77.400000000000006</v>
      </c>
      <c r="I893" s="14">
        <f>'PIVOT TABLES'!$B$26</f>
        <v>60.283999999999999</v>
      </c>
      <c r="J893" s="14">
        <f>'PIVOT TABLES'!$B$27-'PIVOT TABLES'!$B$26</f>
        <v>30.142000000000003</v>
      </c>
      <c r="K893" s="14">
        <f>'PIVOT TABLES'!$B$28-'PIVOT TABLES'!$B$27</f>
        <v>30.141999999999996</v>
      </c>
      <c r="L893" s="14">
        <f>200-SUM(Table3[[#This Row],[D - LIGHT]:[D - VIGOROUS]])</f>
        <v>79.432000000000002</v>
      </c>
      <c r="M893" s="14">
        <f>'PIVOT TABLES'!$I$26</f>
        <v>65.603999999999999</v>
      </c>
      <c r="N893" s="14">
        <f>'PIVOT TABLES'!$I$27-'PIVOT TABLES'!$I$26</f>
        <v>32.802000000000007</v>
      </c>
      <c r="O893" s="14">
        <f>'PIVOT TABLES'!$I$28-'PIVOT TABLES'!$I$27</f>
        <v>32.801999999999992</v>
      </c>
      <c r="P893" s="14">
        <f>200-SUM(Table3[[#This Row],[M - LIGHT]:[M - VIGOROUS]])</f>
        <v>68.792000000000002</v>
      </c>
      <c r="Q893" s="14">
        <f>'PIVOT TABLES'!$P$26</f>
        <v>62.64</v>
      </c>
      <c r="R893" s="14">
        <f>'PIVOT TABLES'!$P$27-'PIVOT TABLES'!$P$26</f>
        <v>31.320000000000007</v>
      </c>
      <c r="S893" s="14">
        <f>'PIVOT TABLES'!$P$28-'PIVOT TABLES'!$P$27</f>
        <v>31.319999999999993</v>
      </c>
      <c r="T893" s="14">
        <f>200-SUM(Table3[[#This Row],[W - LIGHT]:[W - VIGOROUS]])</f>
        <v>74.72</v>
      </c>
      <c r="U893" s="14">
        <f>'PIVOT TABLES'!$W$26</f>
        <v>55.895999999999994</v>
      </c>
      <c r="V893" s="14">
        <f>'PIVOT TABLES'!$W$27-'PIVOT TABLES'!$W$26</f>
        <v>27.948</v>
      </c>
      <c r="W893" s="14">
        <f>'PIVOT TABLES'!$W$28-'PIVOT TABLES'!$W$27</f>
        <v>27.947999999999993</v>
      </c>
      <c r="X893" s="14">
        <f>200-SUM(Table3[[#This Row],[S - LIGHT]:[S - VIGOROUS]])</f>
        <v>88.208000000000013</v>
      </c>
    </row>
    <row r="894" spans="1:24" x14ac:dyDescent="0.25">
      <c r="A894" s="17" t="s">
        <v>78</v>
      </c>
      <c r="B894" s="13" t="str">
        <f t="shared" si="13"/>
        <v>Defender</v>
      </c>
      <c r="C894" s="7">
        <v>45350.415567129632</v>
      </c>
      <c r="D894" s="14">
        <v>6336</v>
      </c>
      <c r="E894" s="14">
        <v>9</v>
      </c>
      <c r="F894" s="14">
        <v>19</v>
      </c>
      <c r="G894" s="14">
        <v>15</v>
      </c>
      <c r="H894" s="14">
        <v>96.19</v>
      </c>
      <c r="I894" s="14">
        <f>'PIVOT TABLES'!$B$26</f>
        <v>60.283999999999999</v>
      </c>
      <c r="J894" s="14">
        <f>'PIVOT TABLES'!$B$27-'PIVOT TABLES'!$B$26</f>
        <v>30.142000000000003</v>
      </c>
      <c r="K894" s="14">
        <f>'PIVOT TABLES'!$B$28-'PIVOT TABLES'!$B$27</f>
        <v>30.141999999999996</v>
      </c>
      <c r="L894" s="14">
        <f>200-SUM(Table3[[#This Row],[D - LIGHT]:[D - VIGOROUS]])</f>
        <v>79.432000000000002</v>
      </c>
      <c r="M894" s="14">
        <f>'PIVOT TABLES'!$I$26</f>
        <v>65.603999999999999</v>
      </c>
      <c r="N894" s="14">
        <f>'PIVOT TABLES'!$I$27-'PIVOT TABLES'!$I$26</f>
        <v>32.802000000000007</v>
      </c>
      <c r="O894" s="14">
        <f>'PIVOT TABLES'!$I$28-'PIVOT TABLES'!$I$27</f>
        <v>32.801999999999992</v>
      </c>
      <c r="P894" s="14">
        <f>200-SUM(Table3[[#This Row],[M - LIGHT]:[M - VIGOROUS]])</f>
        <v>68.792000000000002</v>
      </c>
      <c r="Q894" s="14">
        <f>'PIVOT TABLES'!$P$26</f>
        <v>62.64</v>
      </c>
      <c r="R894" s="14">
        <f>'PIVOT TABLES'!$P$27-'PIVOT TABLES'!$P$26</f>
        <v>31.320000000000007</v>
      </c>
      <c r="S894" s="14">
        <f>'PIVOT TABLES'!$P$28-'PIVOT TABLES'!$P$27</f>
        <v>31.319999999999993</v>
      </c>
      <c r="T894" s="14">
        <f>200-SUM(Table3[[#This Row],[W - LIGHT]:[W - VIGOROUS]])</f>
        <v>74.72</v>
      </c>
      <c r="U894" s="14">
        <f>'PIVOT TABLES'!$W$26</f>
        <v>55.895999999999994</v>
      </c>
      <c r="V894" s="14">
        <f>'PIVOT TABLES'!$W$27-'PIVOT TABLES'!$W$26</f>
        <v>27.948</v>
      </c>
      <c r="W894" s="14">
        <f>'PIVOT TABLES'!$W$28-'PIVOT TABLES'!$W$27</f>
        <v>27.947999999999993</v>
      </c>
      <c r="X894" s="14">
        <f>200-SUM(Table3[[#This Row],[S - LIGHT]:[S - VIGOROUS]])</f>
        <v>88.208000000000013</v>
      </c>
    </row>
    <row r="895" spans="1:24" x14ac:dyDescent="0.25">
      <c r="A895" s="17" t="s">
        <v>8</v>
      </c>
      <c r="B895" s="13" t="str">
        <f t="shared" si="13"/>
        <v>Striker</v>
      </c>
      <c r="C895" s="7">
        <v>45350.415567129632</v>
      </c>
      <c r="D895" s="14">
        <v>6419</v>
      </c>
      <c r="E895" s="14">
        <v>176</v>
      </c>
      <c r="F895" s="14">
        <v>27</v>
      </c>
      <c r="G895" s="14">
        <v>26</v>
      </c>
      <c r="H895" s="14">
        <v>102.57</v>
      </c>
      <c r="I895" s="14">
        <f>'PIVOT TABLES'!$B$26</f>
        <v>60.283999999999999</v>
      </c>
      <c r="J895" s="14">
        <f>'PIVOT TABLES'!$B$27-'PIVOT TABLES'!$B$26</f>
        <v>30.142000000000003</v>
      </c>
      <c r="K895" s="14">
        <f>'PIVOT TABLES'!$B$28-'PIVOT TABLES'!$B$27</f>
        <v>30.141999999999996</v>
      </c>
      <c r="L895" s="14">
        <f>200-SUM(Table3[[#This Row],[D - LIGHT]:[D - VIGOROUS]])</f>
        <v>79.432000000000002</v>
      </c>
      <c r="M895" s="14">
        <f>'PIVOT TABLES'!$I$26</f>
        <v>65.603999999999999</v>
      </c>
      <c r="N895" s="14">
        <f>'PIVOT TABLES'!$I$27-'PIVOT TABLES'!$I$26</f>
        <v>32.802000000000007</v>
      </c>
      <c r="O895" s="14">
        <f>'PIVOT TABLES'!$I$28-'PIVOT TABLES'!$I$27</f>
        <v>32.801999999999992</v>
      </c>
      <c r="P895" s="14">
        <f>200-SUM(Table3[[#This Row],[M - LIGHT]:[M - VIGOROUS]])</f>
        <v>68.792000000000002</v>
      </c>
      <c r="Q895" s="14">
        <f>'PIVOT TABLES'!$P$26</f>
        <v>62.64</v>
      </c>
      <c r="R895" s="14">
        <f>'PIVOT TABLES'!$P$27-'PIVOT TABLES'!$P$26</f>
        <v>31.320000000000007</v>
      </c>
      <c r="S895" s="14">
        <f>'PIVOT TABLES'!$P$28-'PIVOT TABLES'!$P$27</f>
        <v>31.319999999999993</v>
      </c>
      <c r="T895" s="14">
        <f>200-SUM(Table3[[#This Row],[W - LIGHT]:[W - VIGOROUS]])</f>
        <v>74.72</v>
      </c>
      <c r="U895" s="14">
        <f>'PIVOT TABLES'!$W$26</f>
        <v>55.895999999999994</v>
      </c>
      <c r="V895" s="14">
        <f>'PIVOT TABLES'!$W$27-'PIVOT TABLES'!$W$26</f>
        <v>27.948</v>
      </c>
      <c r="W895" s="14">
        <f>'PIVOT TABLES'!$W$28-'PIVOT TABLES'!$W$27</f>
        <v>27.947999999999993</v>
      </c>
      <c r="X895" s="14">
        <f>200-SUM(Table3[[#This Row],[S - LIGHT]:[S - VIGOROUS]])</f>
        <v>88.208000000000013</v>
      </c>
    </row>
    <row r="896" spans="1:24" x14ac:dyDescent="0.25">
      <c r="A896" s="17" t="s">
        <v>67</v>
      </c>
      <c r="B896" s="13" t="str">
        <f t="shared" si="13"/>
        <v>Midfielder</v>
      </c>
      <c r="C896" s="7">
        <v>45350.415567129632</v>
      </c>
      <c r="D896" s="14">
        <v>12652</v>
      </c>
      <c r="E896" s="14">
        <v>113</v>
      </c>
      <c r="F896" s="14">
        <v>51</v>
      </c>
      <c r="G896" s="14">
        <v>28</v>
      </c>
      <c r="H896" s="14">
        <v>164.01</v>
      </c>
      <c r="I896" s="14">
        <f>'PIVOT TABLES'!$B$26</f>
        <v>60.283999999999999</v>
      </c>
      <c r="J896" s="14">
        <f>'PIVOT TABLES'!$B$27-'PIVOT TABLES'!$B$26</f>
        <v>30.142000000000003</v>
      </c>
      <c r="K896" s="14">
        <f>'PIVOT TABLES'!$B$28-'PIVOT TABLES'!$B$27</f>
        <v>30.141999999999996</v>
      </c>
      <c r="L896" s="14">
        <f>200-SUM(Table3[[#This Row],[D - LIGHT]:[D - VIGOROUS]])</f>
        <v>79.432000000000002</v>
      </c>
      <c r="M896" s="14">
        <f>'PIVOT TABLES'!$I$26</f>
        <v>65.603999999999999</v>
      </c>
      <c r="N896" s="14">
        <f>'PIVOT TABLES'!$I$27-'PIVOT TABLES'!$I$26</f>
        <v>32.802000000000007</v>
      </c>
      <c r="O896" s="14">
        <f>'PIVOT TABLES'!$I$28-'PIVOT TABLES'!$I$27</f>
        <v>32.801999999999992</v>
      </c>
      <c r="P896" s="14">
        <f>200-SUM(Table3[[#This Row],[M - LIGHT]:[M - VIGOROUS]])</f>
        <v>68.792000000000002</v>
      </c>
      <c r="Q896" s="14">
        <f>'PIVOT TABLES'!$P$26</f>
        <v>62.64</v>
      </c>
      <c r="R896" s="14">
        <f>'PIVOT TABLES'!$P$27-'PIVOT TABLES'!$P$26</f>
        <v>31.320000000000007</v>
      </c>
      <c r="S896" s="14">
        <f>'PIVOT TABLES'!$P$28-'PIVOT TABLES'!$P$27</f>
        <v>31.319999999999993</v>
      </c>
      <c r="T896" s="14">
        <f>200-SUM(Table3[[#This Row],[W - LIGHT]:[W - VIGOROUS]])</f>
        <v>74.72</v>
      </c>
      <c r="U896" s="14">
        <f>'PIVOT TABLES'!$W$26</f>
        <v>55.895999999999994</v>
      </c>
      <c r="V896" s="14">
        <f>'PIVOT TABLES'!$W$27-'PIVOT TABLES'!$W$26</f>
        <v>27.948</v>
      </c>
      <c r="W896" s="14">
        <f>'PIVOT TABLES'!$W$28-'PIVOT TABLES'!$W$27</f>
        <v>27.947999999999993</v>
      </c>
      <c r="X896" s="14">
        <f>200-SUM(Table3[[#This Row],[S - LIGHT]:[S - VIGOROUS]])</f>
        <v>88.208000000000013</v>
      </c>
    </row>
    <row r="897" spans="1:24" x14ac:dyDescent="0.25">
      <c r="A897" s="17" t="s">
        <v>9</v>
      </c>
      <c r="B897" s="13" t="str">
        <f t="shared" si="13"/>
        <v>Striker</v>
      </c>
      <c r="C897" s="7">
        <v>45350.415567129632</v>
      </c>
      <c r="D897" s="14">
        <v>4482</v>
      </c>
      <c r="E897" s="14">
        <v>12</v>
      </c>
      <c r="F897" s="14">
        <v>2</v>
      </c>
      <c r="G897" s="14">
        <v>2</v>
      </c>
      <c r="H897" s="14">
        <v>76.8</v>
      </c>
      <c r="I897" s="14">
        <f>'PIVOT TABLES'!$B$26</f>
        <v>60.283999999999999</v>
      </c>
      <c r="J897" s="14">
        <f>'PIVOT TABLES'!$B$27-'PIVOT TABLES'!$B$26</f>
        <v>30.142000000000003</v>
      </c>
      <c r="K897" s="14">
        <f>'PIVOT TABLES'!$B$28-'PIVOT TABLES'!$B$27</f>
        <v>30.141999999999996</v>
      </c>
      <c r="L897" s="14">
        <f>200-SUM(Table3[[#This Row],[D - LIGHT]:[D - VIGOROUS]])</f>
        <v>79.432000000000002</v>
      </c>
      <c r="M897" s="14">
        <f>'PIVOT TABLES'!$I$26</f>
        <v>65.603999999999999</v>
      </c>
      <c r="N897" s="14">
        <f>'PIVOT TABLES'!$I$27-'PIVOT TABLES'!$I$26</f>
        <v>32.802000000000007</v>
      </c>
      <c r="O897" s="14">
        <f>'PIVOT TABLES'!$I$28-'PIVOT TABLES'!$I$27</f>
        <v>32.801999999999992</v>
      </c>
      <c r="P897" s="14">
        <f>200-SUM(Table3[[#This Row],[M - LIGHT]:[M - VIGOROUS]])</f>
        <v>68.792000000000002</v>
      </c>
      <c r="Q897" s="14">
        <f>'PIVOT TABLES'!$P$26</f>
        <v>62.64</v>
      </c>
      <c r="R897" s="14">
        <f>'PIVOT TABLES'!$P$27-'PIVOT TABLES'!$P$26</f>
        <v>31.320000000000007</v>
      </c>
      <c r="S897" s="14">
        <f>'PIVOT TABLES'!$P$28-'PIVOT TABLES'!$P$27</f>
        <v>31.319999999999993</v>
      </c>
      <c r="T897" s="14">
        <f>200-SUM(Table3[[#This Row],[W - LIGHT]:[W - VIGOROUS]])</f>
        <v>74.72</v>
      </c>
      <c r="U897" s="14">
        <f>'PIVOT TABLES'!$W$26</f>
        <v>55.895999999999994</v>
      </c>
      <c r="V897" s="14">
        <f>'PIVOT TABLES'!$W$27-'PIVOT TABLES'!$W$26</f>
        <v>27.948</v>
      </c>
      <c r="W897" s="14">
        <f>'PIVOT TABLES'!$W$28-'PIVOT TABLES'!$W$27</f>
        <v>27.947999999999993</v>
      </c>
      <c r="X897" s="14">
        <f>200-SUM(Table3[[#This Row],[S - LIGHT]:[S - VIGOROUS]])</f>
        <v>88.208000000000013</v>
      </c>
    </row>
    <row r="898" spans="1:24" x14ac:dyDescent="0.25">
      <c r="A898" s="17" t="s">
        <v>69</v>
      </c>
      <c r="B898" s="13" t="str">
        <f t="shared" si="13"/>
        <v>Midfielder</v>
      </c>
      <c r="C898" s="7">
        <v>45350.415567129632</v>
      </c>
      <c r="D898" s="14">
        <v>5271</v>
      </c>
      <c r="E898" s="14">
        <v>72</v>
      </c>
      <c r="F898" s="14">
        <v>23</v>
      </c>
      <c r="G898" s="14">
        <v>14</v>
      </c>
      <c r="H898" s="14">
        <v>87.57</v>
      </c>
      <c r="I898" s="14">
        <f>'PIVOT TABLES'!$B$26</f>
        <v>60.283999999999999</v>
      </c>
      <c r="J898" s="14">
        <f>'PIVOT TABLES'!$B$27-'PIVOT TABLES'!$B$26</f>
        <v>30.142000000000003</v>
      </c>
      <c r="K898" s="14">
        <f>'PIVOT TABLES'!$B$28-'PIVOT TABLES'!$B$27</f>
        <v>30.141999999999996</v>
      </c>
      <c r="L898" s="14">
        <f>200-SUM(Table3[[#This Row],[D - LIGHT]:[D - VIGOROUS]])</f>
        <v>79.432000000000002</v>
      </c>
      <c r="M898" s="14">
        <f>'PIVOT TABLES'!$I$26</f>
        <v>65.603999999999999</v>
      </c>
      <c r="N898" s="14">
        <f>'PIVOT TABLES'!$I$27-'PIVOT TABLES'!$I$26</f>
        <v>32.802000000000007</v>
      </c>
      <c r="O898" s="14">
        <f>'PIVOT TABLES'!$I$28-'PIVOT TABLES'!$I$27</f>
        <v>32.801999999999992</v>
      </c>
      <c r="P898" s="14">
        <f>200-SUM(Table3[[#This Row],[M - LIGHT]:[M - VIGOROUS]])</f>
        <v>68.792000000000002</v>
      </c>
      <c r="Q898" s="14">
        <f>'PIVOT TABLES'!$P$26</f>
        <v>62.64</v>
      </c>
      <c r="R898" s="14">
        <f>'PIVOT TABLES'!$P$27-'PIVOT TABLES'!$P$26</f>
        <v>31.320000000000007</v>
      </c>
      <c r="S898" s="14">
        <f>'PIVOT TABLES'!$P$28-'PIVOT TABLES'!$P$27</f>
        <v>31.319999999999993</v>
      </c>
      <c r="T898" s="14">
        <f>200-SUM(Table3[[#This Row],[W - LIGHT]:[W - VIGOROUS]])</f>
        <v>74.72</v>
      </c>
      <c r="U898" s="14">
        <f>'PIVOT TABLES'!$W$26</f>
        <v>55.895999999999994</v>
      </c>
      <c r="V898" s="14">
        <f>'PIVOT TABLES'!$W$27-'PIVOT TABLES'!$W$26</f>
        <v>27.948</v>
      </c>
      <c r="W898" s="14">
        <f>'PIVOT TABLES'!$W$28-'PIVOT TABLES'!$W$27</f>
        <v>27.947999999999993</v>
      </c>
      <c r="X898" s="14">
        <f>200-SUM(Table3[[#This Row],[S - LIGHT]:[S - VIGOROUS]])</f>
        <v>88.208000000000013</v>
      </c>
    </row>
    <row r="899" spans="1:24" x14ac:dyDescent="0.25">
      <c r="A899" s="17" t="s">
        <v>70</v>
      </c>
      <c r="B899" s="13" t="str">
        <f t="shared" ref="B899:B962" si="14">IF(A899="Sihle Gum","Defender",IF(A899="Kenny Langa","Defender",IF(A899="Tshepang Makara","Defender",IF(A899="Tshepiso Mahlangu","Defender",IF(A899="Neo Ramashala","Defender",IF(A899="Keabetswe Nkogatse","Defender",IF(A899="Kaketso Harold Majadibodu","Defender",IF(A899="Samuel Julies","Midfielder",IF(A899="Frank Mpedi","Midfielder",IF(A899="Sapholwethu Kelepu","Midfielder",IF(A899="Manelisi Sithole","Midfielder",IF(A899="Thabiso Mokoena","Midfielder",IF(A899="Khomotso Marebane","Midfielder",IF(A899="Tebogo Mohlamonyane","Midfielder",IF(A899="Thulani Zandamela","Midfielder",IF(A899="Mdevulana Camagu","Midfielder",IF(A899="Promise Mkhuma","Midfielder",IF(A899="Essien Makwarimba","Midfielder",IF(A899="Ayanda Mvambi","Winger",IF(A899="Delano Abrahams","Winger",IF(A899="Thokozani Sekotlong","Winger",IF(A899="Maselaelo Seanego","Winger",IF(A899="Lesedi Motha","Winger",IF(A899="Malekgene Mampuru","Winger",IF(A899="Matome Rangata","Winger",IF(A899="Thabang Sibanyoni","Striker",IF(A899="Tebogo Makungo","Striker",IF(A899="Neo Dikgale","Striker",IF(A899="Kamohelo Pheeane","Striker",IF(A899="Athenkosi Tonisi","Striker",IF(A899="Jesse Francis","Striker","####")))))))))))))))))))))))))))))))</f>
        <v>Winger</v>
      </c>
      <c r="C899" s="7">
        <v>45352.648043981484</v>
      </c>
      <c r="D899" s="14">
        <v>5619</v>
      </c>
      <c r="E899" s="14">
        <v>66</v>
      </c>
      <c r="F899" s="14">
        <v>12</v>
      </c>
      <c r="G899" s="14">
        <v>15</v>
      </c>
      <c r="H899" s="14">
        <v>58.95</v>
      </c>
      <c r="I899" s="14">
        <f>'PIVOT TABLES'!$B$26</f>
        <v>60.283999999999999</v>
      </c>
      <c r="J899" s="14">
        <f>'PIVOT TABLES'!$B$27-'PIVOT TABLES'!$B$26</f>
        <v>30.142000000000003</v>
      </c>
      <c r="K899" s="14">
        <f>'PIVOT TABLES'!$B$28-'PIVOT TABLES'!$B$27</f>
        <v>30.141999999999996</v>
      </c>
      <c r="L899" s="14">
        <f>200-SUM(Table3[[#This Row],[D - LIGHT]:[D - VIGOROUS]])</f>
        <v>79.432000000000002</v>
      </c>
      <c r="M899" s="14">
        <f>'PIVOT TABLES'!$I$26</f>
        <v>65.603999999999999</v>
      </c>
      <c r="N899" s="14">
        <f>'PIVOT TABLES'!$I$27-'PIVOT TABLES'!$I$26</f>
        <v>32.802000000000007</v>
      </c>
      <c r="O899" s="14">
        <f>'PIVOT TABLES'!$I$28-'PIVOT TABLES'!$I$27</f>
        <v>32.801999999999992</v>
      </c>
      <c r="P899" s="14">
        <f>200-SUM(Table3[[#This Row],[M - LIGHT]:[M - VIGOROUS]])</f>
        <v>68.792000000000002</v>
      </c>
      <c r="Q899" s="14">
        <f>'PIVOT TABLES'!$P$26</f>
        <v>62.64</v>
      </c>
      <c r="R899" s="14">
        <f>'PIVOT TABLES'!$P$27-'PIVOT TABLES'!$P$26</f>
        <v>31.320000000000007</v>
      </c>
      <c r="S899" s="14">
        <f>'PIVOT TABLES'!$P$28-'PIVOT TABLES'!$P$27</f>
        <v>31.319999999999993</v>
      </c>
      <c r="T899" s="14">
        <f>200-SUM(Table3[[#This Row],[W - LIGHT]:[W - VIGOROUS]])</f>
        <v>74.72</v>
      </c>
      <c r="U899" s="14">
        <f>'PIVOT TABLES'!$W$26</f>
        <v>55.895999999999994</v>
      </c>
      <c r="V899" s="14">
        <f>'PIVOT TABLES'!$W$27-'PIVOT TABLES'!$W$26</f>
        <v>27.948</v>
      </c>
      <c r="W899" s="14">
        <f>'PIVOT TABLES'!$W$28-'PIVOT TABLES'!$W$27</f>
        <v>27.947999999999993</v>
      </c>
      <c r="X899" s="14">
        <f>200-SUM(Table3[[#This Row],[S - LIGHT]:[S - VIGOROUS]])</f>
        <v>88.208000000000013</v>
      </c>
    </row>
    <row r="900" spans="1:24" x14ac:dyDescent="0.25">
      <c r="A900" s="17" t="s">
        <v>53</v>
      </c>
      <c r="B900" s="13" t="str">
        <f t="shared" si="14"/>
        <v>Midfielder</v>
      </c>
      <c r="C900" s="7">
        <v>45352.648043981484</v>
      </c>
      <c r="D900" s="14">
        <v>7922</v>
      </c>
      <c r="E900" s="14">
        <v>42</v>
      </c>
      <c r="F900" s="14">
        <v>22</v>
      </c>
      <c r="G900" s="14">
        <v>24</v>
      </c>
      <c r="H900" s="14">
        <v>81.84</v>
      </c>
      <c r="I900" s="14">
        <f>'PIVOT TABLES'!$B$26</f>
        <v>60.283999999999999</v>
      </c>
      <c r="J900" s="14">
        <f>'PIVOT TABLES'!$B$27-'PIVOT TABLES'!$B$26</f>
        <v>30.142000000000003</v>
      </c>
      <c r="K900" s="14">
        <f>'PIVOT TABLES'!$B$28-'PIVOT TABLES'!$B$27</f>
        <v>30.141999999999996</v>
      </c>
      <c r="L900" s="14">
        <f>200-SUM(Table3[[#This Row],[D - LIGHT]:[D - VIGOROUS]])</f>
        <v>79.432000000000002</v>
      </c>
      <c r="M900" s="14">
        <f>'PIVOT TABLES'!$I$26</f>
        <v>65.603999999999999</v>
      </c>
      <c r="N900" s="14">
        <f>'PIVOT TABLES'!$I$27-'PIVOT TABLES'!$I$26</f>
        <v>32.802000000000007</v>
      </c>
      <c r="O900" s="14">
        <f>'PIVOT TABLES'!$I$28-'PIVOT TABLES'!$I$27</f>
        <v>32.801999999999992</v>
      </c>
      <c r="P900" s="14">
        <f>200-SUM(Table3[[#This Row],[M - LIGHT]:[M - VIGOROUS]])</f>
        <v>68.792000000000002</v>
      </c>
      <c r="Q900" s="14">
        <f>'PIVOT TABLES'!$P$26</f>
        <v>62.64</v>
      </c>
      <c r="R900" s="14">
        <f>'PIVOT TABLES'!$P$27-'PIVOT TABLES'!$P$26</f>
        <v>31.320000000000007</v>
      </c>
      <c r="S900" s="14">
        <f>'PIVOT TABLES'!$P$28-'PIVOT TABLES'!$P$27</f>
        <v>31.319999999999993</v>
      </c>
      <c r="T900" s="14">
        <f>200-SUM(Table3[[#This Row],[W - LIGHT]:[W - VIGOROUS]])</f>
        <v>74.72</v>
      </c>
      <c r="U900" s="14">
        <f>'PIVOT TABLES'!$W$26</f>
        <v>55.895999999999994</v>
      </c>
      <c r="V900" s="14">
        <f>'PIVOT TABLES'!$W$27-'PIVOT TABLES'!$W$26</f>
        <v>27.948</v>
      </c>
      <c r="W900" s="14">
        <f>'PIVOT TABLES'!$W$28-'PIVOT TABLES'!$W$27</f>
        <v>27.947999999999993</v>
      </c>
      <c r="X900" s="14">
        <f>200-SUM(Table3[[#This Row],[S - LIGHT]:[S - VIGOROUS]])</f>
        <v>88.208000000000013</v>
      </c>
    </row>
    <row r="901" spans="1:24" x14ac:dyDescent="0.25">
      <c r="A901" s="17" t="s">
        <v>54</v>
      </c>
      <c r="B901" s="13" t="str">
        <f t="shared" si="14"/>
        <v>Striker</v>
      </c>
      <c r="C901" s="7">
        <v>45352.648043981484</v>
      </c>
      <c r="D901" s="14">
        <v>4429</v>
      </c>
      <c r="E901" s="14">
        <v>65</v>
      </c>
      <c r="F901" s="14">
        <v>14</v>
      </c>
      <c r="G901" s="14">
        <v>13</v>
      </c>
      <c r="H901" s="14">
        <v>47.06</v>
      </c>
      <c r="I901" s="14">
        <f>'PIVOT TABLES'!$B$26</f>
        <v>60.283999999999999</v>
      </c>
      <c r="J901" s="14">
        <f>'PIVOT TABLES'!$B$27-'PIVOT TABLES'!$B$26</f>
        <v>30.142000000000003</v>
      </c>
      <c r="K901" s="14">
        <f>'PIVOT TABLES'!$B$28-'PIVOT TABLES'!$B$27</f>
        <v>30.141999999999996</v>
      </c>
      <c r="L901" s="14">
        <f>200-SUM(Table3[[#This Row],[D - LIGHT]:[D - VIGOROUS]])</f>
        <v>79.432000000000002</v>
      </c>
      <c r="M901" s="14">
        <f>'PIVOT TABLES'!$I$26</f>
        <v>65.603999999999999</v>
      </c>
      <c r="N901" s="14">
        <f>'PIVOT TABLES'!$I$27-'PIVOT TABLES'!$I$26</f>
        <v>32.802000000000007</v>
      </c>
      <c r="O901" s="14">
        <f>'PIVOT TABLES'!$I$28-'PIVOT TABLES'!$I$27</f>
        <v>32.801999999999992</v>
      </c>
      <c r="P901" s="14">
        <f>200-SUM(Table3[[#This Row],[M - LIGHT]:[M - VIGOROUS]])</f>
        <v>68.792000000000002</v>
      </c>
      <c r="Q901" s="14">
        <f>'PIVOT TABLES'!$P$26</f>
        <v>62.64</v>
      </c>
      <c r="R901" s="14">
        <f>'PIVOT TABLES'!$P$27-'PIVOT TABLES'!$P$26</f>
        <v>31.320000000000007</v>
      </c>
      <c r="S901" s="14">
        <f>'PIVOT TABLES'!$P$28-'PIVOT TABLES'!$P$27</f>
        <v>31.319999999999993</v>
      </c>
      <c r="T901" s="14">
        <f>200-SUM(Table3[[#This Row],[W - LIGHT]:[W - VIGOROUS]])</f>
        <v>74.72</v>
      </c>
      <c r="U901" s="14">
        <f>'PIVOT TABLES'!$W$26</f>
        <v>55.895999999999994</v>
      </c>
      <c r="V901" s="14">
        <f>'PIVOT TABLES'!$W$27-'PIVOT TABLES'!$W$26</f>
        <v>27.948</v>
      </c>
      <c r="W901" s="14">
        <f>'PIVOT TABLES'!$W$28-'PIVOT TABLES'!$W$27</f>
        <v>27.947999999999993</v>
      </c>
      <c r="X901" s="14">
        <f>200-SUM(Table3[[#This Row],[S - LIGHT]:[S - VIGOROUS]])</f>
        <v>88.208000000000013</v>
      </c>
    </row>
    <row r="902" spans="1:24" x14ac:dyDescent="0.25">
      <c r="A902" s="17" t="s">
        <v>55</v>
      </c>
      <c r="B902" s="13" t="str">
        <f t="shared" si="14"/>
        <v>Striker</v>
      </c>
      <c r="C902" s="7">
        <v>45352.648043981484</v>
      </c>
      <c r="D902" s="14">
        <v>5400</v>
      </c>
      <c r="E902" s="14">
        <v>32</v>
      </c>
      <c r="F902" s="14">
        <v>11</v>
      </c>
      <c r="G902" s="14">
        <v>17</v>
      </c>
      <c r="H902" s="14">
        <v>55.74</v>
      </c>
      <c r="I902" s="14">
        <f>'PIVOT TABLES'!$B$26</f>
        <v>60.283999999999999</v>
      </c>
      <c r="J902" s="14">
        <f>'PIVOT TABLES'!$B$27-'PIVOT TABLES'!$B$26</f>
        <v>30.142000000000003</v>
      </c>
      <c r="K902" s="14">
        <f>'PIVOT TABLES'!$B$28-'PIVOT TABLES'!$B$27</f>
        <v>30.141999999999996</v>
      </c>
      <c r="L902" s="14">
        <f>200-SUM(Table3[[#This Row],[D - LIGHT]:[D - VIGOROUS]])</f>
        <v>79.432000000000002</v>
      </c>
      <c r="M902" s="14">
        <f>'PIVOT TABLES'!$I$26</f>
        <v>65.603999999999999</v>
      </c>
      <c r="N902" s="14">
        <f>'PIVOT TABLES'!$I$27-'PIVOT TABLES'!$I$26</f>
        <v>32.802000000000007</v>
      </c>
      <c r="O902" s="14">
        <f>'PIVOT TABLES'!$I$28-'PIVOT TABLES'!$I$27</f>
        <v>32.801999999999992</v>
      </c>
      <c r="P902" s="14">
        <f>200-SUM(Table3[[#This Row],[M - LIGHT]:[M - VIGOROUS]])</f>
        <v>68.792000000000002</v>
      </c>
      <c r="Q902" s="14">
        <f>'PIVOT TABLES'!$P$26</f>
        <v>62.64</v>
      </c>
      <c r="R902" s="14">
        <f>'PIVOT TABLES'!$P$27-'PIVOT TABLES'!$P$26</f>
        <v>31.320000000000007</v>
      </c>
      <c r="S902" s="14">
        <f>'PIVOT TABLES'!$P$28-'PIVOT TABLES'!$P$27</f>
        <v>31.319999999999993</v>
      </c>
      <c r="T902" s="14">
        <f>200-SUM(Table3[[#This Row],[W - LIGHT]:[W - VIGOROUS]])</f>
        <v>74.72</v>
      </c>
      <c r="U902" s="14">
        <f>'PIVOT TABLES'!$W$26</f>
        <v>55.895999999999994</v>
      </c>
      <c r="V902" s="14">
        <f>'PIVOT TABLES'!$W$27-'PIVOT TABLES'!$W$26</f>
        <v>27.948</v>
      </c>
      <c r="W902" s="14">
        <f>'PIVOT TABLES'!$W$28-'PIVOT TABLES'!$W$27</f>
        <v>27.947999999999993</v>
      </c>
      <c r="X902" s="14">
        <f>200-SUM(Table3[[#This Row],[S - LIGHT]:[S - VIGOROUS]])</f>
        <v>88.208000000000013</v>
      </c>
    </row>
    <row r="903" spans="1:24" x14ac:dyDescent="0.25">
      <c r="A903" s="17" t="s">
        <v>1</v>
      </c>
      <c r="B903" s="13" t="str">
        <f t="shared" si="14"/>
        <v>Defender</v>
      </c>
      <c r="C903" s="7">
        <v>45352.648043981484</v>
      </c>
      <c r="D903" s="14">
        <v>6603</v>
      </c>
      <c r="E903" s="14">
        <v>67</v>
      </c>
      <c r="F903" s="14">
        <v>25</v>
      </c>
      <c r="G903" s="14">
        <v>20</v>
      </c>
      <c r="H903" s="14">
        <v>69.44</v>
      </c>
      <c r="I903" s="14">
        <f>'PIVOT TABLES'!$B$26</f>
        <v>60.283999999999999</v>
      </c>
      <c r="J903" s="14">
        <f>'PIVOT TABLES'!$B$27-'PIVOT TABLES'!$B$26</f>
        <v>30.142000000000003</v>
      </c>
      <c r="K903" s="14">
        <f>'PIVOT TABLES'!$B$28-'PIVOT TABLES'!$B$27</f>
        <v>30.141999999999996</v>
      </c>
      <c r="L903" s="14">
        <f>200-SUM(Table3[[#This Row],[D - LIGHT]:[D - VIGOROUS]])</f>
        <v>79.432000000000002</v>
      </c>
      <c r="M903" s="14">
        <f>'PIVOT TABLES'!$I$26</f>
        <v>65.603999999999999</v>
      </c>
      <c r="N903" s="14">
        <f>'PIVOT TABLES'!$I$27-'PIVOT TABLES'!$I$26</f>
        <v>32.802000000000007</v>
      </c>
      <c r="O903" s="14">
        <f>'PIVOT TABLES'!$I$28-'PIVOT TABLES'!$I$27</f>
        <v>32.801999999999992</v>
      </c>
      <c r="P903" s="14">
        <f>200-SUM(Table3[[#This Row],[M - LIGHT]:[M - VIGOROUS]])</f>
        <v>68.792000000000002</v>
      </c>
      <c r="Q903" s="14">
        <f>'PIVOT TABLES'!$P$26</f>
        <v>62.64</v>
      </c>
      <c r="R903" s="14">
        <f>'PIVOT TABLES'!$P$27-'PIVOT TABLES'!$P$26</f>
        <v>31.320000000000007</v>
      </c>
      <c r="S903" s="14">
        <f>'PIVOT TABLES'!$P$28-'PIVOT TABLES'!$P$27</f>
        <v>31.319999999999993</v>
      </c>
      <c r="T903" s="14">
        <f>200-SUM(Table3[[#This Row],[W - LIGHT]:[W - VIGOROUS]])</f>
        <v>74.72</v>
      </c>
      <c r="U903" s="14">
        <f>'PIVOT TABLES'!$W$26</f>
        <v>55.895999999999994</v>
      </c>
      <c r="V903" s="14">
        <f>'PIVOT TABLES'!$W$27-'PIVOT TABLES'!$W$26</f>
        <v>27.948</v>
      </c>
      <c r="W903" s="14">
        <f>'PIVOT TABLES'!$W$28-'PIVOT TABLES'!$W$27</f>
        <v>27.947999999999993</v>
      </c>
      <c r="X903" s="14">
        <f>200-SUM(Table3[[#This Row],[S - LIGHT]:[S - VIGOROUS]])</f>
        <v>88.208000000000013</v>
      </c>
    </row>
    <row r="904" spans="1:24" x14ac:dyDescent="0.25">
      <c r="A904" s="17" t="s">
        <v>56</v>
      </c>
      <c r="B904" s="13" t="str">
        <f t="shared" si="14"/>
        <v>Midfielder</v>
      </c>
      <c r="C904" s="7">
        <v>45352.648043981484</v>
      </c>
      <c r="D904" s="14">
        <v>6866</v>
      </c>
      <c r="E904" s="14">
        <v>47</v>
      </c>
      <c r="F904" s="14">
        <v>18</v>
      </c>
      <c r="G904" s="14">
        <v>10</v>
      </c>
      <c r="H904" s="14">
        <v>70.989999999999995</v>
      </c>
      <c r="I904" s="14">
        <f>'PIVOT TABLES'!$B$26</f>
        <v>60.283999999999999</v>
      </c>
      <c r="J904" s="14">
        <f>'PIVOT TABLES'!$B$27-'PIVOT TABLES'!$B$26</f>
        <v>30.142000000000003</v>
      </c>
      <c r="K904" s="14">
        <f>'PIVOT TABLES'!$B$28-'PIVOT TABLES'!$B$27</f>
        <v>30.141999999999996</v>
      </c>
      <c r="L904" s="14">
        <f>200-SUM(Table3[[#This Row],[D - LIGHT]:[D - VIGOROUS]])</f>
        <v>79.432000000000002</v>
      </c>
      <c r="M904" s="14">
        <f>'PIVOT TABLES'!$I$26</f>
        <v>65.603999999999999</v>
      </c>
      <c r="N904" s="14">
        <f>'PIVOT TABLES'!$I$27-'PIVOT TABLES'!$I$26</f>
        <v>32.802000000000007</v>
      </c>
      <c r="O904" s="14">
        <f>'PIVOT TABLES'!$I$28-'PIVOT TABLES'!$I$27</f>
        <v>32.801999999999992</v>
      </c>
      <c r="P904" s="14">
        <f>200-SUM(Table3[[#This Row],[M - LIGHT]:[M - VIGOROUS]])</f>
        <v>68.792000000000002</v>
      </c>
      <c r="Q904" s="14">
        <f>'PIVOT TABLES'!$P$26</f>
        <v>62.64</v>
      </c>
      <c r="R904" s="14">
        <f>'PIVOT TABLES'!$P$27-'PIVOT TABLES'!$P$26</f>
        <v>31.320000000000007</v>
      </c>
      <c r="S904" s="14">
        <f>'PIVOT TABLES'!$P$28-'PIVOT TABLES'!$P$27</f>
        <v>31.319999999999993</v>
      </c>
      <c r="T904" s="14">
        <f>200-SUM(Table3[[#This Row],[W - LIGHT]:[W - VIGOROUS]])</f>
        <v>74.72</v>
      </c>
      <c r="U904" s="14">
        <f>'PIVOT TABLES'!$W$26</f>
        <v>55.895999999999994</v>
      </c>
      <c r="V904" s="14">
        <f>'PIVOT TABLES'!$W$27-'PIVOT TABLES'!$W$26</f>
        <v>27.948</v>
      </c>
      <c r="W904" s="14">
        <f>'PIVOT TABLES'!$W$28-'PIVOT TABLES'!$W$27</f>
        <v>27.947999999999993</v>
      </c>
      <c r="X904" s="14">
        <f>200-SUM(Table3[[#This Row],[S - LIGHT]:[S - VIGOROUS]])</f>
        <v>88.208000000000013</v>
      </c>
    </row>
    <row r="905" spans="1:24" x14ac:dyDescent="0.25">
      <c r="A905" s="17" t="s">
        <v>2</v>
      </c>
      <c r="B905" s="13" t="str">
        <f t="shared" si="14"/>
        <v>Defender</v>
      </c>
      <c r="C905" s="7">
        <v>45352.648043981484</v>
      </c>
      <c r="D905" s="14">
        <v>7611</v>
      </c>
      <c r="E905" s="14">
        <v>237</v>
      </c>
      <c r="F905" s="14">
        <v>39</v>
      </c>
      <c r="G905" s="14">
        <v>35</v>
      </c>
      <c r="H905" s="14">
        <v>85.48</v>
      </c>
      <c r="I905" s="14">
        <f>'PIVOT TABLES'!$B$26</f>
        <v>60.283999999999999</v>
      </c>
      <c r="J905" s="14">
        <f>'PIVOT TABLES'!$B$27-'PIVOT TABLES'!$B$26</f>
        <v>30.142000000000003</v>
      </c>
      <c r="K905" s="14">
        <f>'PIVOT TABLES'!$B$28-'PIVOT TABLES'!$B$27</f>
        <v>30.141999999999996</v>
      </c>
      <c r="L905" s="14">
        <f>200-SUM(Table3[[#This Row],[D - LIGHT]:[D - VIGOROUS]])</f>
        <v>79.432000000000002</v>
      </c>
      <c r="M905" s="14">
        <f>'PIVOT TABLES'!$I$26</f>
        <v>65.603999999999999</v>
      </c>
      <c r="N905" s="14">
        <f>'PIVOT TABLES'!$I$27-'PIVOT TABLES'!$I$26</f>
        <v>32.802000000000007</v>
      </c>
      <c r="O905" s="14">
        <f>'PIVOT TABLES'!$I$28-'PIVOT TABLES'!$I$27</f>
        <v>32.801999999999992</v>
      </c>
      <c r="P905" s="14">
        <f>200-SUM(Table3[[#This Row],[M - LIGHT]:[M - VIGOROUS]])</f>
        <v>68.792000000000002</v>
      </c>
      <c r="Q905" s="14">
        <f>'PIVOT TABLES'!$P$26</f>
        <v>62.64</v>
      </c>
      <c r="R905" s="14">
        <f>'PIVOT TABLES'!$P$27-'PIVOT TABLES'!$P$26</f>
        <v>31.320000000000007</v>
      </c>
      <c r="S905" s="14">
        <f>'PIVOT TABLES'!$P$28-'PIVOT TABLES'!$P$27</f>
        <v>31.319999999999993</v>
      </c>
      <c r="T905" s="14">
        <f>200-SUM(Table3[[#This Row],[W - LIGHT]:[W - VIGOROUS]])</f>
        <v>74.72</v>
      </c>
      <c r="U905" s="14">
        <f>'PIVOT TABLES'!$W$26</f>
        <v>55.895999999999994</v>
      </c>
      <c r="V905" s="14">
        <f>'PIVOT TABLES'!$W$27-'PIVOT TABLES'!$W$26</f>
        <v>27.948</v>
      </c>
      <c r="W905" s="14">
        <f>'PIVOT TABLES'!$W$28-'PIVOT TABLES'!$W$27</f>
        <v>27.947999999999993</v>
      </c>
      <c r="X905" s="14">
        <f>200-SUM(Table3[[#This Row],[S - LIGHT]:[S - VIGOROUS]])</f>
        <v>88.208000000000013</v>
      </c>
    </row>
    <row r="906" spans="1:24" x14ac:dyDescent="0.25">
      <c r="A906" s="17" t="s">
        <v>58</v>
      </c>
      <c r="B906" s="13" t="str">
        <f t="shared" si="14"/>
        <v>Defender</v>
      </c>
      <c r="C906" s="7">
        <v>45352.648043981484</v>
      </c>
      <c r="D906" s="14">
        <v>7176</v>
      </c>
      <c r="E906" s="14">
        <v>106</v>
      </c>
      <c r="F906" s="14">
        <v>35</v>
      </c>
      <c r="G906" s="14">
        <v>26</v>
      </c>
      <c r="H906" s="14">
        <v>76.86</v>
      </c>
      <c r="I906" s="14">
        <f>'PIVOT TABLES'!$B$26</f>
        <v>60.283999999999999</v>
      </c>
      <c r="J906" s="14">
        <f>'PIVOT TABLES'!$B$27-'PIVOT TABLES'!$B$26</f>
        <v>30.142000000000003</v>
      </c>
      <c r="K906" s="14">
        <f>'PIVOT TABLES'!$B$28-'PIVOT TABLES'!$B$27</f>
        <v>30.141999999999996</v>
      </c>
      <c r="L906" s="14">
        <f>200-SUM(Table3[[#This Row],[D - LIGHT]:[D - VIGOROUS]])</f>
        <v>79.432000000000002</v>
      </c>
      <c r="M906" s="14">
        <f>'PIVOT TABLES'!$I$26</f>
        <v>65.603999999999999</v>
      </c>
      <c r="N906" s="14">
        <f>'PIVOT TABLES'!$I$27-'PIVOT TABLES'!$I$26</f>
        <v>32.802000000000007</v>
      </c>
      <c r="O906" s="14">
        <f>'PIVOT TABLES'!$I$28-'PIVOT TABLES'!$I$27</f>
        <v>32.801999999999992</v>
      </c>
      <c r="P906" s="14">
        <f>200-SUM(Table3[[#This Row],[M - LIGHT]:[M - VIGOROUS]])</f>
        <v>68.792000000000002</v>
      </c>
      <c r="Q906" s="14">
        <f>'PIVOT TABLES'!$P$26</f>
        <v>62.64</v>
      </c>
      <c r="R906" s="14">
        <f>'PIVOT TABLES'!$P$27-'PIVOT TABLES'!$P$26</f>
        <v>31.320000000000007</v>
      </c>
      <c r="S906" s="14">
        <f>'PIVOT TABLES'!$P$28-'PIVOT TABLES'!$P$27</f>
        <v>31.319999999999993</v>
      </c>
      <c r="T906" s="14">
        <f>200-SUM(Table3[[#This Row],[W - LIGHT]:[W - VIGOROUS]])</f>
        <v>74.72</v>
      </c>
      <c r="U906" s="14">
        <f>'PIVOT TABLES'!$W$26</f>
        <v>55.895999999999994</v>
      </c>
      <c r="V906" s="14">
        <f>'PIVOT TABLES'!$W$27-'PIVOT TABLES'!$W$26</f>
        <v>27.948</v>
      </c>
      <c r="W906" s="14">
        <f>'PIVOT TABLES'!$W$28-'PIVOT TABLES'!$W$27</f>
        <v>27.947999999999993</v>
      </c>
      <c r="X906" s="14">
        <f>200-SUM(Table3[[#This Row],[S - LIGHT]:[S - VIGOROUS]])</f>
        <v>88.208000000000013</v>
      </c>
    </row>
    <row r="907" spans="1:24" x14ac:dyDescent="0.25">
      <c r="A907" s="17" t="s">
        <v>94</v>
      </c>
      <c r="B907" s="13" t="str">
        <f t="shared" si="14"/>
        <v>Defender</v>
      </c>
      <c r="C907" s="7">
        <v>45352.648043981484</v>
      </c>
      <c r="D907" s="14">
        <v>7976</v>
      </c>
      <c r="E907" s="14">
        <v>64</v>
      </c>
      <c r="F907" s="14">
        <v>22</v>
      </c>
      <c r="G907" s="14">
        <v>23</v>
      </c>
      <c r="H907" s="14">
        <v>83.02</v>
      </c>
      <c r="I907" s="14">
        <f>'PIVOT TABLES'!$B$26</f>
        <v>60.283999999999999</v>
      </c>
      <c r="J907" s="14">
        <f>'PIVOT TABLES'!$B$27-'PIVOT TABLES'!$B$26</f>
        <v>30.142000000000003</v>
      </c>
      <c r="K907" s="14">
        <f>'PIVOT TABLES'!$B$28-'PIVOT TABLES'!$B$27</f>
        <v>30.141999999999996</v>
      </c>
      <c r="L907" s="14">
        <f>200-SUM(Table3[[#This Row],[D - LIGHT]:[D - VIGOROUS]])</f>
        <v>79.432000000000002</v>
      </c>
      <c r="M907" s="14">
        <f>'PIVOT TABLES'!$I$26</f>
        <v>65.603999999999999</v>
      </c>
      <c r="N907" s="14">
        <f>'PIVOT TABLES'!$I$27-'PIVOT TABLES'!$I$26</f>
        <v>32.802000000000007</v>
      </c>
      <c r="O907" s="14">
        <f>'PIVOT TABLES'!$I$28-'PIVOT TABLES'!$I$27</f>
        <v>32.801999999999992</v>
      </c>
      <c r="P907" s="14">
        <f>200-SUM(Table3[[#This Row],[M - LIGHT]:[M - VIGOROUS]])</f>
        <v>68.792000000000002</v>
      </c>
      <c r="Q907" s="14">
        <f>'PIVOT TABLES'!$P$26</f>
        <v>62.64</v>
      </c>
      <c r="R907" s="14">
        <f>'PIVOT TABLES'!$P$27-'PIVOT TABLES'!$P$26</f>
        <v>31.320000000000007</v>
      </c>
      <c r="S907" s="14">
        <f>'PIVOT TABLES'!$P$28-'PIVOT TABLES'!$P$27</f>
        <v>31.319999999999993</v>
      </c>
      <c r="T907" s="14">
        <f>200-SUM(Table3[[#This Row],[W - LIGHT]:[W - VIGOROUS]])</f>
        <v>74.72</v>
      </c>
      <c r="U907" s="14">
        <f>'PIVOT TABLES'!$W$26</f>
        <v>55.895999999999994</v>
      </c>
      <c r="V907" s="14">
        <f>'PIVOT TABLES'!$W$27-'PIVOT TABLES'!$W$26</f>
        <v>27.948</v>
      </c>
      <c r="W907" s="14">
        <f>'PIVOT TABLES'!$W$28-'PIVOT TABLES'!$W$27</f>
        <v>27.947999999999993</v>
      </c>
      <c r="X907" s="14">
        <f>200-SUM(Table3[[#This Row],[S - LIGHT]:[S - VIGOROUS]])</f>
        <v>88.208000000000013</v>
      </c>
    </row>
    <row r="908" spans="1:24" x14ac:dyDescent="0.25">
      <c r="A908" s="17" t="s">
        <v>3</v>
      </c>
      <c r="B908" s="13" t="str">
        <f t="shared" si="14"/>
        <v>Defender</v>
      </c>
      <c r="C908" s="7">
        <v>45352.648043981484</v>
      </c>
      <c r="D908" s="14">
        <v>7440</v>
      </c>
      <c r="E908" s="14">
        <v>51</v>
      </c>
      <c r="F908" s="14">
        <v>20</v>
      </c>
      <c r="G908" s="14">
        <v>32</v>
      </c>
      <c r="H908" s="14">
        <v>77.37</v>
      </c>
      <c r="I908" s="14">
        <f>'PIVOT TABLES'!$B$26</f>
        <v>60.283999999999999</v>
      </c>
      <c r="J908" s="14">
        <f>'PIVOT TABLES'!$B$27-'PIVOT TABLES'!$B$26</f>
        <v>30.142000000000003</v>
      </c>
      <c r="K908" s="14">
        <f>'PIVOT TABLES'!$B$28-'PIVOT TABLES'!$B$27</f>
        <v>30.141999999999996</v>
      </c>
      <c r="L908" s="14">
        <f>200-SUM(Table3[[#This Row],[D - LIGHT]:[D - VIGOROUS]])</f>
        <v>79.432000000000002</v>
      </c>
      <c r="M908" s="14">
        <f>'PIVOT TABLES'!$I$26</f>
        <v>65.603999999999999</v>
      </c>
      <c r="N908" s="14">
        <f>'PIVOT TABLES'!$I$27-'PIVOT TABLES'!$I$26</f>
        <v>32.802000000000007</v>
      </c>
      <c r="O908" s="14">
        <f>'PIVOT TABLES'!$I$28-'PIVOT TABLES'!$I$27</f>
        <v>32.801999999999992</v>
      </c>
      <c r="P908" s="14">
        <f>200-SUM(Table3[[#This Row],[M - LIGHT]:[M - VIGOROUS]])</f>
        <v>68.792000000000002</v>
      </c>
      <c r="Q908" s="14">
        <f>'PIVOT TABLES'!$P$26</f>
        <v>62.64</v>
      </c>
      <c r="R908" s="14">
        <f>'PIVOT TABLES'!$P$27-'PIVOT TABLES'!$P$26</f>
        <v>31.320000000000007</v>
      </c>
      <c r="S908" s="14">
        <f>'PIVOT TABLES'!$P$28-'PIVOT TABLES'!$P$27</f>
        <v>31.319999999999993</v>
      </c>
      <c r="T908" s="14">
        <f>200-SUM(Table3[[#This Row],[W - LIGHT]:[W - VIGOROUS]])</f>
        <v>74.72</v>
      </c>
      <c r="U908" s="14">
        <f>'PIVOT TABLES'!$W$26</f>
        <v>55.895999999999994</v>
      </c>
      <c r="V908" s="14">
        <f>'PIVOT TABLES'!$W$27-'PIVOT TABLES'!$W$26</f>
        <v>27.948</v>
      </c>
      <c r="W908" s="14">
        <f>'PIVOT TABLES'!$W$28-'PIVOT TABLES'!$W$27</f>
        <v>27.947999999999993</v>
      </c>
      <c r="X908" s="14">
        <f>200-SUM(Table3[[#This Row],[S - LIGHT]:[S - VIGOROUS]])</f>
        <v>88.208000000000013</v>
      </c>
    </row>
    <row r="909" spans="1:24" x14ac:dyDescent="0.25">
      <c r="A909" s="17" t="s">
        <v>59</v>
      </c>
      <c r="B909" s="13" t="str">
        <f t="shared" si="14"/>
        <v>Striker</v>
      </c>
      <c r="C909" s="7">
        <v>45352.648043981484</v>
      </c>
      <c r="D909" s="14">
        <v>6061</v>
      </c>
      <c r="E909" s="14">
        <v>96</v>
      </c>
      <c r="F909" s="14">
        <v>21</v>
      </c>
      <c r="G909" s="14">
        <v>22</v>
      </c>
      <c r="H909" s="14">
        <v>64.77</v>
      </c>
      <c r="I909" s="14">
        <f>'PIVOT TABLES'!$B$26</f>
        <v>60.283999999999999</v>
      </c>
      <c r="J909" s="14">
        <f>'PIVOT TABLES'!$B$27-'PIVOT TABLES'!$B$26</f>
        <v>30.142000000000003</v>
      </c>
      <c r="K909" s="14">
        <f>'PIVOT TABLES'!$B$28-'PIVOT TABLES'!$B$27</f>
        <v>30.141999999999996</v>
      </c>
      <c r="L909" s="14">
        <f>200-SUM(Table3[[#This Row],[D - LIGHT]:[D - VIGOROUS]])</f>
        <v>79.432000000000002</v>
      </c>
      <c r="M909" s="14">
        <f>'PIVOT TABLES'!$I$26</f>
        <v>65.603999999999999</v>
      </c>
      <c r="N909" s="14">
        <f>'PIVOT TABLES'!$I$27-'PIVOT TABLES'!$I$26</f>
        <v>32.802000000000007</v>
      </c>
      <c r="O909" s="14">
        <f>'PIVOT TABLES'!$I$28-'PIVOT TABLES'!$I$27</f>
        <v>32.801999999999992</v>
      </c>
      <c r="P909" s="14">
        <f>200-SUM(Table3[[#This Row],[M - LIGHT]:[M - VIGOROUS]])</f>
        <v>68.792000000000002</v>
      </c>
      <c r="Q909" s="14">
        <f>'PIVOT TABLES'!$P$26</f>
        <v>62.64</v>
      </c>
      <c r="R909" s="14">
        <f>'PIVOT TABLES'!$P$27-'PIVOT TABLES'!$P$26</f>
        <v>31.320000000000007</v>
      </c>
      <c r="S909" s="14">
        <f>'PIVOT TABLES'!$P$28-'PIVOT TABLES'!$P$27</f>
        <v>31.319999999999993</v>
      </c>
      <c r="T909" s="14">
        <f>200-SUM(Table3[[#This Row],[W - LIGHT]:[W - VIGOROUS]])</f>
        <v>74.72</v>
      </c>
      <c r="U909" s="14">
        <f>'PIVOT TABLES'!$W$26</f>
        <v>55.895999999999994</v>
      </c>
      <c r="V909" s="14">
        <f>'PIVOT TABLES'!$W$27-'PIVOT TABLES'!$W$26</f>
        <v>27.948</v>
      </c>
      <c r="W909" s="14">
        <f>'PIVOT TABLES'!$W$28-'PIVOT TABLES'!$W$27</f>
        <v>27.947999999999993</v>
      </c>
      <c r="X909" s="14">
        <f>200-SUM(Table3[[#This Row],[S - LIGHT]:[S - VIGOROUS]])</f>
        <v>88.208000000000013</v>
      </c>
    </row>
    <row r="910" spans="1:24" x14ac:dyDescent="0.25">
      <c r="A910" s="17" t="s">
        <v>60</v>
      </c>
      <c r="B910" s="13" t="str">
        <f t="shared" si="14"/>
        <v>Winger</v>
      </c>
      <c r="C910" s="7">
        <v>45352.648043981484</v>
      </c>
      <c r="D910" s="14">
        <v>8820</v>
      </c>
      <c r="E910" s="14">
        <v>189</v>
      </c>
      <c r="F910" s="14">
        <v>34</v>
      </c>
      <c r="G910" s="14">
        <v>24</v>
      </c>
      <c r="H910" s="14">
        <v>95.71</v>
      </c>
      <c r="I910" s="14">
        <f>'PIVOT TABLES'!$B$26</f>
        <v>60.283999999999999</v>
      </c>
      <c r="J910" s="14">
        <f>'PIVOT TABLES'!$B$27-'PIVOT TABLES'!$B$26</f>
        <v>30.142000000000003</v>
      </c>
      <c r="K910" s="14">
        <f>'PIVOT TABLES'!$B$28-'PIVOT TABLES'!$B$27</f>
        <v>30.141999999999996</v>
      </c>
      <c r="L910" s="14">
        <f>200-SUM(Table3[[#This Row],[D - LIGHT]:[D - VIGOROUS]])</f>
        <v>79.432000000000002</v>
      </c>
      <c r="M910" s="14">
        <f>'PIVOT TABLES'!$I$26</f>
        <v>65.603999999999999</v>
      </c>
      <c r="N910" s="14">
        <f>'PIVOT TABLES'!$I$27-'PIVOT TABLES'!$I$26</f>
        <v>32.802000000000007</v>
      </c>
      <c r="O910" s="14">
        <f>'PIVOT TABLES'!$I$28-'PIVOT TABLES'!$I$27</f>
        <v>32.801999999999992</v>
      </c>
      <c r="P910" s="14">
        <f>200-SUM(Table3[[#This Row],[M - LIGHT]:[M - VIGOROUS]])</f>
        <v>68.792000000000002</v>
      </c>
      <c r="Q910" s="14">
        <f>'PIVOT TABLES'!$P$26</f>
        <v>62.64</v>
      </c>
      <c r="R910" s="14">
        <f>'PIVOT TABLES'!$P$27-'PIVOT TABLES'!$P$26</f>
        <v>31.320000000000007</v>
      </c>
      <c r="S910" s="14">
        <f>'PIVOT TABLES'!$P$28-'PIVOT TABLES'!$P$27</f>
        <v>31.319999999999993</v>
      </c>
      <c r="T910" s="14">
        <f>200-SUM(Table3[[#This Row],[W - LIGHT]:[W - VIGOROUS]])</f>
        <v>74.72</v>
      </c>
      <c r="U910" s="14">
        <f>'PIVOT TABLES'!$W$26</f>
        <v>55.895999999999994</v>
      </c>
      <c r="V910" s="14">
        <f>'PIVOT TABLES'!$W$27-'PIVOT TABLES'!$W$26</f>
        <v>27.948</v>
      </c>
      <c r="W910" s="14">
        <f>'PIVOT TABLES'!$W$28-'PIVOT TABLES'!$W$27</f>
        <v>27.947999999999993</v>
      </c>
      <c r="X910" s="14">
        <f>200-SUM(Table3[[#This Row],[S - LIGHT]:[S - VIGOROUS]])</f>
        <v>88.208000000000013</v>
      </c>
    </row>
    <row r="911" spans="1:24" x14ac:dyDescent="0.25">
      <c r="A911" s="17" t="s">
        <v>71</v>
      </c>
      <c r="B911" s="13" t="str">
        <f t="shared" si="14"/>
        <v>Midfielder</v>
      </c>
      <c r="C911" s="7">
        <v>45352.648043981484</v>
      </c>
      <c r="D911" s="14">
        <v>4020</v>
      </c>
      <c r="E911" s="14">
        <v>12</v>
      </c>
      <c r="F911" s="14">
        <v>1</v>
      </c>
      <c r="G911" s="14">
        <v>4</v>
      </c>
      <c r="H911" s="14">
        <v>40.68</v>
      </c>
      <c r="I911" s="14">
        <f>'PIVOT TABLES'!$B$26</f>
        <v>60.283999999999999</v>
      </c>
      <c r="J911" s="14">
        <f>'PIVOT TABLES'!$B$27-'PIVOT TABLES'!$B$26</f>
        <v>30.142000000000003</v>
      </c>
      <c r="K911" s="14">
        <f>'PIVOT TABLES'!$B$28-'PIVOT TABLES'!$B$27</f>
        <v>30.141999999999996</v>
      </c>
      <c r="L911" s="14">
        <f>200-SUM(Table3[[#This Row],[D - LIGHT]:[D - VIGOROUS]])</f>
        <v>79.432000000000002</v>
      </c>
      <c r="M911" s="14">
        <f>'PIVOT TABLES'!$I$26</f>
        <v>65.603999999999999</v>
      </c>
      <c r="N911" s="14">
        <f>'PIVOT TABLES'!$I$27-'PIVOT TABLES'!$I$26</f>
        <v>32.802000000000007</v>
      </c>
      <c r="O911" s="14">
        <f>'PIVOT TABLES'!$I$28-'PIVOT TABLES'!$I$27</f>
        <v>32.801999999999992</v>
      </c>
      <c r="P911" s="14">
        <f>200-SUM(Table3[[#This Row],[M - LIGHT]:[M - VIGOROUS]])</f>
        <v>68.792000000000002</v>
      </c>
      <c r="Q911" s="14">
        <f>'PIVOT TABLES'!$P$26</f>
        <v>62.64</v>
      </c>
      <c r="R911" s="14">
        <f>'PIVOT TABLES'!$P$27-'PIVOT TABLES'!$P$26</f>
        <v>31.320000000000007</v>
      </c>
      <c r="S911" s="14">
        <f>'PIVOT TABLES'!$P$28-'PIVOT TABLES'!$P$27</f>
        <v>31.319999999999993</v>
      </c>
      <c r="T911" s="14">
        <f>200-SUM(Table3[[#This Row],[W - LIGHT]:[W - VIGOROUS]])</f>
        <v>74.72</v>
      </c>
      <c r="U911" s="14">
        <f>'PIVOT TABLES'!$W$26</f>
        <v>55.895999999999994</v>
      </c>
      <c r="V911" s="14">
        <f>'PIVOT TABLES'!$W$27-'PIVOT TABLES'!$W$26</f>
        <v>27.948</v>
      </c>
      <c r="W911" s="14">
        <f>'PIVOT TABLES'!$W$28-'PIVOT TABLES'!$W$27</f>
        <v>27.947999999999993</v>
      </c>
      <c r="X911" s="14">
        <f>200-SUM(Table3[[#This Row],[S - LIGHT]:[S - VIGOROUS]])</f>
        <v>88.208000000000013</v>
      </c>
    </row>
    <row r="912" spans="1:24" x14ac:dyDescent="0.25">
      <c r="A912" s="17" t="s">
        <v>5</v>
      </c>
      <c r="B912" s="13" t="str">
        <f t="shared" si="14"/>
        <v>Midfielder</v>
      </c>
      <c r="C912" s="7">
        <v>45352.648043981484</v>
      </c>
      <c r="D912" s="14">
        <v>7490</v>
      </c>
      <c r="E912" s="14">
        <v>135</v>
      </c>
      <c r="F912" s="14">
        <v>19</v>
      </c>
      <c r="G912" s="14">
        <v>19</v>
      </c>
      <c r="H912" s="14">
        <v>80.09</v>
      </c>
      <c r="I912" s="14">
        <f>'PIVOT TABLES'!$B$26</f>
        <v>60.283999999999999</v>
      </c>
      <c r="J912" s="14">
        <f>'PIVOT TABLES'!$B$27-'PIVOT TABLES'!$B$26</f>
        <v>30.142000000000003</v>
      </c>
      <c r="K912" s="14">
        <f>'PIVOT TABLES'!$B$28-'PIVOT TABLES'!$B$27</f>
        <v>30.141999999999996</v>
      </c>
      <c r="L912" s="14">
        <f>200-SUM(Table3[[#This Row],[D - LIGHT]:[D - VIGOROUS]])</f>
        <v>79.432000000000002</v>
      </c>
      <c r="M912" s="14">
        <f>'PIVOT TABLES'!$I$26</f>
        <v>65.603999999999999</v>
      </c>
      <c r="N912" s="14">
        <f>'PIVOT TABLES'!$I$27-'PIVOT TABLES'!$I$26</f>
        <v>32.802000000000007</v>
      </c>
      <c r="O912" s="14">
        <f>'PIVOT TABLES'!$I$28-'PIVOT TABLES'!$I$27</f>
        <v>32.801999999999992</v>
      </c>
      <c r="P912" s="14">
        <f>200-SUM(Table3[[#This Row],[M - LIGHT]:[M - VIGOROUS]])</f>
        <v>68.792000000000002</v>
      </c>
      <c r="Q912" s="14">
        <f>'PIVOT TABLES'!$P$26</f>
        <v>62.64</v>
      </c>
      <c r="R912" s="14">
        <f>'PIVOT TABLES'!$P$27-'PIVOT TABLES'!$P$26</f>
        <v>31.320000000000007</v>
      </c>
      <c r="S912" s="14">
        <f>'PIVOT TABLES'!$P$28-'PIVOT TABLES'!$P$27</f>
        <v>31.319999999999993</v>
      </c>
      <c r="T912" s="14">
        <f>200-SUM(Table3[[#This Row],[W - LIGHT]:[W - VIGOROUS]])</f>
        <v>74.72</v>
      </c>
      <c r="U912" s="14">
        <f>'PIVOT TABLES'!$W$26</f>
        <v>55.895999999999994</v>
      </c>
      <c r="V912" s="14">
        <f>'PIVOT TABLES'!$W$27-'PIVOT TABLES'!$W$26</f>
        <v>27.948</v>
      </c>
      <c r="W912" s="14">
        <f>'PIVOT TABLES'!$W$28-'PIVOT TABLES'!$W$27</f>
        <v>27.947999999999993</v>
      </c>
      <c r="X912" s="14">
        <f>200-SUM(Table3[[#This Row],[S - LIGHT]:[S - VIGOROUS]])</f>
        <v>88.208000000000013</v>
      </c>
    </row>
    <row r="913" spans="1:24" x14ac:dyDescent="0.25">
      <c r="A913" s="17" t="s">
        <v>6</v>
      </c>
      <c r="B913" s="13" t="str">
        <f t="shared" si="14"/>
        <v>Midfielder</v>
      </c>
      <c r="C913" s="7">
        <v>45352.648043981484</v>
      </c>
      <c r="D913" s="14">
        <v>8131</v>
      </c>
      <c r="E913" s="14">
        <v>176</v>
      </c>
      <c r="F913" s="14">
        <v>35</v>
      </c>
      <c r="G913" s="14">
        <v>23</v>
      </c>
      <c r="H913" s="14">
        <v>88.45</v>
      </c>
      <c r="I913" s="14">
        <f>'PIVOT TABLES'!$B$26</f>
        <v>60.283999999999999</v>
      </c>
      <c r="J913" s="14">
        <f>'PIVOT TABLES'!$B$27-'PIVOT TABLES'!$B$26</f>
        <v>30.142000000000003</v>
      </c>
      <c r="K913" s="14">
        <f>'PIVOT TABLES'!$B$28-'PIVOT TABLES'!$B$27</f>
        <v>30.141999999999996</v>
      </c>
      <c r="L913" s="14">
        <f>200-SUM(Table3[[#This Row],[D - LIGHT]:[D - VIGOROUS]])</f>
        <v>79.432000000000002</v>
      </c>
      <c r="M913" s="14">
        <f>'PIVOT TABLES'!$I$26</f>
        <v>65.603999999999999</v>
      </c>
      <c r="N913" s="14">
        <f>'PIVOT TABLES'!$I$27-'PIVOT TABLES'!$I$26</f>
        <v>32.802000000000007</v>
      </c>
      <c r="O913" s="14">
        <f>'PIVOT TABLES'!$I$28-'PIVOT TABLES'!$I$27</f>
        <v>32.801999999999992</v>
      </c>
      <c r="P913" s="14">
        <f>200-SUM(Table3[[#This Row],[M - LIGHT]:[M - VIGOROUS]])</f>
        <v>68.792000000000002</v>
      </c>
      <c r="Q913" s="14">
        <f>'PIVOT TABLES'!$P$26</f>
        <v>62.64</v>
      </c>
      <c r="R913" s="14">
        <f>'PIVOT TABLES'!$P$27-'PIVOT TABLES'!$P$26</f>
        <v>31.320000000000007</v>
      </c>
      <c r="S913" s="14">
        <f>'PIVOT TABLES'!$P$28-'PIVOT TABLES'!$P$27</f>
        <v>31.319999999999993</v>
      </c>
      <c r="T913" s="14">
        <f>200-SUM(Table3[[#This Row],[W - LIGHT]:[W - VIGOROUS]])</f>
        <v>74.72</v>
      </c>
      <c r="U913" s="14">
        <f>'PIVOT TABLES'!$W$26</f>
        <v>55.895999999999994</v>
      </c>
      <c r="V913" s="14">
        <f>'PIVOT TABLES'!$W$27-'PIVOT TABLES'!$W$26</f>
        <v>27.948</v>
      </c>
      <c r="W913" s="14">
        <f>'PIVOT TABLES'!$W$28-'PIVOT TABLES'!$W$27</f>
        <v>27.947999999999993</v>
      </c>
      <c r="X913" s="14">
        <f>200-SUM(Table3[[#This Row],[S - LIGHT]:[S - VIGOROUS]])</f>
        <v>88.208000000000013</v>
      </c>
    </row>
    <row r="914" spans="1:24" x14ac:dyDescent="0.25">
      <c r="A914" s="17" t="s">
        <v>64</v>
      </c>
      <c r="B914" s="13" t="str">
        <f t="shared" si="14"/>
        <v>Midfielder</v>
      </c>
      <c r="C914" s="7">
        <v>45352.648043981484</v>
      </c>
      <c r="D914" s="14">
        <v>8793</v>
      </c>
      <c r="E914" s="14">
        <v>106</v>
      </c>
      <c r="F914" s="14">
        <v>25</v>
      </c>
      <c r="G914" s="14">
        <v>22</v>
      </c>
      <c r="H914" s="14">
        <v>92.55</v>
      </c>
      <c r="I914" s="14">
        <f>'PIVOT TABLES'!$B$26</f>
        <v>60.283999999999999</v>
      </c>
      <c r="J914" s="14">
        <f>'PIVOT TABLES'!$B$27-'PIVOT TABLES'!$B$26</f>
        <v>30.142000000000003</v>
      </c>
      <c r="K914" s="14">
        <f>'PIVOT TABLES'!$B$28-'PIVOT TABLES'!$B$27</f>
        <v>30.141999999999996</v>
      </c>
      <c r="L914" s="14">
        <f>200-SUM(Table3[[#This Row],[D - LIGHT]:[D - VIGOROUS]])</f>
        <v>79.432000000000002</v>
      </c>
      <c r="M914" s="14">
        <f>'PIVOT TABLES'!$I$26</f>
        <v>65.603999999999999</v>
      </c>
      <c r="N914" s="14">
        <f>'PIVOT TABLES'!$I$27-'PIVOT TABLES'!$I$26</f>
        <v>32.802000000000007</v>
      </c>
      <c r="O914" s="14">
        <f>'PIVOT TABLES'!$I$28-'PIVOT TABLES'!$I$27</f>
        <v>32.801999999999992</v>
      </c>
      <c r="P914" s="14">
        <f>200-SUM(Table3[[#This Row],[M - LIGHT]:[M - VIGOROUS]])</f>
        <v>68.792000000000002</v>
      </c>
      <c r="Q914" s="14">
        <f>'PIVOT TABLES'!$P$26</f>
        <v>62.64</v>
      </c>
      <c r="R914" s="14">
        <f>'PIVOT TABLES'!$P$27-'PIVOT TABLES'!$P$26</f>
        <v>31.320000000000007</v>
      </c>
      <c r="S914" s="14">
        <f>'PIVOT TABLES'!$P$28-'PIVOT TABLES'!$P$27</f>
        <v>31.319999999999993</v>
      </c>
      <c r="T914" s="14">
        <f>200-SUM(Table3[[#This Row],[W - LIGHT]:[W - VIGOROUS]])</f>
        <v>74.72</v>
      </c>
      <c r="U914" s="14">
        <f>'PIVOT TABLES'!$W$26</f>
        <v>55.895999999999994</v>
      </c>
      <c r="V914" s="14">
        <f>'PIVOT TABLES'!$W$27-'PIVOT TABLES'!$W$26</f>
        <v>27.948</v>
      </c>
      <c r="W914" s="14">
        <f>'PIVOT TABLES'!$W$28-'PIVOT TABLES'!$W$27</f>
        <v>27.947999999999993</v>
      </c>
      <c r="X914" s="14">
        <f>200-SUM(Table3[[#This Row],[S - LIGHT]:[S - VIGOROUS]])</f>
        <v>88.208000000000013</v>
      </c>
    </row>
    <row r="915" spans="1:24" x14ac:dyDescent="0.25">
      <c r="A915" s="17" t="s">
        <v>65</v>
      </c>
      <c r="B915" s="13" t="str">
        <f t="shared" si="14"/>
        <v>Winger</v>
      </c>
      <c r="C915" s="7">
        <v>45352.648043981484</v>
      </c>
      <c r="D915" s="14">
        <v>8896</v>
      </c>
      <c r="E915" s="14">
        <v>291</v>
      </c>
      <c r="F915" s="14">
        <v>50</v>
      </c>
      <c r="G915" s="14">
        <v>35</v>
      </c>
      <c r="H915" s="14">
        <v>100.39</v>
      </c>
      <c r="I915" s="14">
        <f>'PIVOT TABLES'!$B$26</f>
        <v>60.283999999999999</v>
      </c>
      <c r="J915" s="14">
        <f>'PIVOT TABLES'!$B$27-'PIVOT TABLES'!$B$26</f>
        <v>30.142000000000003</v>
      </c>
      <c r="K915" s="14">
        <f>'PIVOT TABLES'!$B$28-'PIVOT TABLES'!$B$27</f>
        <v>30.141999999999996</v>
      </c>
      <c r="L915" s="14">
        <f>200-SUM(Table3[[#This Row],[D - LIGHT]:[D - VIGOROUS]])</f>
        <v>79.432000000000002</v>
      </c>
      <c r="M915" s="14">
        <f>'PIVOT TABLES'!$I$26</f>
        <v>65.603999999999999</v>
      </c>
      <c r="N915" s="14">
        <f>'PIVOT TABLES'!$I$27-'PIVOT TABLES'!$I$26</f>
        <v>32.802000000000007</v>
      </c>
      <c r="O915" s="14">
        <f>'PIVOT TABLES'!$I$28-'PIVOT TABLES'!$I$27</f>
        <v>32.801999999999992</v>
      </c>
      <c r="P915" s="14">
        <f>200-SUM(Table3[[#This Row],[M - LIGHT]:[M - VIGOROUS]])</f>
        <v>68.792000000000002</v>
      </c>
      <c r="Q915" s="14">
        <f>'PIVOT TABLES'!$P$26</f>
        <v>62.64</v>
      </c>
      <c r="R915" s="14">
        <f>'PIVOT TABLES'!$P$27-'PIVOT TABLES'!$P$26</f>
        <v>31.320000000000007</v>
      </c>
      <c r="S915" s="14">
        <f>'PIVOT TABLES'!$P$28-'PIVOT TABLES'!$P$27</f>
        <v>31.319999999999993</v>
      </c>
      <c r="T915" s="14">
        <f>200-SUM(Table3[[#This Row],[W - LIGHT]:[W - VIGOROUS]])</f>
        <v>74.72</v>
      </c>
      <c r="U915" s="14">
        <f>'PIVOT TABLES'!$W$26</f>
        <v>55.895999999999994</v>
      </c>
      <c r="V915" s="14">
        <f>'PIVOT TABLES'!$W$27-'PIVOT TABLES'!$W$26</f>
        <v>27.948</v>
      </c>
      <c r="W915" s="14">
        <f>'PIVOT TABLES'!$W$28-'PIVOT TABLES'!$W$27</f>
        <v>27.947999999999993</v>
      </c>
      <c r="X915" s="14">
        <f>200-SUM(Table3[[#This Row],[S - LIGHT]:[S - VIGOROUS]])</f>
        <v>88.208000000000013</v>
      </c>
    </row>
    <row r="916" spans="1:24" x14ac:dyDescent="0.25">
      <c r="A916" s="17" t="s">
        <v>77</v>
      </c>
      <c r="B916" s="13" t="str">
        <f t="shared" si="14"/>
        <v>Defender</v>
      </c>
      <c r="C916" s="7">
        <v>45352.648043981484</v>
      </c>
      <c r="D916" s="14">
        <v>5030</v>
      </c>
      <c r="E916" s="14">
        <v>163</v>
      </c>
      <c r="F916" s="14">
        <v>13</v>
      </c>
      <c r="G916" s="14">
        <v>14</v>
      </c>
      <c r="H916" s="14">
        <v>55.99</v>
      </c>
      <c r="I916" s="14">
        <f>'PIVOT TABLES'!$B$26</f>
        <v>60.283999999999999</v>
      </c>
      <c r="J916" s="14">
        <f>'PIVOT TABLES'!$B$27-'PIVOT TABLES'!$B$26</f>
        <v>30.142000000000003</v>
      </c>
      <c r="K916" s="14">
        <f>'PIVOT TABLES'!$B$28-'PIVOT TABLES'!$B$27</f>
        <v>30.141999999999996</v>
      </c>
      <c r="L916" s="14">
        <f>200-SUM(Table3[[#This Row],[D - LIGHT]:[D - VIGOROUS]])</f>
        <v>79.432000000000002</v>
      </c>
      <c r="M916" s="14">
        <f>'PIVOT TABLES'!$I$26</f>
        <v>65.603999999999999</v>
      </c>
      <c r="N916" s="14">
        <f>'PIVOT TABLES'!$I$27-'PIVOT TABLES'!$I$26</f>
        <v>32.802000000000007</v>
      </c>
      <c r="O916" s="14">
        <f>'PIVOT TABLES'!$I$28-'PIVOT TABLES'!$I$27</f>
        <v>32.801999999999992</v>
      </c>
      <c r="P916" s="14">
        <f>200-SUM(Table3[[#This Row],[M - LIGHT]:[M - VIGOROUS]])</f>
        <v>68.792000000000002</v>
      </c>
      <c r="Q916" s="14">
        <f>'PIVOT TABLES'!$P$26</f>
        <v>62.64</v>
      </c>
      <c r="R916" s="14">
        <f>'PIVOT TABLES'!$P$27-'PIVOT TABLES'!$P$26</f>
        <v>31.320000000000007</v>
      </c>
      <c r="S916" s="14">
        <f>'PIVOT TABLES'!$P$28-'PIVOT TABLES'!$P$27</f>
        <v>31.319999999999993</v>
      </c>
      <c r="T916" s="14">
        <f>200-SUM(Table3[[#This Row],[W - LIGHT]:[W - VIGOROUS]])</f>
        <v>74.72</v>
      </c>
      <c r="U916" s="14">
        <f>'PIVOT TABLES'!$W$26</f>
        <v>55.895999999999994</v>
      </c>
      <c r="V916" s="14">
        <f>'PIVOT TABLES'!$W$27-'PIVOT TABLES'!$W$26</f>
        <v>27.948</v>
      </c>
      <c r="W916" s="14">
        <f>'PIVOT TABLES'!$W$28-'PIVOT TABLES'!$W$27</f>
        <v>27.947999999999993</v>
      </c>
      <c r="X916" s="14">
        <f>200-SUM(Table3[[#This Row],[S - LIGHT]:[S - VIGOROUS]])</f>
        <v>88.208000000000013</v>
      </c>
    </row>
    <row r="917" spans="1:24" x14ac:dyDescent="0.25">
      <c r="A917" s="17" t="s">
        <v>66</v>
      </c>
      <c r="B917" s="13" t="str">
        <f t="shared" si="14"/>
        <v>Striker</v>
      </c>
      <c r="C917" s="7">
        <v>45352.648043981484</v>
      </c>
      <c r="D917" s="14">
        <v>7479</v>
      </c>
      <c r="E917" s="14">
        <v>100</v>
      </c>
      <c r="F917" s="14">
        <v>41</v>
      </c>
      <c r="G917" s="14">
        <v>29</v>
      </c>
      <c r="H917" s="14">
        <v>80.010000000000005</v>
      </c>
      <c r="I917" s="14">
        <f>'PIVOT TABLES'!$B$26</f>
        <v>60.283999999999999</v>
      </c>
      <c r="J917" s="14">
        <f>'PIVOT TABLES'!$B$27-'PIVOT TABLES'!$B$26</f>
        <v>30.142000000000003</v>
      </c>
      <c r="K917" s="14">
        <f>'PIVOT TABLES'!$B$28-'PIVOT TABLES'!$B$27</f>
        <v>30.141999999999996</v>
      </c>
      <c r="L917" s="14">
        <f>200-SUM(Table3[[#This Row],[D - LIGHT]:[D - VIGOROUS]])</f>
        <v>79.432000000000002</v>
      </c>
      <c r="M917" s="14">
        <f>'PIVOT TABLES'!$I$26</f>
        <v>65.603999999999999</v>
      </c>
      <c r="N917" s="14">
        <f>'PIVOT TABLES'!$I$27-'PIVOT TABLES'!$I$26</f>
        <v>32.802000000000007</v>
      </c>
      <c r="O917" s="14">
        <f>'PIVOT TABLES'!$I$28-'PIVOT TABLES'!$I$27</f>
        <v>32.801999999999992</v>
      </c>
      <c r="P917" s="14">
        <f>200-SUM(Table3[[#This Row],[M - LIGHT]:[M - VIGOROUS]])</f>
        <v>68.792000000000002</v>
      </c>
      <c r="Q917" s="14">
        <f>'PIVOT TABLES'!$P$26</f>
        <v>62.64</v>
      </c>
      <c r="R917" s="14">
        <f>'PIVOT TABLES'!$P$27-'PIVOT TABLES'!$P$26</f>
        <v>31.320000000000007</v>
      </c>
      <c r="S917" s="14">
        <f>'PIVOT TABLES'!$P$28-'PIVOT TABLES'!$P$27</f>
        <v>31.319999999999993</v>
      </c>
      <c r="T917" s="14">
        <f>200-SUM(Table3[[#This Row],[W - LIGHT]:[W - VIGOROUS]])</f>
        <v>74.72</v>
      </c>
      <c r="U917" s="14">
        <f>'PIVOT TABLES'!$W$26</f>
        <v>55.895999999999994</v>
      </c>
      <c r="V917" s="14">
        <f>'PIVOT TABLES'!$W$27-'PIVOT TABLES'!$W$26</f>
        <v>27.948</v>
      </c>
      <c r="W917" s="14">
        <f>'PIVOT TABLES'!$W$28-'PIVOT TABLES'!$W$27</f>
        <v>27.947999999999993</v>
      </c>
      <c r="X917" s="14">
        <f>200-SUM(Table3[[#This Row],[S - LIGHT]:[S - VIGOROUS]])</f>
        <v>88.208000000000013</v>
      </c>
    </row>
    <row r="918" spans="1:24" x14ac:dyDescent="0.25">
      <c r="A918" s="17" t="s">
        <v>78</v>
      </c>
      <c r="B918" s="13" t="str">
        <f t="shared" si="14"/>
        <v>Defender</v>
      </c>
      <c r="C918" s="7">
        <v>45352.648043981484</v>
      </c>
      <c r="D918" s="14">
        <v>6472</v>
      </c>
      <c r="E918" s="14">
        <v>97</v>
      </c>
      <c r="F918" s="14">
        <v>24</v>
      </c>
      <c r="G918" s="14">
        <v>22</v>
      </c>
      <c r="H918" s="14">
        <v>69.03</v>
      </c>
      <c r="I918" s="14">
        <f>'PIVOT TABLES'!$B$26</f>
        <v>60.283999999999999</v>
      </c>
      <c r="J918" s="14">
        <f>'PIVOT TABLES'!$B$27-'PIVOT TABLES'!$B$26</f>
        <v>30.142000000000003</v>
      </c>
      <c r="K918" s="14">
        <f>'PIVOT TABLES'!$B$28-'PIVOT TABLES'!$B$27</f>
        <v>30.141999999999996</v>
      </c>
      <c r="L918" s="14">
        <f>200-SUM(Table3[[#This Row],[D - LIGHT]:[D - VIGOROUS]])</f>
        <v>79.432000000000002</v>
      </c>
      <c r="M918" s="14">
        <f>'PIVOT TABLES'!$I$26</f>
        <v>65.603999999999999</v>
      </c>
      <c r="N918" s="14">
        <f>'PIVOT TABLES'!$I$27-'PIVOT TABLES'!$I$26</f>
        <v>32.802000000000007</v>
      </c>
      <c r="O918" s="14">
        <f>'PIVOT TABLES'!$I$28-'PIVOT TABLES'!$I$27</f>
        <v>32.801999999999992</v>
      </c>
      <c r="P918" s="14">
        <f>200-SUM(Table3[[#This Row],[M - LIGHT]:[M - VIGOROUS]])</f>
        <v>68.792000000000002</v>
      </c>
      <c r="Q918" s="14">
        <f>'PIVOT TABLES'!$P$26</f>
        <v>62.64</v>
      </c>
      <c r="R918" s="14">
        <f>'PIVOT TABLES'!$P$27-'PIVOT TABLES'!$P$26</f>
        <v>31.320000000000007</v>
      </c>
      <c r="S918" s="14">
        <f>'PIVOT TABLES'!$P$28-'PIVOT TABLES'!$P$27</f>
        <v>31.319999999999993</v>
      </c>
      <c r="T918" s="14">
        <f>200-SUM(Table3[[#This Row],[W - LIGHT]:[W - VIGOROUS]])</f>
        <v>74.72</v>
      </c>
      <c r="U918" s="14">
        <f>'PIVOT TABLES'!$W$26</f>
        <v>55.895999999999994</v>
      </c>
      <c r="V918" s="14">
        <f>'PIVOT TABLES'!$W$27-'PIVOT TABLES'!$W$26</f>
        <v>27.948</v>
      </c>
      <c r="W918" s="14">
        <f>'PIVOT TABLES'!$W$28-'PIVOT TABLES'!$W$27</f>
        <v>27.947999999999993</v>
      </c>
      <c r="X918" s="14">
        <f>200-SUM(Table3[[#This Row],[S - LIGHT]:[S - VIGOROUS]])</f>
        <v>88.208000000000013</v>
      </c>
    </row>
    <row r="919" spans="1:24" x14ac:dyDescent="0.25">
      <c r="A919" s="17" t="s">
        <v>95</v>
      </c>
      <c r="B919" s="13" t="str">
        <f t="shared" si="14"/>
        <v>Winger</v>
      </c>
      <c r="C919" s="7">
        <v>45352.648043981484</v>
      </c>
      <c r="D919" s="14">
        <v>5730</v>
      </c>
      <c r="E919" s="14">
        <v>14</v>
      </c>
      <c r="F919" s="14">
        <v>17</v>
      </c>
      <c r="G919" s="14">
        <v>11</v>
      </c>
      <c r="H919" s="14">
        <v>58.62</v>
      </c>
      <c r="I919" s="14">
        <f>'PIVOT TABLES'!$B$26</f>
        <v>60.283999999999999</v>
      </c>
      <c r="J919" s="14">
        <f>'PIVOT TABLES'!$B$27-'PIVOT TABLES'!$B$26</f>
        <v>30.142000000000003</v>
      </c>
      <c r="K919" s="14">
        <f>'PIVOT TABLES'!$B$28-'PIVOT TABLES'!$B$27</f>
        <v>30.141999999999996</v>
      </c>
      <c r="L919" s="14">
        <f>200-SUM(Table3[[#This Row],[D - LIGHT]:[D - VIGOROUS]])</f>
        <v>79.432000000000002</v>
      </c>
      <c r="M919" s="14">
        <f>'PIVOT TABLES'!$I$26</f>
        <v>65.603999999999999</v>
      </c>
      <c r="N919" s="14">
        <f>'PIVOT TABLES'!$I$27-'PIVOT TABLES'!$I$26</f>
        <v>32.802000000000007</v>
      </c>
      <c r="O919" s="14">
        <f>'PIVOT TABLES'!$I$28-'PIVOT TABLES'!$I$27</f>
        <v>32.801999999999992</v>
      </c>
      <c r="P919" s="14">
        <f>200-SUM(Table3[[#This Row],[M - LIGHT]:[M - VIGOROUS]])</f>
        <v>68.792000000000002</v>
      </c>
      <c r="Q919" s="14">
        <f>'PIVOT TABLES'!$P$26</f>
        <v>62.64</v>
      </c>
      <c r="R919" s="14">
        <f>'PIVOT TABLES'!$P$27-'PIVOT TABLES'!$P$26</f>
        <v>31.320000000000007</v>
      </c>
      <c r="S919" s="14">
        <f>'PIVOT TABLES'!$P$28-'PIVOT TABLES'!$P$27</f>
        <v>31.319999999999993</v>
      </c>
      <c r="T919" s="14">
        <f>200-SUM(Table3[[#This Row],[W - LIGHT]:[W - VIGOROUS]])</f>
        <v>74.72</v>
      </c>
      <c r="U919" s="14">
        <f>'PIVOT TABLES'!$W$26</f>
        <v>55.895999999999994</v>
      </c>
      <c r="V919" s="14">
        <f>'PIVOT TABLES'!$W$27-'PIVOT TABLES'!$W$26</f>
        <v>27.948</v>
      </c>
      <c r="W919" s="14">
        <f>'PIVOT TABLES'!$W$28-'PIVOT TABLES'!$W$27</f>
        <v>27.947999999999993</v>
      </c>
      <c r="X919" s="14">
        <f>200-SUM(Table3[[#This Row],[S - LIGHT]:[S - VIGOROUS]])</f>
        <v>88.208000000000013</v>
      </c>
    </row>
    <row r="920" spans="1:24" x14ac:dyDescent="0.25">
      <c r="A920" s="17" t="s">
        <v>8</v>
      </c>
      <c r="B920" s="13" t="str">
        <f t="shared" si="14"/>
        <v>Striker</v>
      </c>
      <c r="C920" s="7">
        <v>45352.648043981484</v>
      </c>
      <c r="D920" s="14">
        <v>7229</v>
      </c>
      <c r="E920" s="14">
        <v>150</v>
      </c>
      <c r="F920" s="14">
        <v>23</v>
      </c>
      <c r="G920" s="14">
        <v>30</v>
      </c>
      <c r="H920" s="14">
        <v>78.31</v>
      </c>
      <c r="I920" s="14">
        <f>'PIVOT TABLES'!$B$26</f>
        <v>60.283999999999999</v>
      </c>
      <c r="J920" s="14">
        <f>'PIVOT TABLES'!$B$27-'PIVOT TABLES'!$B$26</f>
        <v>30.142000000000003</v>
      </c>
      <c r="K920" s="14">
        <f>'PIVOT TABLES'!$B$28-'PIVOT TABLES'!$B$27</f>
        <v>30.141999999999996</v>
      </c>
      <c r="L920" s="14">
        <f>200-SUM(Table3[[#This Row],[D - LIGHT]:[D - VIGOROUS]])</f>
        <v>79.432000000000002</v>
      </c>
      <c r="M920" s="14">
        <f>'PIVOT TABLES'!$I$26</f>
        <v>65.603999999999999</v>
      </c>
      <c r="N920" s="14">
        <f>'PIVOT TABLES'!$I$27-'PIVOT TABLES'!$I$26</f>
        <v>32.802000000000007</v>
      </c>
      <c r="O920" s="14">
        <f>'PIVOT TABLES'!$I$28-'PIVOT TABLES'!$I$27</f>
        <v>32.801999999999992</v>
      </c>
      <c r="P920" s="14">
        <f>200-SUM(Table3[[#This Row],[M - LIGHT]:[M - VIGOROUS]])</f>
        <v>68.792000000000002</v>
      </c>
      <c r="Q920" s="14">
        <f>'PIVOT TABLES'!$P$26</f>
        <v>62.64</v>
      </c>
      <c r="R920" s="14">
        <f>'PIVOT TABLES'!$P$27-'PIVOT TABLES'!$P$26</f>
        <v>31.320000000000007</v>
      </c>
      <c r="S920" s="14">
        <f>'PIVOT TABLES'!$P$28-'PIVOT TABLES'!$P$27</f>
        <v>31.319999999999993</v>
      </c>
      <c r="T920" s="14">
        <f>200-SUM(Table3[[#This Row],[W - LIGHT]:[W - VIGOROUS]])</f>
        <v>74.72</v>
      </c>
      <c r="U920" s="14">
        <f>'PIVOT TABLES'!$W$26</f>
        <v>55.895999999999994</v>
      </c>
      <c r="V920" s="14">
        <f>'PIVOT TABLES'!$W$27-'PIVOT TABLES'!$W$26</f>
        <v>27.948</v>
      </c>
      <c r="W920" s="14">
        <f>'PIVOT TABLES'!$W$28-'PIVOT TABLES'!$W$27</f>
        <v>27.947999999999993</v>
      </c>
      <c r="X920" s="14">
        <f>200-SUM(Table3[[#This Row],[S - LIGHT]:[S - VIGOROUS]])</f>
        <v>88.208000000000013</v>
      </c>
    </row>
    <row r="921" spans="1:24" x14ac:dyDescent="0.25">
      <c r="A921" s="17" t="s">
        <v>67</v>
      </c>
      <c r="B921" s="13" t="str">
        <f t="shared" si="14"/>
        <v>Midfielder</v>
      </c>
      <c r="C921" s="7">
        <v>45352.648043981484</v>
      </c>
      <c r="D921" s="14">
        <v>7921</v>
      </c>
      <c r="E921" s="14">
        <v>24</v>
      </c>
      <c r="F921" s="14">
        <v>36</v>
      </c>
      <c r="G921" s="14">
        <v>18</v>
      </c>
      <c r="H921" s="14">
        <v>81.73</v>
      </c>
      <c r="I921" s="14">
        <f>'PIVOT TABLES'!$B$26</f>
        <v>60.283999999999999</v>
      </c>
      <c r="J921" s="14">
        <f>'PIVOT TABLES'!$B$27-'PIVOT TABLES'!$B$26</f>
        <v>30.142000000000003</v>
      </c>
      <c r="K921" s="14">
        <f>'PIVOT TABLES'!$B$28-'PIVOT TABLES'!$B$27</f>
        <v>30.141999999999996</v>
      </c>
      <c r="L921" s="14">
        <f>200-SUM(Table3[[#This Row],[D - LIGHT]:[D - VIGOROUS]])</f>
        <v>79.432000000000002</v>
      </c>
      <c r="M921" s="14">
        <f>'PIVOT TABLES'!$I$26</f>
        <v>65.603999999999999</v>
      </c>
      <c r="N921" s="14">
        <f>'PIVOT TABLES'!$I$27-'PIVOT TABLES'!$I$26</f>
        <v>32.802000000000007</v>
      </c>
      <c r="O921" s="14">
        <f>'PIVOT TABLES'!$I$28-'PIVOT TABLES'!$I$27</f>
        <v>32.801999999999992</v>
      </c>
      <c r="P921" s="14">
        <f>200-SUM(Table3[[#This Row],[M - LIGHT]:[M - VIGOROUS]])</f>
        <v>68.792000000000002</v>
      </c>
      <c r="Q921" s="14">
        <f>'PIVOT TABLES'!$P$26</f>
        <v>62.64</v>
      </c>
      <c r="R921" s="14">
        <f>'PIVOT TABLES'!$P$27-'PIVOT TABLES'!$P$26</f>
        <v>31.320000000000007</v>
      </c>
      <c r="S921" s="14">
        <f>'PIVOT TABLES'!$P$28-'PIVOT TABLES'!$P$27</f>
        <v>31.319999999999993</v>
      </c>
      <c r="T921" s="14">
        <f>200-SUM(Table3[[#This Row],[W - LIGHT]:[W - VIGOROUS]])</f>
        <v>74.72</v>
      </c>
      <c r="U921" s="14">
        <f>'PIVOT TABLES'!$W$26</f>
        <v>55.895999999999994</v>
      </c>
      <c r="V921" s="14">
        <f>'PIVOT TABLES'!$W$27-'PIVOT TABLES'!$W$26</f>
        <v>27.948</v>
      </c>
      <c r="W921" s="14">
        <f>'PIVOT TABLES'!$W$28-'PIVOT TABLES'!$W$27</f>
        <v>27.947999999999993</v>
      </c>
      <c r="X921" s="14">
        <f>200-SUM(Table3[[#This Row],[S - LIGHT]:[S - VIGOROUS]])</f>
        <v>88.208000000000013</v>
      </c>
    </row>
    <row r="922" spans="1:24" x14ac:dyDescent="0.25">
      <c r="A922" s="17" t="s">
        <v>69</v>
      </c>
      <c r="B922" s="13" t="str">
        <f t="shared" si="14"/>
        <v>Midfielder</v>
      </c>
      <c r="C922" s="7">
        <v>45352.648043981484</v>
      </c>
      <c r="D922" s="14">
        <v>6625</v>
      </c>
      <c r="E922" s="14">
        <v>105</v>
      </c>
      <c r="F922" s="14">
        <v>21</v>
      </c>
      <c r="G922" s="14">
        <v>21</v>
      </c>
      <c r="H922" s="14">
        <v>70.66</v>
      </c>
      <c r="I922" s="14">
        <f>'PIVOT TABLES'!$B$26</f>
        <v>60.283999999999999</v>
      </c>
      <c r="J922" s="14">
        <f>'PIVOT TABLES'!$B$27-'PIVOT TABLES'!$B$26</f>
        <v>30.142000000000003</v>
      </c>
      <c r="K922" s="14">
        <f>'PIVOT TABLES'!$B$28-'PIVOT TABLES'!$B$27</f>
        <v>30.141999999999996</v>
      </c>
      <c r="L922" s="14">
        <f>200-SUM(Table3[[#This Row],[D - LIGHT]:[D - VIGOROUS]])</f>
        <v>79.432000000000002</v>
      </c>
      <c r="M922" s="14">
        <f>'PIVOT TABLES'!$I$26</f>
        <v>65.603999999999999</v>
      </c>
      <c r="N922" s="14">
        <f>'PIVOT TABLES'!$I$27-'PIVOT TABLES'!$I$26</f>
        <v>32.802000000000007</v>
      </c>
      <c r="O922" s="14">
        <f>'PIVOT TABLES'!$I$28-'PIVOT TABLES'!$I$27</f>
        <v>32.801999999999992</v>
      </c>
      <c r="P922" s="14">
        <f>200-SUM(Table3[[#This Row],[M - LIGHT]:[M - VIGOROUS]])</f>
        <v>68.792000000000002</v>
      </c>
      <c r="Q922" s="14">
        <f>'PIVOT TABLES'!$P$26</f>
        <v>62.64</v>
      </c>
      <c r="R922" s="14">
        <f>'PIVOT TABLES'!$P$27-'PIVOT TABLES'!$P$26</f>
        <v>31.320000000000007</v>
      </c>
      <c r="S922" s="14">
        <f>'PIVOT TABLES'!$P$28-'PIVOT TABLES'!$P$27</f>
        <v>31.319999999999993</v>
      </c>
      <c r="T922" s="14">
        <f>200-SUM(Table3[[#This Row],[W - LIGHT]:[W - VIGOROUS]])</f>
        <v>74.72</v>
      </c>
      <c r="U922" s="14">
        <f>'PIVOT TABLES'!$W$26</f>
        <v>55.895999999999994</v>
      </c>
      <c r="V922" s="14">
        <f>'PIVOT TABLES'!$W$27-'PIVOT TABLES'!$W$26</f>
        <v>27.948</v>
      </c>
      <c r="W922" s="14">
        <f>'PIVOT TABLES'!$W$28-'PIVOT TABLES'!$W$27</f>
        <v>27.947999999999993</v>
      </c>
      <c r="X922" s="14">
        <f>200-SUM(Table3[[#This Row],[S - LIGHT]:[S - VIGOROUS]])</f>
        <v>88.208000000000013</v>
      </c>
    </row>
    <row r="923" spans="1:24" x14ac:dyDescent="0.25">
      <c r="A923" s="17" t="s">
        <v>70</v>
      </c>
      <c r="B923" s="13" t="str">
        <f t="shared" si="14"/>
        <v>Winger</v>
      </c>
      <c r="C923" s="7">
        <v>45353.381076388891</v>
      </c>
      <c r="D923" s="14">
        <v>3580</v>
      </c>
      <c r="E923" s="14">
        <v>11</v>
      </c>
      <c r="F923" s="14">
        <v>9</v>
      </c>
      <c r="G923" s="14">
        <v>23</v>
      </c>
      <c r="H923" s="14">
        <v>36.950000000000003</v>
      </c>
      <c r="I923" s="14">
        <f>'PIVOT TABLES'!$B$26</f>
        <v>60.283999999999999</v>
      </c>
      <c r="J923" s="14">
        <f>'PIVOT TABLES'!$B$27-'PIVOT TABLES'!$B$26</f>
        <v>30.142000000000003</v>
      </c>
      <c r="K923" s="14">
        <f>'PIVOT TABLES'!$B$28-'PIVOT TABLES'!$B$27</f>
        <v>30.141999999999996</v>
      </c>
      <c r="L923" s="14">
        <f>200-SUM(Table3[[#This Row],[D - LIGHT]:[D - VIGOROUS]])</f>
        <v>79.432000000000002</v>
      </c>
      <c r="M923" s="14">
        <f>'PIVOT TABLES'!$I$26</f>
        <v>65.603999999999999</v>
      </c>
      <c r="N923" s="14">
        <f>'PIVOT TABLES'!$I$27-'PIVOT TABLES'!$I$26</f>
        <v>32.802000000000007</v>
      </c>
      <c r="O923" s="14">
        <f>'PIVOT TABLES'!$I$28-'PIVOT TABLES'!$I$27</f>
        <v>32.801999999999992</v>
      </c>
      <c r="P923" s="14">
        <f>200-SUM(Table3[[#This Row],[M - LIGHT]:[M - VIGOROUS]])</f>
        <v>68.792000000000002</v>
      </c>
      <c r="Q923" s="14">
        <f>'PIVOT TABLES'!$P$26</f>
        <v>62.64</v>
      </c>
      <c r="R923" s="14">
        <f>'PIVOT TABLES'!$P$27-'PIVOT TABLES'!$P$26</f>
        <v>31.320000000000007</v>
      </c>
      <c r="S923" s="14">
        <f>'PIVOT TABLES'!$P$28-'PIVOT TABLES'!$P$27</f>
        <v>31.319999999999993</v>
      </c>
      <c r="T923" s="14">
        <f>200-SUM(Table3[[#This Row],[W - LIGHT]:[W - VIGOROUS]])</f>
        <v>74.72</v>
      </c>
      <c r="U923" s="14">
        <f>'PIVOT TABLES'!$W$26</f>
        <v>55.895999999999994</v>
      </c>
      <c r="V923" s="14">
        <f>'PIVOT TABLES'!$W$27-'PIVOT TABLES'!$W$26</f>
        <v>27.948</v>
      </c>
      <c r="W923" s="14">
        <f>'PIVOT TABLES'!$W$28-'PIVOT TABLES'!$W$27</f>
        <v>27.947999999999993</v>
      </c>
      <c r="X923" s="14">
        <f>200-SUM(Table3[[#This Row],[S - LIGHT]:[S - VIGOROUS]])</f>
        <v>88.208000000000013</v>
      </c>
    </row>
    <row r="924" spans="1:24" x14ac:dyDescent="0.25">
      <c r="A924" s="17" t="s">
        <v>53</v>
      </c>
      <c r="B924" s="13" t="str">
        <f t="shared" si="14"/>
        <v>Midfielder</v>
      </c>
      <c r="C924" s="7">
        <v>45353.381076388891</v>
      </c>
      <c r="D924" s="14">
        <v>3459</v>
      </c>
      <c r="E924" s="14">
        <v>0</v>
      </c>
      <c r="F924" s="14">
        <v>1</v>
      </c>
      <c r="G924" s="14">
        <v>3</v>
      </c>
      <c r="H924" s="14">
        <v>34.69</v>
      </c>
      <c r="I924" s="14">
        <f>'PIVOT TABLES'!$B$26</f>
        <v>60.283999999999999</v>
      </c>
      <c r="J924" s="14">
        <f>'PIVOT TABLES'!$B$27-'PIVOT TABLES'!$B$26</f>
        <v>30.142000000000003</v>
      </c>
      <c r="K924" s="14">
        <f>'PIVOT TABLES'!$B$28-'PIVOT TABLES'!$B$27</f>
        <v>30.141999999999996</v>
      </c>
      <c r="L924" s="14">
        <f>200-SUM(Table3[[#This Row],[D - LIGHT]:[D - VIGOROUS]])</f>
        <v>79.432000000000002</v>
      </c>
      <c r="M924" s="14">
        <f>'PIVOT TABLES'!$I$26</f>
        <v>65.603999999999999</v>
      </c>
      <c r="N924" s="14">
        <f>'PIVOT TABLES'!$I$27-'PIVOT TABLES'!$I$26</f>
        <v>32.802000000000007</v>
      </c>
      <c r="O924" s="14">
        <f>'PIVOT TABLES'!$I$28-'PIVOT TABLES'!$I$27</f>
        <v>32.801999999999992</v>
      </c>
      <c r="P924" s="14">
        <f>200-SUM(Table3[[#This Row],[M - LIGHT]:[M - VIGOROUS]])</f>
        <v>68.792000000000002</v>
      </c>
      <c r="Q924" s="14">
        <f>'PIVOT TABLES'!$P$26</f>
        <v>62.64</v>
      </c>
      <c r="R924" s="14">
        <f>'PIVOT TABLES'!$P$27-'PIVOT TABLES'!$P$26</f>
        <v>31.320000000000007</v>
      </c>
      <c r="S924" s="14">
        <f>'PIVOT TABLES'!$P$28-'PIVOT TABLES'!$P$27</f>
        <v>31.319999999999993</v>
      </c>
      <c r="T924" s="14">
        <f>200-SUM(Table3[[#This Row],[W - LIGHT]:[W - VIGOROUS]])</f>
        <v>74.72</v>
      </c>
      <c r="U924" s="14">
        <f>'PIVOT TABLES'!$W$26</f>
        <v>55.895999999999994</v>
      </c>
      <c r="V924" s="14">
        <f>'PIVOT TABLES'!$W$27-'PIVOT TABLES'!$W$26</f>
        <v>27.948</v>
      </c>
      <c r="W924" s="14">
        <f>'PIVOT TABLES'!$W$28-'PIVOT TABLES'!$W$27</f>
        <v>27.947999999999993</v>
      </c>
      <c r="X924" s="14">
        <f>200-SUM(Table3[[#This Row],[S - LIGHT]:[S - VIGOROUS]])</f>
        <v>88.208000000000013</v>
      </c>
    </row>
    <row r="925" spans="1:24" x14ac:dyDescent="0.25">
      <c r="A925" s="17" t="s">
        <v>54</v>
      </c>
      <c r="B925" s="13" t="str">
        <f t="shared" si="14"/>
        <v>Striker</v>
      </c>
      <c r="C925" s="7">
        <v>45353.381076388891</v>
      </c>
      <c r="D925" s="14">
        <v>3501</v>
      </c>
      <c r="E925" s="14">
        <v>10</v>
      </c>
      <c r="F925" s="14">
        <v>10</v>
      </c>
      <c r="G925" s="14">
        <v>13</v>
      </c>
      <c r="H925" s="14">
        <v>35.97</v>
      </c>
      <c r="I925" s="14">
        <f>'PIVOT TABLES'!$B$26</f>
        <v>60.283999999999999</v>
      </c>
      <c r="J925" s="14">
        <f>'PIVOT TABLES'!$B$27-'PIVOT TABLES'!$B$26</f>
        <v>30.142000000000003</v>
      </c>
      <c r="K925" s="14">
        <f>'PIVOT TABLES'!$B$28-'PIVOT TABLES'!$B$27</f>
        <v>30.141999999999996</v>
      </c>
      <c r="L925" s="14">
        <f>200-SUM(Table3[[#This Row],[D - LIGHT]:[D - VIGOROUS]])</f>
        <v>79.432000000000002</v>
      </c>
      <c r="M925" s="14">
        <f>'PIVOT TABLES'!$I$26</f>
        <v>65.603999999999999</v>
      </c>
      <c r="N925" s="14">
        <f>'PIVOT TABLES'!$I$27-'PIVOT TABLES'!$I$26</f>
        <v>32.802000000000007</v>
      </c>
      <c r="O925" s="14">
        <f>'PIVOT TABLES'!$I$28-'PIVOT TABLES'!$I$27</f>
        <v>32.801999999999992</v>
      </c>
      <c r="P925" s="14">
        <f>200-SUM(Table3[[#This Row],[M - LIGHT]:[M - VIGOROUS]])</f>
        <v>68.792000000000002</v>
      </c>
      <c r="Q925" s="14">
        <f>'PIVOT TABLES'!$P$26</f>
        <v>62.64</v>
      </c>
      <c r="R925" s="14">
        <f>'PIVOT TABLES'!$P$27-'PIVOT TABLES'!$P$26</f>
        <v>31.320000000000007</v>
      </c>
      <c r="S925" s="14">
        <f>'PIVOT TABLES'!$P$28-'PIVOT TABLES'!$P$27</f>
        <v>31.319999999999993</v>
      </c>
      <c r="T925" s="14">
        <f>200-SUM(Table3[[#This Row],[W - LIGHT]:[W - VIGOROUS]])</f>
        <v>74.72</v>
      </c>
      <c r="U925" s="14">
        <f>'PIVOT TABLES'!$W$26</f>
        <v>55.895999999999994</v>
      </c>
      <c r="V925" s="14">
        <f>'PIVOT TABLES'!$W$27-'PIVOT TABLES'!$W$26</f>
        <v>27.948</v>
      </c>
      <c r="W925" s="14">
        <f>'PIVOT TABLES'!$W$28-'PIVOT TABLES'!$W$27</f>
        <v>27.947999999999993</v>
      </c>
      <c r="X925" s="14">
        <f>200-SUM(Table3[[#This Row],[S - LIGHT]:[S - VIGOROUS]])</f>
        <v>88.208000000000013</v>
      </c>
    </row>
    <row r="926" spans="1:24" x14ac:dyDescent="0.25">
      <c r="A926" s="17" t="s">
        <v>55</v>
      </c>
      <c r="B926" s="13" t="str">
        <f t="shared" si="14"/>
        <v>Striker</v>
      </c>
      <c r="C926" s="7">
        <v>45353.381076388891</v>
      </c>
      <c r="D926" s="14">
        <v>2437</v>
      </c>
      <c r="E926" s="14">
        <v>11</v>
      </c>
      <c r="F926" s="14">
        <v>2</v>
      </c>
      <c r="G926" s="14">
        <v>4</v>
      </c>
      <c r="H926" s="14">
        <v>24.86</v>
      </c>
      <c r="I926" s="14">
        <f>'PIVOT TABLES'!$B$26</f>
        <v>60.283999999999999</v>
      </c>
      <c r="J926" s="14">
        <f>'PIVOT TABLES'!$B$27-'PIVOT TABLES'!$B$26</f>
        <v>30.142000000000003</v>
      </c>
      <c r="K926" s="14">
        <f>'PIVOT TABLES'!$B$28-'PIVOT TABLES'!$B$27</f>
        <v>30.141999999999996</v>
      </c>
      <c r="L926" s="14">
        <f>200-SUM(Table3[[#This Row],[D - LIGHT]:[D - VIGOROUS]])</f>
        <v>79.432000000000002</v>
      </c>
      <c r="M926" s="14">
        <f>'PIVOT TABLES'!$I$26</f>
        <v>65.603999999999999</v>
      </c>
      <c r="N926" s="14">
        <f>'PIVOT TABLES'!$I$27-'PIVOT TABLES'!$I$26</f>
        <v>32.802000000000007</v>
      </c>
      <c r="O926" s="14">
        <f>'PIVOT TABLES'!$I$28-'PIVOT TABLES'!$I$27</f>
        <v>32.801999999999992</v>
      </c>
      <c r="P926" s="14">
        <f>200-SUM(Table3[[#This Row],[M - LIGHT]:[M - VIGOROUS]])</f>
        <v>68.792000000000002</v>
      </c>
      <c r="Q926" s="14">
        <f>'PIVOT TABLES'!$P$26</f>
        <v>62.64</v>
      </c>
      <c r="R926" s="14">
        <f>'PIVOT TABLES'!$P$27-'PIVOT TABLES'!$P$26</f>
        <v>31.320000000000007</v>
      </c>
      <c r="S926" s="14">
        <f>'PIVOT TABLES'!$P$28-'PIVOT TABLES'!$P$27</f>
        <v>31.319999999999993</v>
      </c>
      <c r="T926" s="14">
        <f>200-SUM(Table3[[#This Row],[W - LIGHT]:[W - VIGOROUS]])</f>
        <v>74.72</v>
      </c>
      <c r="U926" s="14">
        <f>'PIVOT TABLES'!$W$26</f>
        <v>55.895999999999994</v>
      </c>
      <c r="V926" s="14">
        <f>'PIVOT TABLES'!$W$27-'PIVOT TABLES'!$W$26</f>
        <v>27.948</v>
      </c>
      <c r="W926" s="14">
        <f>'PIVOT TABLES'!$W$28-'PIVOT TABLES'!$W$27</f>
        <v>27.947999999999993</v>
      </c>
      <c r="X926" s="14">
        <f>200-SUM(Table3[[#This Row],[S - LIGHT]:[S - VIGOROUS]])</f>
        <v>88.208000000000013</v>
      </c>
    </row>
    <row r="927" spans="1:24" x14ac:dyDescent="0.25">
      <c r="A927" s="17" t="s">
        <v>1</v>
      </c>
      <c r="B927" s="13" t="str">
        <f t="shared" si="14"/>
        <v>Defender</v>
      </c>
      <c r="C927" s="7">
        <v>45353.381076388891</v>
      </c>
      <c r="D927" s="14">
        <v>2708</v>
      </c>
      <c r="E927" s="14">
        <v>0</v>
      </c>
      <c r="F927" s="14">
        <v>6</v>
      </c>
      <c r="G927" s="14">
        <v>11</v>
      </c>
      <c r="H927" s="14">
        <v>27.54</v>
      </c>
      <c r="I927" s="14">
        <f>'PIVOT TABLES'!$B$26</f>
        <v>60.283999999999999</v>
      </c>
      <c r="J927" s="14">
        <f>'PIVOT TABLES'!$B$27-'PIVOT TABLES'!$B$26</f>
        <v>30.142000000000003</v>
      </c>
      <c r="K927" s="14">
        <f>'PIVOT TABLES'!$B$28-'PIVOT TABLES'!$B$27</f>
        <v>30.141999999999996</v>
      </c>
      <c r="L927" s="14">
        <f>200-SUM(Table3[[#This Row],[D - LIGHT]:[D - VIGOROUS]])</f>
        <v>79.432000000000002</v>
      </c>
      <c r="M927" s="14">
        <f>'PIVOT TABLES'!$I$26</f>
        <v>65.603999999999999</v>
      </c>
      <c r="N927" s="14">
        <f>'PIVOT TABLES'!$I$27-'PIVOT TABLES'!$I$26</f>
        <v>32.802000000000007</v>
      </c>
      <c r="O927" s="14">
        <f>'PIVOT TABLES'!$I$28-'PIVOT TABLES'!$I$27</f>
        <v>32.801999999999992</v>
      </c>
      <c r="P927" s="14">
        <f>200-SUM(Table3[[#This Row],[M - LIGHT]:[M - VIGOROUS]])</f>
        <v>68.792000000000002</v>
      </c>
      <c r="Q927" s="14">
        <f>'PIVOT TABLES'!$P$26</f>
        <v>62.64</v>
      </c>
      <c r="R927" s="14">
        <f>'PIVOT TABLES'!$P$27-'PIVOT TABLES'!$P$26</f>
        <v>31.320000000000007</v>
      </c>
      <c r="S927" s="14">
        <f>'PIVOT TABLES'!$P$28-'PIVOT TABLES'!$P$27</f>
        <v>31.319999999999993</v>
      </c>
      <c r="T927" s="14">
        <f>200-SUM(Table3[[#This Row],[W - LIGHT]:[W - VIGOROUS]])</f>
        <v>74.72</v>
      </c>
      <c r="U927" s="14">
        <f>'PIVOT TABLES'!$W$26</f>
        <v>55.895999999999994</v>
      </c>
      <c r="V927" s="14">
        <f>'PIVOT TABLES'!$W$27-'PIVOT TABLES'!$W$26</f>
        <v>27.948</v>
      </c>
      <c r="W927" s="14">
        <f>'PIVOT TABLES'!$W$28-'PIVOT TABLES'!$W$27</f>
        <v>27.947999999999993</v>
      </c>
      <c r="X927" s="14">
        <f>200-SUM(Table3[[#This Row],[S - LIGHT]:[S - VIGOROUS]])</f>
        <v>88.208000000000013</v>
      </c>
    </row>
    <row r="928" spans="1:24" x14ac:dyDescent="0.25">
      <c r="A928" s="17" t="s">
        <v>2</v>
      </c>
      <c r="B928" s="13" t="str">
        <f t="shared" si="14"/>
        <v>Defender</v>
      </c>
      <c r="C928" s="7">
        <v>45353.381076388891</v>
      </c>
      <c r="D928" s="14">
        <v>2353</v>
      </c>
      <c r="E928" s="14">
        <v>80</v>
      </c>
      <c r="F928" s="14">
        <v>8</v>
      </c>
      <c r="G928" s="14">
        <v>2</v>
      </c>
      <c r="H928" s="14">
        <v>26.29</v>
      </c>
      <c r="I928" s="14">
        <f>'PIVOT TABLES'!$B$26</f>
        <v>60.283999999999999</v>
      </c>
      <c r="J928" s="14">
        <f>'PIVOT TABLES'!$B$27-'PIVOT TABLES'!$B$26</f>
        <v>30.142000000000003</v>
      </c>
      <c r="K928" s="14">
        <f>'PIVOT TABLES'!$B$28-'PIVOT TABLES'!$B$27</f>
        <v>30.141999999999996</v>
      </c>
      <c r="L928" s="14">
        <f>200-SUM(Table3[[#This Row],[D - LIGHT]:[D - VIGOROUS]])</f>
        <v>79.432000000000002</v>
      </c>
      <c r="M928" s="14">
        <f>'PIVOT TABLES'!$I$26</f>
        <v>65.603999999999999</v>
      </c>
      <c r="N928" s="14">
        <f>'PIVOT TABLES'!$I$27-'PIVOT TABLES'!$I$26</f>
        <v>32.802000000000007</v>
      </c>
      <c r="O928" s="14">
        <f>'PIVOT TABLES'!$I$28-'PIVOT TABLES'!$I$27</f>
        <v>32.801999999999992</v>
      </c>
      <c r="P928" s="14">
        <f>200-SUM(Table3[[#This Row],[M - LIGHT]:[M - VIGOROUS]])</f>
        <v>68.792000000000002</v>
      </c>
      <c r="Q928" s="14">
        <f>'PIVOT TABLES'!$P$26</f>
        <v>62.64</v>
      </c>
      <c r="R928" s="14">
        <f>'PIVOT TABLES'!$P$27-'PIVOT TABLES'!$P$26</f>
        <v>31.320000000000007</v>
      </c>
      <c r="S928" s="14">
        <f>'PIVOT TABLES'!$P$28-'PIVOT TABLES'!$P$27</f>
        <v>31.319999999999993</v>
      </c>
      <c r="T928" s="14">
        <f>200-SUM(Table3[[#This Row],[W - LIGHT]:[W - VIGOROUS]])</f>
        <v>74.72</v>
      </c>
      <c r="U928" s="14">
        <f>'PIVOT TABLES'!$W$26</f>
        <v>55.895999999999994</v>
      </c>
      <c r="V928" s="14">
        <f>'PIVOT TABLES'!$W$27-'PIVOT TABLES'!$W$26</f>
        <v>27.948</v>
      </c>
      <c r="W928" s="14">
        <f>'PIVOT TABLES'!$W$28-'PIVOT TABLES'!$W$27</f>
        <v>27.947999999999993</v>
      </c>
      <c r="X928" s="14">
        <f>200-SUM(Table3[[#This Row],[S - LIGHT]:[S - VIGOROUS]])</f>
        <v>88.208000000000013</v>
      </c>
    </row>
    <row r="929" spans="1:24" x14ac:dyDescent="0.25">
      <c r="A929" s="17" t="s">
        <v>58</v>
      </c>
      <c r="B929" s="13" t="str">
        <f t="shared" si="14"/>
        <v>Defender</v>
      </c>
      <c r="C929" s="7">
        <v>45353.381076388891</v>
      </c>
      <c r="D929" s="14">
        <v>3252</v>
      </c>
      <c r="E929" s="14">
        <v>0</v>
      </c>
      <c r="F929" s="14">
        <v>20</v>
      </c>
      <c r="G929" s="14">
        <v>14</v>
      </c>
      <c r="H929" s="14">
        <v>33.6</v>
      </c>
      <c r="I929" s="14">
        <f>'PIVOT TABLES'!$B$26</f>
        <v>60.283999999999999</v>
      </c>
      <c r="J929" s="14">
        <f>'PIVOT TABLES'!$B$27-'PIVOT TABLES'!$B$26</f>
        <v>30.142000000000003</v>
      </c>
      <c r="K929" s="14">
        <f>'PIVOT TABLES'!$B$28-'PIVOT TABLES'!$B$27</f>
        <v>30.141999999999996</v>
      </c>
      <c r="L929" s="14">
        <f>200-SUM(Table3[[#This Row],[D - LIGHT]:[D - VIGOROUS]])</f>
        <v>79.432000000000002</v>
      </c>
      <c r="M929" s="14">
        <f>'PIVOT TABLES'!$I$26</f>
        <v>65.603999999999999</v>
      </c>
      <c r="N929" s="14">
        <f>'PIVOT TABLES'!$I$27-'PIVOT TABLES'!$I$26</f>
        <v>32.802000000000007</v>
      </c>
      <c r="O929" s="14">
        <f>'PIVOT TABLES'!$I$28-'PIVOT TABLES'!$I$27</f>
        <v>32.801999999999992</v>
      </c>
      <c r="P929" s="14">
        <f>200-SUM(Table3[[#This Row],[M - LIGHT]:[M - VIGOROUS]])</f>
        <v>68.792000000000002</v>
      </c>
      <c r="Q929" s="14">
        <f>'PIVOT TABLES'!$P$26</f>
        <v>62.64</v>
      </c>
      <c r="R929" s="14">
        <f>'PIVOT TABLES'!$P$27-'PIVOT TABLES'!$P$26</f>
        <v>31.320000000000007</v>
      </c>
      <c r="S929" s="14">
        <f>'PIVOT TABLES'!$P$28-'PIVOT TABLES'!$P$27</f>
        <v>31.319999999999993</v>
      </c>
      <c r="T929" s="14">
        <f>200-SUM(Table3[[#This Row],[W - LIGHT]:[W - VIGOROUS]])</f>
        <v>74.72</v>
      </c>
      <c r="U929" s="14">
        <f>'PIVOT TABLES'!$W$26</f>
        <v>55.895999999999994</v>
      </c>
      <c r="V929" s="14">
        <f>'PIVOT TABLES'!$W$27-'PIVOT TABLES'!$W$26</f>
        <v>27.948</v>
      </c>
      <c r="W929" s="14">
        <f>'PIVOT TABLES'!$W$28-'PIVOT TABLES'!$W$27</f>
        <v>27.947999999999993</v>
      </c>
      <c r="X929" s="14">
        <f>200-SUM(Table3[[#This Row],[S - LIGHT]:[S - VIGOROUS]])</f>
        <v>88.208000000000013</v>
      </c>
    </row>
    <row r="930" spans="1:24" x14ac:dyDescent="0.25">
      <c r="A930" s="17" t="s">
        <v>94</v>
      </c>
      <c r="B930" s="13" t="str">
        <f t="shared" si="14"/>
        <v>Defender</v>
      </c>
      <c r="C930" s="7">
        <v>45353.381076388891</v>
      </c>
      <c r="D930" s="14">
        <v>2974</v>
      </c>
      <c r="E930" s="14">
        <v>0</v>
      </c>
      <c r="F930" s="14">
        <v>3</v>
      </c>
      <c r="G930" s="14">
        <v>6</v>
      </c>
      <c r="H930" s="14">
        <v>29.98</v>
      </c>
      <c r="I930" s="14">
        <f>'PIVOT TABLES'!$B$26</f>
        <v>60.283999999999999</v>
      </c>
      <c r="J930" s="14">
        <f>'PIVOT TABLES'!$B$27-'PIVOT TABLES'!$B$26</f>
        <v>30.142000000000003</v>
      </c>
      <c r="K930" s="14">
        <f>'PIVOT TABLES'!$B$28-'PIVOT TABLES'!$B$27</f>
        <v>30.141999999999996</v>
      </c>
      <c r="L930" s="14">
        <f>200-SUM(Table3[[#This Row],[D - LIGHT]:[D - VIGOROUS]])</f>
        <v>79.432000000000002</v>
      </c>
      <c r="M930" s="14">
        <f>'PIVOT TABLES'!$I$26</f>
        <v>65.603999999999999</v>
      </c>
      <c r="N930" s="14">
        <f>'PIVOT TABLES'!$I$27-'PIVOT TABLES'!$I$26</f>
        <v>32.802000000000007</v>
      </c>
      <c r="O930" s="14">
        <f>'PIVOT TABLES'!$I$28-'PIVOT TABLES'!$I$27</f>
        <v>32.801999999999992</v>
      </c>
      <c r="P930" s="14">
        <f>200-SUM(Table3[[#This Row],[M - LIGHT]:[M - VIGOROUS]])</f>
        <v>68.792000000000002</v>
      </c>
      <c r="Q930" s="14">
        <f>'PIVOT TABLES'!$P$26</f>
        <v>62.64</v>
      </c>
      <c r="R930" s="14">
        <f>'PIVOT TABLES'!$P$27-'PIVOT TABLES'!$P$26</f>
        <v>31.320000000000007</v>
      </c>
      <c r="S930" s="14">
        <f>'PIVOT TABLES'!$P$28-'PIVOT TABLES'!$P$27</f>
        <v>31.319999999999993</v>
      </c>
      <c r="T930" s="14">
        <f>200-SUM(Table3[[#This Row],[W - LIGHT]:[W - VIGOROUS]])</f>
        <v>74.72</v>
      </c>
      <c r="U930" s="14">
        <f>'PIVOT TABLES'!$W$26</f>
        <v>55.895999999999994</v>
      </c>
      <c r="V930" s="14">
        <f>'PIVOT TABLES'!$W$27-'PIVOT TABLES'!$W$26</f>
        <v>27.948</v>
      </c>
      <c r="W930" s="14">
        <f>'PIVOT TABLES'!$W$28-'PIVOT TABLES'!$W$27</f>
        <v>27.947999999999993</v>
      </c>
      <c r="X930" s="14">
        <f>200-SUM(Table3[[#This Row],[S - LIGHT]:[S - VIGOROUS]])</f>
        <v>88.208000000000013</v>
      </c>
    </row>
    <row r="931" spans="1:24" x14ac:dyDescent="0.25">
      <c r="A931" s="17" t="s">
        <v>3</v>
      </c>
      <c r="B931" s="13" t="str">
        <f t="shared" si="14"/>
        <v>Defender</v>
      </c>
      <c r="C931" s="7">
        <v>45353.381076388891</v>
      </c>
      <c r="D931" s="14">
        <v>3619</v>
      </c>
      <c r="E931" s="14">
        <v>0</v>
      </c>
      <c r="F931" s="14">
        <v>12</v>
      </c>
      <c r="G931" s="14">
        <v>22</v>
      </c>
      <c r="H931" s="14">
        <v>37.11</v>
      </c>
      <c r="I931" s="14">
        <f>'PIVOT TABLES'!$B$26</f>
        <v>60.283999999999999</v>
      </c>
      <c r="J931" s="14">
        <f>'PIVOT TABLES'!$B$27-'PIVOT TABLES'!$B$26</f>
        <v>30.142000000000003</v>
      </c>
      <c r="K931" s="14">
        <f>'PIVOT TABLES'!$B$28-'PIVOT TABLES'!$B$27</f>
        <v>30.141999999999996</v>
      </c>
      <c r="L931" s="14">
        <f>200-SUM(Table3[[#This Row],[D - LIGHT]:[D - VIGOROUS]])</f>
        <v>79.432000000000002</v>
      </c>
      <c r="M931" s="14">
        <f>'PIVOT TABLES'!$I$26</f>
        <v>65.603999999999999</v>
      </c>
      <c r="N931" s="14">
        <f>'PIVOT TABLES'!$I$27-'PIVOT TABLES'!$I$26</f>
        <v>32.802000000000007</v>
      </c>
      <c r="O931" s="14">
        <f>'PIVOT TABLES'!$I$28-'PIVOT TABLES'!$I$27</f>
        <v>32.801999999999992</v>
      </c>
      <c r="P931" s="14">
        <f>200-SUM(Table3[[#This Row],[M - LIGHT]:[M - VIGOROUS]])</f>
        <v>68.792000000000002</v>
      </c>
      <c r="Q931" s="14">
        <f>'PIVOT TABLES'!$P$26</f>
        <v>62.64</v>
      </c>
      <c r="R931" s="14">
        <f>'PIVOT TABLES'!$P$27-'PIVOT TABLES'!$P$26</f>
        <v>31.320000000000007</v>
      </c>
      <c r="S931" s="14">
        <f>'PIVOT TABLES'!$P$28-'PIVOT TABLES'!$P$27</f>
        <v>31.319999999999993</v>
      </c>
      <c r="T931" s="14">
        <f>200-SUM(Table3[[#This Row],[W - LIGHT]:[W - VIGOROUS]])</f>
        <v>74.72</v>
      </c>
      <c r="U931" s="14">
        <f>'PIVOT TABLES'!$W$26</f>
        <v>55.895999999999994</v>
      </c>
      <c r="V931" s="14">
        <f>'PIVOT TABLES'!$W$27-'PIVOT TABLES'!$W$26</f>
        <v>27.948</v>
      </c>
      <c r="W931" s="14">
        <f>'PIVOT TABLES'!$W$28-'PIVOT TABLES'!$W$27</f>
        <v>27.947999999999993</v>
      </c>
      <c r="X931" s="14">
        <f>200-SUM(Table3[[#This Row],[S - LIGHT]:[S - VIGOROUS]])</f>
        <v>88.208000000000013</v>
      </c>
    </row>
    <row r="932" spans="1:24" x14ac:dyDescent="0.25">
      <c r="A932" s="17" t="s">
        <v>59</v>
      </c>
      <c r="B932" s="13" t="str">
        <f t="shared" si="14"/>
        <v>Striker</v>
      </c>
      <c r="C932" s="7">
        <v>45353.381076388891</v>
      </c>
      <c r="D932" s="14">
        <v>3039</v>
      </c>
      <c r="E932" s="14">
        <v>44</v>
      </c>
      <c r="F932" s="14">
        <v>10</v>
      </c>
      <c r="G932" s="14">
        <v>13</v>
      </c>
      <c r="H932" s="14">
        <v>32.369999999999997</v>
      </c>
      <c r="I932" s="14">
        <f>'PIVOT TABLES'!$B$26</f>
        <v>60.283999999999999</v>
      </c>
      <c r="J932" s="14">
        <f>'PIVOT TABLES'!$B$27-'PIVOT TABLES'!$B$26</f>
        <v>30.142000000000003</v>
      </c>
      <c r="K932" s="14">
        <f>'PIVOT TABLES'!$B$28-'PIVOT TABLES'!$B$27</f>
        <v>30.141999999999996</v>
      </c>
      <c r="L932" s="14">
        <f>200-SUM(Table3[[#This Row],[D - LIGHT]:[D - VIGOROUS]])</f>
        <v>79.432000000000002</v>
      </c>
      <c r="M932" s="14">
        <f>'PIVOT TABLES'!$I$26</f>
        <v>65.603999999999999</v>
      </c>
      <c r="N932" s="14">
        <f>'PIVOT TABLES'!$I$27-'PIVOT TABLES'!$I$26</f>
        <v>32.802000000000007</v>
      </c>
      <c r="O932" s="14">
        <f>'PIVOT TABLES'!$I$28-'PIVOT TABLES'!$I$27</f>
        <v>32.801999999999992</v>
      </c>
      <c r="P932" s="14">
        <f>200-SUM(Table3[[#This Row],[M - LIGHT]:[M - VIGOROUS]])</f>
        <v>68.792000000000002</v>
      </c>
      <c r="Q932" s="14">
        <f>'PIVOT TABLES'!$P$26</f>
        <v>62.64</v>
      </c>
      <c r="R932" s="14">
        <f>'PIVOT TABLES'!$P$27-'PIVOT TABLES'!$P$26</f>
        <v>31.320000000000007</v>
      </c>
      <c r="S932" s="14">
        <f>'PIVOT TABLES'!$P$28-'PIVOT TABLES'!$P$27</f>
        <v>31.319999999999993</v>
      </c>
      <c r="T932" s="14">
        <f>200-SUM(Table3[[#This Row],[W - LIGHT]:[W - VIGOROUS]])</f>
        <v>74.72</v>
      </c>
      <c r="U932" s="14">
        <f>'PIVOT TABLES'!$W$26</f>
        <v>55.895999999999994</v>
      </c>
      <c r="V932" s="14">
        <f>'PIVOT TABLES'!$W$27-'PIVOT TABLES'!$W$26</f>
        <v>27.948</v>
      </c>
      <c r="W932" s="14">
        <f>'PIVOT TABLES'!$W$28-'PIVOT TABLES'!$W$27</f>
        <v>27.947999999999993</v>
      </c>
      <c r="X932" s="14">
        <f>200-SUM(Table3[[#This Row],[S - LIGHT]:[S - VIGOROUS]])</f>
        <v>88.208000000000013</v>
      </c>
    </row>
    <row r="933" spans="1:24" x14ac:dyDescent="0.25">
      <c r="A933" s="17" t="s">
        <v>4</v>
      </c>
      <c r="B933" s="13" t="str">
        <f t="shared" si="14"/>
        <v>Midfielder</v>
      </c>
      <c r="C933" s="7">
        <v>45353.381076388891</v>
      </c>
      <c r="D933" s="14">
        <v>3107</v>
      </c>
      <c r="E933" s="14">
        <v>62</v>
      </c>
      <c r="F933" s="14">
        <v>6</v>
      </c>
      <c r="G933" s="14">
        <v>7</v>
      </c>
      <c r="H933" s="14">
        <v>33.31</v>
      </c>
      <c r="I933" s="14">
        <f>'PIVOT TABLES'!$B$26</f>
        <v>60.283999999999999</v>
      </c>
      <c r="J933" s="14">
        <f>'PIVOT TABLES'!$B$27-'PIVOT TABLES'!$B$26</f>
        <v>30.142000000000003</v>
      </c>
      <c r="K933" s="14">
        <f>'PIVOT TABLES'!$B$28-'PIVOT TABLES'!$B$27</f>
        <v>30.141999999999996</v>
      </c>
      <c r="L933" s="14">
        <f>200-SUM(Table3[[#This Row],[D - LIGHT]:[D - VIGOROUS]])</f>
        <v>79.432000000000002</v>
      </c>
      <c r="M933" s="14">
        <f>'PIVOT TABLES'!$I$26</f>
        <v>65.603999999999999</v>
      </c>
      <c r="N933" s="14">
        <f>'PIVOT TABLES'!$I$27-'PIVOT TABLES'!$I$26</f>
        <v>32.802000000000007</v>
      </c>
      <c r="O933" s="14">
        <f>'PIVOT TABLES'!$I$28-'PIVOT TABLES'!$I$27</f>
        <v>32.801999999999992</v>
      </c>
      <c r="P933" s="14">
        <f>200-SUM(Table3[[#This Row],[M - LIGHT]:[M - VIGOROUS]])</f>
        <v>68.792000000000002</v>
      </c>
      <c r="Q933" s="14">
        <f>'PIVOT TABLES'!$P$26</f>
        <v>62.64</v>
      </c>
      <c r="R933" s="14">
        <f>'PIVOT TABLES'!$P$27-'PIVOT TABLES'!$P$26</f>
        <v>31.320000000000007</v>
      </c>
      <c r="S933" s="14">
        <f>'PIVOT TABLES'!$P$28-'PIVOT TABLES'!$P$27</f>
        <v>31.319999999999993</v>
      </c>
      <c r="T933" s="14">
        <f>200-SUM(Table3[[#This Row],[W - LIGHT]:[W - VIGOROUS]])</f>
        <v>74.72</v>
      </c>
      <c r="U933" s="14">
        <f>'PIVOT TABLES'!$W$26</f>
        <v>55.895999999999994</v>
      </c>
      <c r="V933" s="14">
        <f>'PIVOT TABLES'!$W$27-'PIVOT TABLES'!$W$26</f>
        <v>27.948</v>
      </c>
      <c r="W933" s="14">
        <f>'PIVOT TABLES'!$W$28-'PIVOT TABLES'!$W$27</f>
        <v>27.947999999999993</v>
      </c>
      <c r="X933" s="14">
        <f>200-SUM(Table3[[#This Row],[S - LIGHT]:[S - VIGOROUS]])</f>
        <v>88.208000000000013</v>
      </c>
    </row>
    <row r="934" spans="1:24" x14ac:dyDescent="0.25">
      <c r="A934" s="17" t="s">
        <v>60</v>
      </c>
      <c r="B934" s="13" t="str">
        <f t="shared" si="14"/>
        <v>Winger</v>
      </c>
      <c r="C934" s="7">
        <v>45353.381076388891</v>
      </c>
      <c r="D934" s="14">
        <v>3988</v>
      </c>
      <c r="E934" s="14">
        <v>131</v>
      </c>
      <c r="F934" s="14">
        <v>9</v>
      </c>
      <c r="G934" s="14">
        <v>11</v>
      </c>
      <c r="H934" s="14">
        <v>44.39</v>
      </c>
      <c r="I934" s="14">
        <f>'PIVOT TABLES'!$B$26</f>
        <v>60.283999999999999</v>
      </c>
      <c r="J934" s="14">
        <f>'PIVOT TABLES'!$B$27-'PIVOT TABLES'!$B$26</f>
        <v>30.142000000000003</v>
      </c>
      <c r="K934" s="14">
        <f>'PIVOT TABLES'!$B$28-'PIVOT TABLES'!$B$27</f>
        <v>30.141999999999996</v>
      </c>
      <c r="L934" s="14">
        <f>200-SUM(Table3[[#This Row],[D - LIGHT]:[D - VIGOROUS]])</f>
        <v>79.432000000000002</v>
      </c>
      <c r="M934" s="14">
        <f>'PIVOT TABLES'!$I$26</f>
        <v>65.603999999999999</v>
      </c>
      <c r="N934" s="14">
        <f>'PIVOT TABLES'!$I$27-'PIVOT TABLES'!$I$26</f>
        <v>32.802000000000007</v>
      </c>
      <c r="O934" s="14">
        <f>'PIVOT TABLES'!$I$28-'PIVOT TABLES'!$I$27</f>
        <v>32.801999999999992</v>
      </c>
      <c r="P934" s="14">
        <f>200-SUM(Table3[[#This Row],[M - LIGHT]:[M - VIGOROUS]])</f>
        <v>68.792000000000002</v>
      </c>
      <c r="Q934" s="14">
        <f>'PIVOT TABLES'!$P$26</f>
        <v>62.64</v>
      </c>
      <c r="R934" s="14">
        <f>'PIVOT TABLES'!$P$27-'PIVOT TABLES'!$P$26</f>
        <v>31.320000000000007</v>
      </c>
      <c r="S934" s="14">
        <f>'PIVOT TABLES'!$P$28-'PIVOT TABLES'!$P$27</f>
        <v>31.319999999999993</v>
      </c>
      <c r="T934" s="14">
        <f>200-SUM(Table3[[#This Row],[W - LIGHT]:[W - VIGOROUS]])</f>
        <v>74.72</v>
      </c>
      <c r="U934" s="14">
        <f>'PIVOT TABLES'!$W$26</f>
        <v>55.895999999999994</v>
      </c>
      <c r="V934" s="14">
        <f>'PIVOT TABLES'!$W$27-'PIVOT TABLES'!$W$26</f>
        <v>27.948</v>
      </c>
      <c r="W934" s="14">
        <f>'PIVOT TABLES'!$W$28-'PIVOT TABLES'!$W$27</f>
        <v>27.947999999999993</v>
      </c>
      <c r="X934" s="14">
        <f>200-SUM(Table3[[#This Row],[S - LIGHT]:[S - VIGOROUS]])</f>
        <v>88.208000000000013</v>
      </c>
    </row>
    <row r="935" spans="1:24" x14ac:dyDescent="0.25">
      <c r="A935" s="17" t="s">
        <v>71</v>
      </c>
      <c r="B935" s="13" t="str">
        <f t="shared" si="14"/>
        <v>Midfielder</v>
      </c>
      <c r="C935" s="7">
        <v>45353.381076388891</v>
      </c>
      <c r="D935" s="14">
        <v>3570</v>
      </c>
      <c r="E935" s="14">
        <v>0</v>
      </c>
      <c r="F935" s="14">
        <v>4</v>
      </c>
      <c r="G935" s="14">
        <v>6</v>
      </c>
      <c r="H935" s="14">
        <v>35.979999999999997</v>
      </c>
      <c r="I935" s="14">
        <f>'PIVOT TABLES'!$B$26</f>
        <v>60.283999999999999</v>
      </c>
      <c r="J935" s="14">
        <f>'PIVOT TABLES'!$B$27-'PIVOT TABLES'!$B$26</f>
        <v>30.142000000000003</v>
      </c>
      <c r="K935" s="14">
        <f>'PIVOT TABLES'!$B$28-'PIVOT TABLES'!$B$27</f>
        <v>30.141999999999996</v>
      </c>
      <c r="L935" s="14">
        <f>200-SUM(Table3[[#This Row],[D - LIGHT]:[D - VIGOROUS]])</f>
        <v>79.432000000000002</v>
      </c>
      <c r="M935" s="14">
        <f>'PIVOT TABLES'!$I$26</f>
        <v>65.603999999999999</v>
      </c>
      <c r="N935" s="14">
        <f>'PIVOT TABLES'!$I$27-'PIVOT TABLES'!$I$26</f>
        <v>32.802000000000007</v>
      </c>
      <c r="O935" s="14">
        <f>'PIVOT TABLES'!$I$28-'PIVOT TABLES'!$I$27</f>
        <v>32.801999999999992</v>
      </c>
      <c r="P935" s="14">
        <f>200-SUM(Table3[[#This Row],[M - LIGHT]:[M - VIGOROUS]])</f>
        <v>68.792000000000002</v>
      </c>
      <c r="Q935" s="14">
        <f>'PIVOT TABLES'!$P$26</f>
        <v>62.64</v>
      </c>
      <c r="R935" s="14">
        <f>'PIVOT TABLES'!$P$27-'PIVOT TABLES'!$P$26</f>
        <v>31.320000000000007</v>
      </c>
      <c r="S935" s="14">
        <f>'PIVOT TABLES'!$P$28-'PIVOT TABLES'!$P$27</f>
        <v>31.319999999999993</v>
      </c>
      <c r="T935" s="14">
        <f>200-SUM(Table3[[#This Row],[W - LIGHT]:[W - VIGOROUS]])</f>
        <v>74.72</v>
      </c>
      <c r="U935" s="14">
        <f>'PIVOT TABLES'!$W$26</f>
        <v>55.895999999999994</v>
      </c>
      <c r="V935" s="14">
        <f>'PIVOT TABLES'!$W$27-'PIVOT TABLES'!$W$26</f>
        <v>27.948</v>
      </c>
      <c r="W935" s="14">
        <f>'PIVOT TABLES'!$W$28-'PIVOT TABLES'!$W$27</f>
        <v>27.947999999999993</v>
      </c>
      <c r="X935" s="14">
        <f>200-SUM(Table3[[#This Row],[S - LIGHT]:[S - VIGOROUS]])</f>
        <v>88.208000000000013</v>
      </c>
    </row>
    <row r="936" spans="1:24" x14ac:dyDescent="0.25">
      <c r="A936" s="17" t="s">
        <v>5</v>
      </c>
      <c r="B936" s="13" t="str">
        <f t="shared" si="14"/>
        <v>Midfielder</v>
      </c>
      <c r="C936" s="7">
        <v>45353.381076388891</v>
      </c>
      <c r="D936" s="14">
        <v>3078</v>
      </c>
      <c r="E936" s="14">
        <v>54</v>
      </c>
      <c r="F936" s="14">
        <v>6</v>
      </c>
      <c r="G936" s="14">
        <v>9</v>
      </c>
      <c r="H936" s="14">
        <v>32.82</v>
      </c>
      <c r="I936" s="14">
        <f>'PIVOT TABLES'!$B$26</f>
        <v>60.283999999999999</v>
      </c>
      <c r="J936" s="14">
        <f>'PIVOT TABLES'!$B$27-'PIVOT TABLES'!$B$26</f>
        <v>30.142000000000003</v>
      </c>
      <c r="K936" s="14">
        <f>'PIVOT TABLES'!$B$28-'PIVOT TABLES'!$B$27</f>
        <v>30.141999999999996</v>
      </c>
      <c r="L936" s="14">
        <f>200-SUM(Table3[[#This Row],[D - LIGHT]:[D - VIGOROUS]])</f>
        <v>79.432000000000002</v>
      </c>
      <c r="M936" s="14">
        <f>'PIVOT TABLES'!$I$26</f>
        <v>65.603999999999999</v>
      </c>
      <c r="N936" s="14">
        <f>'PIVOT TABLES'!$I$27-'PIVOT TABLES'!$I$26</f>
        <v>32.802000000000007</v>
      </c>
      <c r="O936" s="14">
        <f>'PIVOT TABLES'!$I$28-'PIVOT TABLES'!$I$27</f>
        <v>32.801999999999992</v>
      </c>
      <c r="P936" s="14">
        <f>200-SUM(Table3[[#This Row],[M - LIGHT]:[M - VIGOROUS]])</f>
        <v>68.792000000000002</v>
      </c>
      <c r="Q936" s="14">
        <f>'PIVOT TABLES'!$P$26</f>
        <v>62.64</v>
      </c>
      <c r="R936" s="14">
        <f>'PIVOT TABLES'!$P$27-'PIVOT TABLES'!$P$26</f>
        <v>31.320000000000007</v>
      </c>
      <c r="S936" s="14">
        <f>'PIVOT TABLES'!$P$28-'PIVOT TABLES'!$P$27</f>
        <v>31.319999999999993</v>
      </c>
      <c r="T936" s="14">
        <f>200-SUM(Table3[[#This Row],[W - LIGHT]:[W - VIGOROUS]])</f>
        <v>74.72</v>
      </c>
      <c r="U936" s="14">
        <f>'PIVOT TABLES'!$W$26</f>
        <v>55.895999999999994</v>
      </c>
      <c r="V936" s="14">
        <f>'PIVOT TABLES'!$W$27-'PIVOT TABLES'!$W$26</f>
        <v>27.948</v>
      </c>
      <c r="W936" s="14">
        <f>'PIVOT TABLES'!$W$28-'PIVOT TABLES'!$W$27</f>
        <v>27.947999999999993</v>
      </c>
      <c r="X936" s="14">
        <f>200-SUM(Table3[[#This Row],[S - LIGHT]:[S - VIGOROUS]])</f>
        <v>88.208000000000013</v>
      </c>
    </row>
    <row r="937" spans="1:24" x14ac:dyDescent="0.25">
      <c r="A937" s="17" t="s">
        <v>6</v>
      </c>
      <c r="B937" s="13" t="str">
        <f t="shared" si="14"/>
        <v>Midfielder</v>
      </c>
      <c r="C937" s="7">
        <v>45353.381076388891</v>
      </c>
      <c r="D937" s="14">
        <v>3179</v>
      </c>
      <c r="E937" s="14">
        <v>30</v>
      </c>
      <c r="F937" s="14">
        <v>3</v>
      </c>
      <c r="G937" s="14">
        <v>2</v>
      </c>
      <c r="H937" s="14">
        <v>32.85</v>
      </c>
      <c r="I937" s="14">
        <f>'PIVOT TABLES'!$B$26</f>
        <v>60.283999999999999</v>
      </c>
      <c r="J937" s="14">
        <f>'PIVOT TABLES'!$B$27-'PIVOT TABLES'!$B$26</f>
        <v>30.142000000000003</v>
      </c>
      <c r="K937" s="14">
        <f>'PIVOT TABLES'!$B$28-'PIVOT TABLES'!$B$27</f>
        <v>30.141999999999996</v>
      </c>
      <c r="L937" s="14">
        <f>200-SUM(Table3[[#This Row],[D - LIGHT]:[D - VIGOROUS]])</f>
        <v>79.432000000000002</v>
      </c>
      <c r="M937" s="14">
        <f>'PIVOT TABLES'!$I$26</f>
        <v>65.603999999999999</v>
      </c>
      <c r="N937" s="14">
        <f>'PIVOT TABLES'!$I$27-'PIVOT TABLES'!$I$26</f>
        <v>32.802000000000007</v>
      </c>
      <c r="O937" s="14">
        <f>'PIVOT TABLES'!$I$28-'PIVOT TABLES'!$I$27</f>
        <v>32.801999999999992</v>
      </c>
      <c r="P937" s="14">
        <f>200-SUM(Table3[[#This Row],[M - LIGHT]:[M - VIGOROUS]])</f>
        <v>68.792000000000002</v>
      </c>
      <c r="Q937" s="14">
        <f>'PIVOT TABLES'!$P$26</f>
        <v>62.64</v>
      </c>
      <c r="R937" s="14">
        <f>'PIVOT TABLES'!$P$27-'PIVOT TABLES'!$P$26</f>
        <v>31.320000000000007</v>
      </c>
      <c r="S937" s="14">
        <f>'PIVOT TABLES'!$P$28-'PIVOT TABLES'!$P$27</f>
        <v>31.319999999999993</v>
      </c>
      <c r="T937" s="14">
        <f>200-SUM(Table3[[#This Row],[W - LIGHT]:[W - VIGOROUS]])</f>
        <v>74.72</v>
      </c>
      <c r="U937" s="14">
        <f>'PIVOT TABLES'!$W$26</f>
        <v>55.895999999999994</v>
      </c>
      <c r="V937" s="14">
        <f>'PIVOT TABLES'!$W$27-'PIVOT TABLES'!$W$26</f>
        <v>27.948</v>
      </c>
      <c r="W937" s="14">
        <f>'PIVOT TABLES'!$W$28-'PIVOT TABLES'!$W$27</f>
        <v>27.947999999999993</v>
      </c>
      <c r="X937" s="14">
        <f>200-SUM(Table3[[#This Row],[S - LIGHT]:[S - VIGOROUS]])</f>
        <v>88.208000000000013</v>
      </c>
    </row>
    <row r="938" spans="1:24" x14ac:dyDescent="0.25">
      <c r="A938" s="17" t="s">
        <v>62</v>
      </c>
      <c r="B938" s="13" t="str">
        <f t="shared" si="14"/>
        <v>Midfielder</v>
      </c>
      <c r="C938" s="7">
        <v>45353.381076388891</v>
      </c>
      <c r="D938" s="14">
        <v>2974</v>
      </c>
      <c r="E938" s="14">
        <v>0</v>
      </c>
      <c r="F938" s="14">
        <v>6</v>
      </c>
      <c r="G938" s="14">
        <v>4</v>
      </c>
      <c r="H938" s="14">
        <v>30.06</v>
      </c>
      <c r="I938" s="14">
        <f>'PIVOT TABLES'!$B$26</f>
        <v>60.283999999999999</v>
      </c>
      <c r="J938" s="14">
        <f>'PIVOT TABLES'!$B$27-'PIVOT TABLES'!$B$26</f>
        <v>30.142000000000003</v>
      </c>
      <c r="K938" s="14">
        <f>'PIVOT TABLES'!$B$28-'PIVOT TABLES'!$B$27</f>
        <v>30.141999999999996</v>
      </c>
      <c r="L938" s="14">
        <f>200-SUM(Table3[[#This Row],[D - LIGHT]:[D - VIGOROUS]])</f>
        <v>79.432000000000002</v>
      </c>
      <c r="M938" s="14">
        <f>'PIVOT TABLES'!$I$26</f>
        <v>65.603999999999999</v>
      </c>
      <c r="N938" s="14">
        <f>'PIVOT TABLES'!$I$27-'PIVOT TABLES'!$I$26</f>
        <v>32.802000000000007</v>
      </c>
      <c r="O938" s="14">
        <f>'PIVOT TABLES'!$I$28-'PIVOT TABLES'!$I$27</f>
        <v>32.801999999999992</v>
      </c>
      <c r="P938" s="14">
        <f>200-SUM(Table3[[#This Row],[M - LIGHT]:[M - VIGOROUS]])</f>
        <v>68.792000000000002</v>
      </c>
      <c r="Q938" s="14">
        <f>'PIVOT TABLES'!$P$26</f>
        <v>62.64</v>
      </c>
      <c r="R938" s="14">
        <f>'PIVOT TABLES'!$P$27-'PIVOT TABLES'!$P$26</f>
        <v>31.320000000000007</v>
      </c>
      <c r="S938" s="14">
        <f>'PIVOT TABLES'!$P$28-'PIVOT TABLES'!$P$27</f>
        <v>31.319999999999993</v>
      </c>
      <c r="T938" s="14">
        <f>200-SUM(Table3[[#This Row],[W - LIGHT]:[W - VIGOROUS]])</f>
        <v>74.72</v>
      </c>
      <c r="U938" s="14">
        <f>'PIVOT TABLES'!$W$26</f>
        <v>55.895999999999994</v>
      </c>
      <c r="V938" s="14">
        <f>'PIVOT TABLES'!$W$27-'PIVOT TABLES'!$W$26</f>
        <v>27.948</v>
      </c>
      <c r="W938" s="14">
        <f>'PIVOT TABLES'!$W$28-'PIVOT TABLES'!$W$27</f>
        <v>27.947999999999993</v>
      </c>
      <c r="X938" s="14">
        <f>200-SUM(Table3[[#This Row],[S - LIGHT]:[S - VIGOROUS]])</f>
        <v>88.208000000000013</v>
      </c>
    </row>
    <row r="939" spans="1:24" x14ac:dyDescent="0.25">
      <c r="A939" s="17" t="s">
        <v>64</v>
      </c>
      <c r="B939" s="13" t="str">
        <f t="shared" si="14"/>
        <v>Midfielder</v>
      </c>
      <c r="C939" s="7">
        <v>45353.381076388891</v>
      </c>
      <c r="D939" s="14">
        <v>3829</v>
      </c>
      <c r="E939" s="14">
        <v>18</v>
      </c>
      <c r="F939" s="14">
        <v>0</v>
      </c>
      <c r="G939" s="14">
        <v>5</v>
      </c>
      <c r="H939" s="14">
        <v>38.93</v>
      </c>
      <c r="I939" s="14">
        <f>'PIVOT TABLES'!$B$26</f>
        <v>60.283999999999999</v>
      </c>
      <c r="J939" s="14">
        <f>'PIVOT TABLES'!$B$27-'PIVOT TABLES'!$B$26</f>
        <v>30.142000000000003</v>
      </c>
      <c r="K939" s="14">
        <f>'PIVOT TABLES'!$B$28-'PIVOT TABLES'!$B$27</f>
        <v>30.141999999999996</v>
      </c>
      <c r="L939" s="14">
        <f>200-SUM(Table3[[#This Row],[D - LIGHT]:[D - VIGOROUS]])</f>
        <v>79.432000000000002</v>
      </c>
      <c r="M939" s="14">
        <f>'PIVOT TABLES'!$I$26</f>
        <v>65.603999999999999</v>
      </c>
      <c r="N939" s="14">
        <f>'PIVOT TABLES'!$I$27-'PIVOT TABLES'!$I$26</f>
        <v>32.802000000000007</v>
      </c>
      <c r="O939" s="14">
        <f>'PIVOT TABLES'!$I$28-'PIVOT TABLES'!$I$27</f>
        <v>32.801999999999992</v>
      </c>
      <c r="P939" s="14">
        <f>200-SUM(Table3[[#This Row],[M - LIGHT]:[M - VIGOROUS]])</f>
        <v>68.792000000000002</v>
      </c>
      <c r="Q939" s="14">
        <f>'PIVOT TABLES'!$P$26</f>
        <v>62.64</v>
      </c>
      <c r="R939" s="14">
        <f>'PIVOT TABLES'!$P$27-'PIVOT TABLES'!$P$26</f>
        <v>31.320000000000007</v>
      </c>
      <c r="S939" s="14">
        <f>'PIVOT TABLES'!$P$28-'PIVOT TABLES'!$P$27</f>
        <v>31.319999999999993</v>
      </c>
      <c r="T939" s="14">
        <f>200-SUM(Table3[[#This Row],[W - LIGHT]:[W - VIGOROUS]])</f>
        <v>74.72</v>
      </c>
      <c r="U939" s="14">
        <f>'PIVOT TABLES'!$W$26</f>
        <v>55.895999999999994</v>
      </c>
      <c r="V939" s="14">
        <f>'PIVOT TABLES'!$W$27-'PIVOT TABLES'!$W$26</f>
        <v>27.948</v>
      </c>
      <c r="W939" s="14">
        <f>'PIVOT TABLES'!$W$28-'PIVOT TABLES'!$W$27</f>
        <v>27.947999999999993</v>
      </c>
      <c r="X939" s="14">
        <f>200-SUM(Table3[[#This Row],[S - LIGHT]:[S - VIGOROUS]])</f>
        <v>88.208000000000013</v>
      </c>
    </row>
    <row r="940" spans="1:24" x14ac:dyDescent="0.25">
      <c r="A940" s="17" t="s">
        <v>65</v>
      </c>
      <c r="B940" s="13" t="str">
        <f t="shared" si="14"/>
        <v>Winger</v>
      </c>
      <c r="C940" s="7">
        <v>45353.381076388891</v>
      </c>
      <c r="D940" s="14">
        <v>3638</v>
      </c>
      <c r="E940" s="14">
        <v>34</v>
      </c>
      <c r="F940" s="14">
        <v>12</v>
      </c>
      <c r="G940" s="14">
        <v>15</v>
      </c>
      <c r="H940" s="14">
        <v>38.18</v>
      </c>
      <c r="I940" s="14">
        <f>'PIVOT TABLES'!$B$26</f>
        <v>60.283999999999999</v>
      </c>
      <c r="J940" s="14">
        <f>'PIVOT TABLES'!$B$27-'PIVOT TABLES'!$B$26</f>
        <v>30.142000000000003</v>
      </c>
      <c r="K940" s="14">
        <f>'PIVOT TABLES'!$B$28-'PIVOT TABLES'!$B$27</f>
        <v>30.141999999999996</v>
      </c>
      <c r="L940" s="14">
        <f>200-SUM(Table3[[#This Row],[D - LIGHT]:[D - VIGOROUS]])</f>
        <v>79.432000000000002</v>
      </c>
      <c r="M940" s="14">
        <f>'PIVOT TABLES'!$I$26</f>
        <v>65.603999999999999</v>
      </c>
      <c r="N940" s="14">
        <f>'PIVOT TABLES'!$I$27-'PIVOT TABLES'!$I$26</f>
        <v>32.802000000000007</v>
      </c>
      <c r="O940" s="14">
        <f>'PIVOT TABLES'!$I$28-'PIVOT TABLES'!$I$27</f>
        <v>32.801999999999992</v>
      </c>
      <c r="P940" s="14">
        <f>200-SUM(Table3[[#This Row],[M - LIGHT]:[M - VIGOROUS]])</f>
        <v>68.792000000000002</v>
      </c>
      <c r="Q940" s="14">
        <f>'PIVOT TABLES'!$P$26</f>
        <v>62.64</v>
      </c>
      <c r="R940" s="14">
        <f>'PIVOT TABLES'!$P$27-'PIVOT TABLES'!$P$26</f>
        <v>31.320000000000007</v>
      </c>
      <c r="S940" s="14">
        <f>'PIVOT TABLES'!$P$28-'PIVOT TABLES'!$P$27</f>
        <v>31.319999999999993</v>
      </c>
      <c r="T940" s="14">
        <f>200-SUM(Table3[[#This Row],[W - LIGHT]:[W - VIGOROUS]])</f>
        <v>74.72</v>
      </c>
      <c r="U940" s="14">
        <f>'PIVOT TABLES'!$W$26</f>
        <v>55.895999999999994</v>
      </c>
      <c r="V940" s="14">
        <f>'PIVOT TABLES'!$W$27-'PIVOT TABLES'!$W$26</f>
        <v>27.948</v>
      </c>
      <c r="W940" s="14">
        <f>'PIVOT TABLES'!$W$28-'PIVOT TABLES'!$W$27</f>
        <v>27.947999999999993</v>
      </c>
      <c r="X940" s="14">
        <f>200-SUM(Table3[[#This Row],[S - LIGHT]:[S - VIGOROUS]])</f>
        <v>88.208000000000013</v>
      </c>
    </row>
    <row r="941" spans="1:24" x14ac:dyDescent="0.25">
      <c r="A941" s="17" t="s">
        <v>77</v>
      </c>
      <c r="B941" s="13" t="str">
        <f t="shared" si="14"/>
        <v>Defender</v>
      </c>
      <c r="C941" s="7">
        <v>45353.381076388891</v>
      </c>
      <c r="D941" s="14">
        <v>3250</v>
      </c>
      <c r="E941" s="14">
        <v>0</v>
      </c>
      <c r="F941" s="14">
        <v>6</v>
      </c>
      <c r="G941" s="14">
        <v>10</v>
      </c>
      <c r="H941" s="14">
        <v>32.94</v>
      </c>
      <c r="I941" s="14">
        <f>'PIVOT TABLES'!$B$26</f>
        <v>60.283999999999999</v>
      </c>
      <c r="J941" s="14">
        <f>'PIVOT TABLES'!$B$27-'PIVOT TABLES'!$B$26</f>
        <v>30.142000000000003</v>
      </c>
      <c r="K941" s="14">
        <f>'PIVOT TABLES'!$B$28-'PIVOT TABLES'!$B$27</f>
        <v>30.141999999999996</v>
      </c>
      <c r="L941" s="14">
        <f>200-SUM(Table3[[#This Row],[D - LIGHT]:[D - VIGOROUS]])</f>
        <v>79.432000000000002</v>
      </c>
      <c r="M941" s="14">
        <f>'PIVOT TABLES'!$I$26</f>
        <v>65.603999999999999</v>
      </c>
      <c r="N941" s="14">
        <f>'PIVOT TABLES'!$I$27-'PIVOT TABLES'!$I$26</f>
        <v>32.802000000000007</v>
      </c>
      <c r="O941" s="14">
        <f>'PIVOT TABLES'!$I$28-'PIVOT TABLES'!$I$27</f>
        <v>32.801999999999992</v>
      </c>
      <c r="P941" s="14">
        <f>200-SUM(Table3[[#This Row],[M - LIGHT]:[M - VIGOROUS]])</f>
        <v>68.792000000000002</v>
      </c>
      <c r="Q941" s="14">
        <f>'PIVOT TABLES'!$P$26</f>
        <v>62.64</v>
      </c>
      <c r="R941" s="14">
        <f>'PIVOT TABLES'!$P$27-'PIVOT TABLES'!$P$26</f>
        <v>31.320000000000007</v>
      </c>
      <c r="S941" s="14">
        <f>'PIVOT TABLES'!$P$28-'PIVOT TABLES'!$P$27</f>
        <v>31.319999999999993</v>
      </c>
      <c r="T941" s="14">
        <f>200-SUM(Table3[[#This Row],[W - LIGHT]:[W - VIGOROUS]])</f>
        <v>74.72</v>
      </c>
      <c r="U941" s="14">
        <f>'PIVOT TABLES'!$W$26</f>
        <v>55.895999999999994</v>
      </c>
      <c r="V941" s="14">
        <f>'PIVOT TABLES'!$W$27-'PIVOT TABLES'!$W$26</f>
        <v>27.948</v>
      </c>
      <c r="W941" s="14">
        <f>'PIVOT TABLES'!$W$28-'PIVOT TABLES'!$W$27</f>
        <v>27.947999999999993</v>
      </c>
      <c r="X941" s="14">
        <f>200-SUM(Table3[[#This Row],[S - LIGHT]:[S - VIGOROUS]])</f>
        <v>88.208000000000013</v>
      </c>
    </row>
    <row r="942" spans="1:24" x14ac:dyDescent="0.25">
      <c r="A942" s="17" t="s">
        <v>66</v>
      </c>
      <c r="B942" s="13" t="str">
        <f t="shared" si="14"/>
        <v>Striker</v>
      </c>
      <c r="C942" s="7">
        <v>45353.381076388891</v>
      </c>
      <c r="D942" s="14">
        <v>3694</v>
      </c>
      <c r="E942" s="14">
        <v>15</v>
      </c>
      <c r="F942" s="14">
        <v>20</v>
      </c>
      <c r="G942" s="14">
        <v>25</v>
      </c>
      <c r="H942" s="14">
        <v>38.69</v>
      </c>
      <c r="I942" s="14">
        <f>'PIVOT TABLES'!$B$26</f>
        <v>60.283999999999999</v>
      </c>
      <c r="J942" s="14">
        <f>'PIVOT TABLES'!$B$27-'PIVOT TABLES'!$B$26</f>
        <v>30.142000000000003</v>
      </c>
      <c r="K942" s="14">
        <f>'PIVOT TABLES'!$B$28-'PIVOT TABLES'!$B$27</f>
        <v>30.141999999999996</v>
      </c>
      <c r="L942" s="14">
        <f>200-SUM(Table3[[#This Row],[D - LIGHT]:[D - VIGOROUS]])</f>
        <v>79.432000000000002</v>
      </c>
      <c r="M942" s="14">
        <f>'PIVOT TABLES'!$I$26</f>
        <v>65.603999999999999</v>
      </c>
      <c r="N942" s="14">
        <f>'PIVOT TABLES'!$I$27-'PIVOT TABLES'!$I$26</f>
        <v>32.802000000000007</v>
      </c>
      <c r="O942" s="14">
        <f>'PIVOT TABLES'!$I$28-'PIVOT TABLES'!$I$27</f>
        <v>32.801999999999992</v>
      </c>
      <c r="P942" s="14">
        <f>200-SUM(Table3[[#This Row],[M - LIGHT]:[M - VIGOROUS]])</f>
        <v>68.792000000000002</v>
      </c>
      <c r="Q942" s="14">
        <f>'PIVOT TABLES'!$P$26</f>
        <v>62.64</v>
      </c>
      <c r="R942" s="14">
        <f>'PIVOT TABLES'!$P$27-'PIVOT TABLES'!$P$26</f>
        <v>31.320000000000007</v>
      </c>
      <c r="S942" s="14">
        <f>'PIVOT TABLES'!$P$28-'PIVOT TABLES'!$P$27</f>
        <v>31.319999999999993</v>
      </c>
      <c r="T942" s="14">
        <f>200-SUM(Table3[[#This Row],[W - LIGHT]:[W - VIGOROUS]])</f>
        <v>74.72</v>
      </c>
      <c r="U942" s="14">
        <f>'PIVOT TABLES'!$W$26</f>
        <v>55.895999999999994</v>
      </c>
      <c r="V942" s="14">
        <f>'PIVOT TABLES'!$W$27-'PIVOT TABLES'!$W$26</f>
        <v>27.948</v>
      </c>
      <c r="W942" s="14">
        <f>'PIVOT TABLES'!$W$28-'PIVOT TABLES'!$W$27</f>
        <v>27.947999999999993</v>
      </c>
      <c r="X942" s="14">
        <f>200-SUM(Table3[[#This Row],[S - LIGHT]:[S - VIGOROUS]])</f>
        <v>88.208000000000013</v>
      </c>
    </row>
    <row r="943" spans="1:24" x14ac:dyDescent="0.25">
      <c r="A943" s="17" t="s">
        <v>78</v>
      </c>
      <c r="B943" s="13" t="str">
        <f t="shared" si="14"/>
        <v>Defender</v>
      </c>
      <c r="C943" s="7">
        <v>45353.381076388891</v>
      </c>
      <c r="D943" s="14">
        <v>3374</v>
      </c>
      <c r="E943" s="14">
        <v>22</v>
      </c>
      <c r="F943" s="14">
        <v>2</v>
      </c>
      <c r="G943" s="14">
        <v>2</v>
      </c>
      <c r="H943" s="14">
        <v>34.520000000000003</v>
      </c>
      <c r="I943" s="14">
        <f>'PIVOT TABLES'!$B$26</f>
        <v>60.283999999999999</v>
      </c>
      <c r="J943" s="14">
        <f>'PIVOT TABLES'!$B$27-'PIVOT TABLES'!$B$26</f>
        <v>30.142000000000003</v>
      </c>
      <c r="K943" s="14">
        <f>'PIVOT TABLES'!$B$28-'PIVOT TABLES'!$B$27</f>
        <v>30.141999999999996</v>
      </c>
      <c r="L943" s="14">
        <f>200-SUM(Table3[[#This Row],[D - LIGHT]:[D - VIGOROUS]])</f>
        <v>79.432000000000002</v>
      </c>
      <c r="M943" s="14">
        <f>'PIVOT TABLES'!$I$26</f>
        <v>65.603999999999999</v>
      </c>
      <c r="N943" s="14">
        <f>'PIVOT TABLES'!$I$27-'PIVOT TABLES'!$I$26</f>
        <v>32.802000000000007</v>
      </c>
      <c r="O943" s="14">
        <f>'PIVOT TABLES'!$I$28-'PIVOT TABLES'!$I$27</f>
        <v>32.801999999999992</v>
      </c>
      <c r="P943" s="14">
        <f>200-SUM(Table3[[#This Row],[M - LIGHT]:[M - VIGOROUS]])</f>
        <v>68.792000000000002</v>
      </c>
      <c r="Q943" s="14">
        <f>'PIVOT TABLES'!$P$26</f>
        <v>62.64</v>
      </c>
      <c r="R943" s="14">
        <f>'PIVOT TABLES'!$P$27-'PIVOT TABLES'!$P$26</f>
        <v>31.320000000000007</v>
      </c>
      <c r="S943" s="14">
        <f>'PIVOT TABLES'!$P$28-'PIVOT TABLES'!$P$27</f>
        <v>31.319999999999993</v>
      </c>
      <c r="T943" s="14">
        <f>200-SUM(Table3[[#This Row],[W - LIGHT]:[W - VIGOROUS]])</f>
        <v>74.72</v>
      </c>
      <c r="U943" s="14">
        <f>'PIVOT TABLES'!$W$26</f>
        <v>55.895999999999994</v>
      </c>
      <c r="V943" s="14">
        <f>'PIVOT TABLES'!$W$27-'PIVOT TABLES'!$W$26</f>
        <v>27.948</v>
      </c>
      <c r="W943" s="14">
        <f>'PIVOT TABLES'!$W$28-'PIVOT TABLES'!$W$27</f>
        <v>27.947999999999993</v>
      </c>
      <c r="X943" s="14">
        <f>200-SUM(Table3[[#This Row],[S - LIGHT]:[S - VIGOROUS]])</f>
        <v>88.208000000000013</v>
      </c>
    </row>
    <row r="944" spans="1:24" x14ac:dyDescent="0.25">
      <c r="A944" s="17" t="s">
        <v>95</v>
      </c>
      <c r="B944" s="13" t="str">
        <f t="shared" si="14"/>
        <v>Winger</v>
      </c>
      <c r="C944" s="7">
        <v>45353.381076388891</v>
      </c>
      <c r="D944" s="14">
        <v>3503</v>
      </c>
      <c r="E944" s="14">
        <v>0</v>
      </c>
      <c r="F944" s="14">
        <v>1</v>
      </c>
      <c r="G944" s="14">
        <v>1</v>
      </c>
      <c r="H944" s="14">
        <v>35.090000000000003</v>
      </c>
      <c r="I944" s="14">
        <f>'PIVOT TABLES'!$B$26</f>
        <v>60.283999999999999</v>
      </c>
      <c r="J944" s="14">
        <f>'PIVOT TABLES'!$B$27-'PIVOT TABLES'!$B$26</f>
        <v>30.142000000000003</v>
      </c>
      <c r="K944" s="14">
        <f>'PIVOT TABLES'!$B$28-'PIVOT TABLES'!$B$27</f>
        <v>30.141999999999996</v>
      </c>
      <c r="L944" s="14">
        <f>200-SUM(Table3[[#This Row],[D - LIGHT]:[D - VIGOROUS]])</f>
        <v>79.432000000000002</v>
      </c>
      <c r="M944" s="14">
        <f>'PIVOT TABLES'!$I$26</f>
        <v>65.603999999999999</v>
      </c>
      <c r="N944" s="14">
        <f>'PIVOT TABLES'!$I$27-'PIVOT TABLES'!$I$26</f>
        <v>32.802000000000007</v>
      </c>
      <c r="O944" s="14">
        <f>'PIVOT TABLES'!$I$28-'PIVOT TABLES'!$I$27</f>
        <v>32.801999999999992</v>
      </c>
      <c r="P944" s="14">
        <f>200-SUM(Table3[[#This Row],[M - LIGHT]:[M - VIGOROUS]])</f>
        <v>68.792000000000002</v>
      </c>
      <c r="Q944" s="14">
        <f>'PIVOT TABLES'!$P$26</f>
        <v>62.64</v>
      </c>
      <c r="R944" s="14">
        <f>'PIVOT TABLES'!$P$27-'PIVOT TABLES'!$P$26</f>
        <v>31.320000000000007</v>
      </c>
      <c r="S944" s="14">
        <f>'PIVOT TABLES'!$P$28-'PIVOT TABLES'!$P$27</f>
        <v>31.319999999999993</v>
      </c>
      <c r="T944" s="14">
        <f>200-SUM(Table3[[#This Row],[W - LIGHT]:[W - VIGOROUS]])</f>
        <v>74.72</v>
      </c>
      <c r="U944" s="14">
        <f>'PIVOT TABLES'!$W$26</f>
        <v>55.895999999999994</v>
      </c>
      <c r="V944" s="14">
        <f>'PIVOT TABLES'!$W$27-'PIVOT TABLES'!$W$26</f>
        <v>27.948</v>
      </c>
      <c r="W944" s="14">
        <f>'PIVOT TABLES'!$W$28-'PIVOT TABLES'!$W$27</f>
        <v>27.947999999999993</v>
      </c>
      <c r="X944" s="14">
        <f>200-SUM(Table3[[#This Row],[S - LIGHT]:[S - VIGOROUS]])</f>
        <v>88.208000000000013</v>
      </c>
    </row>
    <row r="945" spans="1:24" x14ac:dyDescent="0.25">
      <c r="A945" s="17" t="s">
        <v>96</v>
      </c>
      <c r="B945" s="13" t="str">
        <f t="shared" si="14"/>
        <v>Winger</v>
      </c>
      <c r="C945" s="7">
        <v>45353.381076388891</v>
      </c>
      <c r="D945" s="14">
        <v>3730</v>
      </c>
      <c r="E945" s="14">
        <v>32</v>
      </c>
      <c r="F945" s="14">
        <v>5</v>
      </c>
      <c r="G945" s="14">
        <v>5</v>
      </c>
      <c r="H945" s="14">
        <v>38.56</v>
      </c>
      <c r="I945" s="14">
        <f>'PIVOT TABLES'!$B$26</f>
        <v>60.283999999999999</v>
      </c>
      <c r="J945" s="14">
        <f>'PIVOT TABLES'!$B$27-'PIVOT TABLES'!$B$26</f>
        <v>30.142000000000003</v>
      </c>
      <c r="K945" s="14">
        <f>'PIVOT TABLES'!$B$28-'PIVOT TABLES'!$B$27</f>
        <v>30.141999999999996</v>
      </c>
      <c r="L945" s="14">
        <f>200-SUM(Table3[[#This Row],[D - LIGHT]:[D - VIGOROUS]])</f>
        <v>79.432000000000002</v>
      </c>
      <c r="M945" s="14">
        <f>'PIVOT TABLES'!$I$26</f>
        <v>65.603999999999999</v>
      </c>
      <c r="N945" s="14">
        <f>'PIVOT TABLES'!$I$27-'PIVOT TABLES'!$I$26</f>
        <v>32.802000000000007</v>
      </c>
      <c r="O945" s="14">
        <f>'PIVOT TABLES'!$I$28-'PIVOT TABLES'!$I$27</f>
        <v>32.801999999999992</v>
      </c>
      <c r="P945" s="14">
        <f>200-SUM(Table3[[#This Row],[M - LIGHT]:[M - VIGOROUS]])</f>
        <v>68.792000000000002</v>
      </c>
      <c r="Q945" s="14">
        <f>'PIVOT TABLES'!$P$26</f>
        <v>62.64</v>
      </c>
      <c r="R945" s="14">
        <f>'PIVOT TABLES'!$P$27-'PIVOT TABLES'!$P$26</f>
        <v>31.320000000000007</v>
      </c>
      <c r="S945" s="14">
        <f>'PIVOT TABLES'!$P$28-'PIVOT TABLES'!$P$27</f>
        <v>31.319999999999993</v>
      </c>
      <c r="T945" s="14">
        <f>200-SUM(Table3[[#This Row],[W - LIGHT]:[W - VIGOROUS]])</f>
        <v>74.72</v>
      </c>
      <c r="U945" s="14">
        <f>'PIVOT TABLES'!$W$26</f>
        <v>55.895999999999994</v>
      </c>
      <c r="V945" s="14">
        <f>'PIVOT TABLES'!$W$27-'PIVOT TABLES'!$W$26</f>
        <v>27.948</v>
      </c>
      <c r="W945" s="14">
        <f>'PIVOT TABLES'!$W$28-'PIVOT TABLES'!$W$27</f>
        <v>27.947999999999993</v>
      </c>
      <c r="X945" s="14">
        <f>200-SUM(Table3[[#This Row],[S - LIGHT]:[S - VIGOROUS]])</f>
        <v>88.208000000000013</v>
      </c>
    </row>
    <row r="946" spans="1:24" x14ac:dyDescent="0.25">
      <c r="A946" s="17" t="s">
        <v>8</v>
      </c>
      <c r="B946" s="13" t="str">
        <f t="shared" si="14"/>
        <v>Striker</v>
      </c>
      <c r="C946" s="7">
        <v>45353.381076388891</v>
      </c>
      <c r="D946" s="14">
        <v>2645</v>
      </c>
      <c r="E946" s="14">
        <v>0</v>
      </c>
      <c r="F946" s="14">
        <v>2</v>
      </c>
      <c r="G946" s="14">
        <v>2</v>
      </c>
      <c r="H946" s="14">
        <v>26.57</v>
      </c>
      <c r="I946" s="14">
        <f>'PIVOT TABLES'!$B$26</f>
        <v>60.283999999999999</v>
      </c>
      <c r="J946" s="14">
        <f>'PIVOT TABLES'!$B$27-'PIVOT TABLES'!$B$26</f>
        <v>30.142000000000003</v>
      </c>
      <c r="K946" s="14">
        <f>'PIVOT TABLES'!$B$28-'PIVOT TABLES'!$B$27</f>
        <v>30.141999999999996</v>
      </c>
      <c r="L946" s="14">
        <f>200-SUM(Table3[[#This Row],[D - LIGHT]:[D - VIGOROUS]])</f>
        <v>79.432000000000002</v>
      </c>
      <c r="M946" s="14">
        <f>'PIVOT TABLES'!$I$26</f>
        <v>65.603999999999999</v>
      </c>
      <c r="N946" s="14">
        <f>'PIVOT TABLES'!$I$27-'PIVOT TABLES'!$I$26</f>
        <v>32.802000000000007</v>
      </c>
      <c r="O946" s="14">
        <f>'PIVOT TABLES'!$I$28-'PIVOT TABLES'!$I$27</f>
        <v>32.801999999999992</v>
      </c>
      <c r="P946" s="14">
        <f>200-SUM(Table3[[#This Row],[M - LIGHT]:[M - VIGOROUS]])</f>
        <v>68.792000000000002</v>
      </c>
      <c r="Q946" s="14">
        <f>'PIVOT TABLES'!$P$26</f>
        <v>62.64</v>
      </c>
      <c r="R946" s="14">
        <f>'PIVOT TABLES'!$P$27-'PIVOT TABLES'!$P$26</f>
        <v>31.320000000000007</v>
      </c>
      <c r="S946" s="14">
        <f>'PIVOT TABLES'!$P$28-'PIVOT TABLES'!$P$27</f>
        <v>31.319999999999993</v>
      </c>
      <c r="T946" s="14">
        <f>200-SUM(Table3[[#This Row],[W - LIGHT]:[W - VIGOROUS]])</f>
        <v>74.72</v>
      </c>
      <c r="U946" s="14">
        <f>'PIVOT TABLES'!$W$26</f>
        <v>55.895999999999994</v>
      </c>
      <c r="V946" s="14">
        <f>'PIVOT TABLES'!$W$27-'PIVOT TABLES'!$W$26</f>
        <v>27.948</v>
      </c>
      <c r="W946" s="14">
        <f>'PIVOT TABLES'!$W$28-'PIVOT TABLES'!$W$27</f>
        <v>27.947999999999993</v>
      </c>
      <c r="X946" s="14">
        <f>200-SUM(Table3[[#This Row],[S - LIGHT]:[S - VIGOROUS]])</f>
        <v>88.208000000000013</v>
      </c>
    </row>
    <row r="947" spans="1:24" x14ac:dyDescent="0.25">
      <c r="A947" s="17" t="s">
        <v>67</v>
      </c>
      <c r="B947" s="13" t="str">
        <f t="shared" si="14"/>
        <v>Midfielder</v>
      </c>
      <c r="C947" s="7">
        <v>45353.381076388891</v>
      </c>
      <c r="D947" s="14">
        <v>3153</v>
      </c>
      <c r="E947" s="14">
        <v>5</v>
      </c>
      <c r="F947" s="14">
        <v>4</v>
      </c>
      <c r="G947" s="14">
        <v>8</v>
      </c>
      <c r="H947" s="14">
        <v>32</v>
      </c>
      <c r="I947" s="14">
        <f>'PIVOT TABLES'!$B$26</f>
        <v>60.283999999999999</v>
      </c>
      <c r="J947" s="14">
        <f>'PIVOT TABLES'!$B$27-'PIVOT TABLES'!$B$26</f>
        <v>30.142000000000003</v>
      </c>
      <c r="K947" s="14">
        <f>'PIVOT TABLES'!$B$28-'PIVOT TABLES'!$B$27</f>
        <v>30.141999999999996</v>
      </c>
      <c r="L947" s="14">
        <f>200-SUM(Table3[[#This Row],[D - LIGHT]:[D - VIGOROUS]])</f>
        <v>79.432000000000002</v>
      </c>
      <c r="M947" s="14">
        <f>'PIVOT TABLES'!$I$26</f>
        <v>65.603999999999999</v>
      </c>
      <c r="N947" s="14">
        <f>'PIVOT TABLES'!$I$27-'PIVOT TABLES'!$I$26</f>
        <v>32.802000000000007</v>
      </c>
      <c r="O947" s="14">
        <f>'PIVOT TABLES'!$I$28-'PIVOT TABLES'!$I$27</f>
        <v>32.801999999999992</v>
      </c>
      <c r="P947" s="14">
        <f>200-SUM(Table3[[#This Row],[M - LIGHT]:[M - VIGOROUS]])</f>
        <v>68.792000000000002</v>
      </c>
      <c r="Q947" s="14">
        <f>'PIVOT TABLES'!$P$26</f>
        <v>62.64</v>
      </c>
      <c r="R947" s="14">
        <f>'PIVOT TABLES'!$P$27-'PIVOT TABLES'!$P$26</f>
        <v>31.320000000000007</v>
      </c>
      <c r="S947" s="14">
        <f>'PIVOT TABLES'!$P$28-'PIVOT TABLES'!$P$27</f>
        <v>31.319999999999993</v>
      </c>
      <c r="T947" s="14">
        <f>200-SUM(Table3[[#This Row],[W - LIGHT]:[W - VIGOROUS]])</f>
        <v>74.72</v>
      </c>
      <c r="U947" s="14">
        <f>'PIVOT TABLES'!$W$26</f>
        <v>55.895999999999994</v>
      </c>
      <c r="V947" s="14">
        <f>'PIVOT TABLES'!$W$27-'PIVOT TABLES'!$W$26</f>
        <v>27.948</v>
      </c>
      <c r="W947" s="14">
        <f>'PIVOT TABLES'!$W$28-'PIVOT TABLES'!$W$27</f>
        <v>27.947999999999993</v>
      </c>
      <c r="X947" s="14">
        <f>200-SUM(Table3[[#This Row],[S - LIGHT]:[S - VIGOROUS]])</f>
        <v>88.208000000000013</v>
      </c>
    </row>
    <row r="948" spans="1:24" x14ac:dyDescent="0.25">
      <c r="A948" s="17" t="s">
        <v>9</v>
      </c>
      <c r="B948" s="13" t="str">
        <f t="shared" si="14"/>
        <v>Striker</v>
      </c>
      <c r="C948" s="7">
        <v>45353.381076388891</v>
      </c>
      <c r="D948" s="14">
        <v>2626</v>
      </c>
      <c r="E948" s="14">
        <v>29</v>
      </c>
      <c r="F948" s="14">
        <v>6</v>
      </c>
      <c r="G948" s="14">
        <v>9</v>
      </c>
      <c r="H948" s="14">
        <v>27.55</v>
      </c>
      <c r="I948" s="14">
        <f>'PIVOT TABLES'!$B$26</f>
        <v>60.283999999999999</v>
      </c>
      <c r="J948" s="14">
        <f>'PIVOT TABLES'!$B$27-'PIVOT TABLES'!$B$26</f>
        <v>30.142000000000003</v>
      </c>
      <c r="K948" s="14">
        <f>'PIVOT TABLES'!$B$28-'PIVOT TABLES'!$B$27</f>
        <v>30.141999999999996</v>
      </c>
      <c r="L948" s="14">
        <f>200-SUM(Table3[[#This Row],[D - LIGHT]:[D - VIGOROUS]])</f>
        <v>79.432000000000002</v>
      </c>
      <c r="M948" s="14">
        <f>'PIVOT TABLES'!$I$26</f>
        <v>65.603999999999999</v>
      </c>
      <c r="N948" s="14">
        <f>'PIVOT TABLES'!$I$27-'PIVOT TABLES'!$I$26</f>
        <v>32.802000000000007</v>
      </c>
      <c r="O948" s="14">
        <f>'PIVOT TABLES'!$I$28-'PIVOT TABLES'!$I$27</f>
        <v>32.801999999999992</v>
      </c>
      <c r="P948" s="14">
        <f>200-SUM(Table3[[#This Row],[M - LIGHT]:[M - VIGOROUS]])</f>
        <v>68.792000000000002</v>
      </c>
      <c r="Q948" s="14">
        <f>'PIVOT TABLES'!$P$26</f>
        <v>62.64</v>
      </c>
      <c r="R948" s="14">
        <f>'PIVOT TABLES'!$P$27-'PIVOT TABLES'!$P$26</f>
        <v>31.320000000000007</v>
      </c>
      <c r="S948" s="14">
        <f>'PIVOT TABLES'!$P$28-'PIVOT TABLES'!$P$27</f>
        <v>31.319999999999993</v>
      </c>
      <c r="T948" s="14">
        <f>200-SUM(Table3[[#This Row],[W - LIGHT]:[W - VIGOROUS]])</f>
        <v>74.72</v>
      </c>
      <c r="U948" s="14">
        <f>'PIVOT TABLES'!$W$26</f>
        <v>55.895999999999994</v>
      </c>
      <c r="V948" s="14">
        <f>'PIVOT TABLES'!$W$27-'PIVOT TABLES'!$W$26</f>
        <v>27.948</v>
      </c>
      <c r="W948" s="14">
        <f>'PIVOT TABLES'!$W$28-'PIVOT TABLES'!$W$27</f>
        <v>27.947999999999993</v>
      </c>
      <c r="X948" s="14">
        <f>200-SUM(Table3[[#This Row],[S - LIGHT]:[S - VIGOROUS]])</f>
        <v>88.208000000000013</v>
      </c>
    </row>
    <row r="949" spans="1:24" x14ac:dyDescent="0.25">
      <c r="A949" s="17" t="s">
        <v>70</v>
      </c>
      <c r="B949" s="13" t="str">
        <f t="shared" si="14"/>
        <v>Winger</v>
      </c>
      <c r="C949" s="7">
        <v>45354.618784722225</v>
      </c>
      <c r="D949" s="14">
        <v>7215</v>
      </c>
      <c r="E949" s="14">
        <v>98</v>
      </c>
      <c r="F949" s="14">
        <v>19</v>
      </c>
      <c r="G949" s="14">
        <v>17</v>
      </c>
      <c r="H949" s="14">
        <v>76.19</v>
      </c>
      <c r="I949" s="14">
        <f>'PIVOT TABLES'!$B$26</f>
        <v>60.283999999999999</v>
      </c>
      <c r="J949" s="14">
        <f>'PIVOT TABLES'!$B$27-'PIVOT TABLES'!$B$26</f>
        <v>30.142000000000003</v>
      </c>
      <c r="K949" s="14">
        <f>'PIVOT TABLES'!$B$28-'PIVOT TABLES'!$B$27</f>
        <v>30.141999999999996</v>
      </c>
      <c r="L949" s="14">
        <f>200-SUM(Table3[[#This Row],[D - LIGHT]:[D - VIGOROUS]])</f>
        <v>79.432000000000002</v>
      </c>
      <c r="M949" s="14">
        <f>'PIVOT TABLES'!$I$26</f>
        <v>65.603999999999999</v>
      </c>
      <c r="N949" s="14">
        <f>'PIVOT TABLES'!$I$27-'PIVOT TABLES'!$I$26</f>
        <v>32.802000000000007</v>
      </c>
      <c r="O949" s="14">
        <f>'PIVOT TABLES'!$I$28-'PIVOT TABLES'!$I$27</f>
        <v>32.801999999999992</v>
      </c>
      <c r="P949" s="14">
        <f>200-SUM(Table3[[#This Row],[M - LIGHT]:[M - VIGOROUS]])</f>
        <v>68.792000000000002</v>
      </c>
      <c r="Q949" s="14">
        <f>'PIVOT TABLES'!$P$26</f>
        <v>62.64</v>
      </c>
      <c r="R949" s="14">
        <f>'PIVOT TABLES'!$P$27-'PIVOT TABLES'!$P$26</f>
        <v>31.320000000000007</v>
      </c>
      <c r="S949" s="14">
        <f>'PIVOT TABLES'!$P$28-'PIVOT TABLES'!$P$27</f>
        <v>31.319999999999993</v>
      </c>
      <c r="T949" s="14">
        <f>200-SUM(Table3[[#This Row],[W - LIGHT]:[W - VIGOROUS]])</f>
        <v>74.72</v>
      </c>
      <c r="U949" s="14">
        <f>'PIVOT TABLES'!$W$26</f>
        <v>55.895999999999994</v>
      </c>
      <c r="V949" s="14">
        <f>'PIVOT TABLES'!$W$27-'PIVOT TABLES'!$W$26</f>
        <v>27.948</v>
      </c>
      <c r="W949" s="14">
        <f>'PIVOT TABLES'!$W$28-'PIVOT TABLES'!$W$27</f>
        <v>27.947999999999993</v>
      </c>
      <c r="X949" s="14">
        <f>200-SUM(Table3[[#This Row],[S - LIGHT]:[S - VIGOROUS]])</f>
        <v>88.208000000000013</v>
      </c>
    </row>
    <row r="950" spans="1:24" x14ac:dyDescent="0.25">
      <c r="A950" s="17" t="s">
        <v>53</v>
      </c>
      <c r="B950" s="13" t="str">
        <f t="shared" si="14"/>
        <v>Midfielder</v>
      </c>
      <c r="C950" s="7">
        <v>45354.618784722225</v>
      </c>
      <c r="D950" s="14">
        <v>12818</v>
      </c>
      <c r="E950" s="14">
        <v>127</v>
      </c>
      <c r="F950" s="14">
        <v>30</v>
      </c>
      <c r="G950" s="14">
        <v>43</v>
      </c>
      <c r="H950" s="14">
        <v>134.05000000000001</v>
      </c>
      <c r="I950" s="14">
        <f>'PIVOT TABLES'!$B$26</f>
        <v>60.283999999999999</v>
      </c>
      <c r="J950" s="14">
        <f>'PIVOT TABLES'!$B$27-'PIVOT TABLES'!$B$26</f>
        <v>30.142000000000003</v>
      </c>
      <c r="K950" s="14">
        <f>'PIVOT TABLES'!$B$28-'PIVOT TABLES'!$B$27</f>
        <v>30.141999999999996</v>
      </c>
      <c r="L950" s="14">
        <f>200-SUM(Table3[[#This Row],[D - LIGHT]:[D - VIGOROUS]])</f>
        <v>79.432000000000002</v>
      </c>
      <c r="M950" s="14">
        <f>'PIVOT TABLES'!$I$26</f>
        <v>65.603999999999999</v>
      </c>
      <c r="N950" s="14">
        <f>'PIVOT TABLES'!$I$27-'PIVOT TABLES'!$I$26</f>
        <v>32.802000000000007</v>
      </c>
      <c r="O950" s="14">
        <f>'PIVOT TABLES'!$I$28-'PIVOT TABLES'!$I$27</f>
        <v>32.801999999999992</v>
      </c>
      <c r="P950" s="14">
        <f>200-SUM(Table3[[#This Row],[M - LIGHT]:[M - VIGOROUS]])</f>
        <v>68.792000000000002</v>
      </c>
      <c r="Q950" s="14">
        <f>'PIVOT TABLES'!$P$26</f>
        <v>62.64</v>
      </c>
      <c r="R950" s="14">
        <f>'PIVOT TABLES'!$P$27-'PIVOT TABLES'!$P$26</f>
        <v>31.320000000000007</v>
      </c>
      <c r="S950" s="14">
        <f>'PIVOT TABLES'!$P$28-'PIVOT TABLES'!$P$27</f>
        <v>31.319999999999993</v>
      </c>
      <c r="T950" s="14">
        <f>200-SUM(Table3[[#This Row],[W - LIGHT]:[W - VIGOROUS]])</f>
        <v>74.72</v>
      </c>
      <c r="U950" s="14">
        <f>'PIVOT TABLES'!$W$26</f>
        <v>55.895999999999994</v>
      </c>
      <c r="V950" s="14">
        <f>'PIVOT TABLES'!$W$27-'PIVOT TABLES'!$W$26</f>
        <v>27.948</v>
      </c>
      <c r="W950" s="14">
        <f>'PIVOT TABLES'!$W$28-'PIVOT TABLES'!$W$27</f>
        <v>27.947999999999993</v>
      </c>
      <c r="X950" s="14">
        <f>200-SUM(Table3[[#This Row],[S - LIGHT]:[S - VIGOROUS]])</f>
        <v>88.208000000000013</v>
      </c>
    </row>
    <row r="951" spans="1:24" x14ac:dyDescent="0.25">
      <c r="A951" s="17" t="s">
        <v>1</v>
      </c>
      <c r="B951" s="13" t="str">
        <f t="shared" si="14"/>
        <v>Defender</v>
      </c>
      <c r="C951" s="7">
        <v>45354.618784722225</v>
      </c>
      <c r="D951" s="14">
        <v>2691</v>
      </c>
      <c r="E951" s="14">
        <v>0</v>
      </c>
      <c r="F951" s="14">
        <v>3</v>
      </c>
      <c r="G951" s="14">
        <v>3</v>
      </c>
      <c r="H951" s="14">
        <v>44.989999999999995</v>
      </c>
      <c r="I951" s="14">
        <f>'PIVOT TABLES'!$B$26</f>
        <v>60.283999999999999</v>
      </c>
      <c r="J951" s="14">
        <f>'PIVOT TABLES'!$B$27-'PIVOT TABLES'!$B$26</f>
        <v>30.142000000000003</v>
      </c>
      <c r="K951" s="14">
        <f>'PIVOT TABLES'!$B$28-'PIVOT TABLES'!$B$27</f>
        <v>30.141999999999996</v>
      </c>
      <c r="L951" s="14">
        <f>200-SUM(Table3[[#This Row],[D - LIGHT]:[D - VIGOROUS]])</f>
        <v>79.432000000000002</v>
      </c>
      <c r="M951" s="14">
        <f>'PIVOT TABLES'!$I$26</f>
        <v>65.603999999999999</v>
      </c>
      <c r="N951" s="14">
        <f>'PIVOT TABLES'!$I$27-'PIVOT TABLES'!$I$26</f>
        <v>32.802000000000007</v>
      </c>
      <c r="O951" s="14">
        <f>'PIVOT TABLES'!$I$28-'PIVOT TABLES'!$I$27</f>
        <v>32.801999999999992</v>
      </c>
      <c r="P951" s="14">
        <f>200-SUM(Table3[[#This Row],[M - LIGHT]:[M - VIGOROUS]])</f>
        <v>68.792000000000002</v>
      </c>
      <c r="Q951" s="14">
        <f>'PIVOT TABLES'!$P$26</f>
        <v>62.64</v>
      </c>
      <c r="R951" s="14">
        <f>'PIVOT TABLES'!$P$27-'PIVOT TABLES'!$P$26</f>
        <v>31.320000000000007</v>
      </c>
      <c r="S951" s="14">
        <f>'PIVOT TABLES'!$P$28-'PIVOT TABLES'!$P$27</f>
        <v>31.319999999999993</v>
      </c>
      <c r="T951" s="14">
        <f>200-SUM(Table3[[#This Row],[W - LIGHT]:[W - VIGOROUS]])</f>
        <v>74.72</v>
      </c>
      <c r="U951" s="14">
        <f>'PIVOT TABLES'!$W$26</f>
        <v>55.895999999999994</v>
      </c>
      <c r="V951" s="14">
        <f>'PIVOT TABLES'!$W$27-'PIVOT TABLES'!$W$26</f>
        <v>27.948</v>
      </c>
      <c r="W951" s="14">
        <f>'PIVOT TABLES'!$W$28-'PIVOT TABLES'!$W$27</f>
        <v>27.947999999999993</v>
      </c>
      <c r="X951" s="14">
        <f>200-SUM(Table3[[#This Row],[S - LIGHT]:[S - VIGOROUS]])</f>
        <v>88.208000000000013</v>
      </c>
    </row>
    <row r="952" spans="1:24" x14ac:dyDescent="0.25">
      <c r="A952" s="17" t="s">
        <v>56</v>
      </c>
      <c r="B952" s="13" t="str">
        <f t="shared" si="14"/>
        <v>Midfielder</v>
      </c>
      <c r="C952" s="7">
        <v>45354.618784722225</v>
      </c>
      <c r="D952" s="14">
        <v>13068</v>
      </c>
      <c r="E952" s="14">
        <v>111</v>
      </c>
      <c r="F952" s="14">
        <v>37</v>
      </c>
      <c r="G952" s="14">
        <v>19</v>
      </c>
      <c r="H952" s="14">
        <v>135.87</v>
      </c>
      <c r="I952" s="14">
        <f>'PIVOT TABLES'!$B$26</f>
        <v>60.283999999999999</v>
      </c>
      <c r="J952" s="14">
        <f>'PIVOT TABLES'!$B$27-'PIVOT TABLES'!$B$26</f>
        <v>30.142000000000003</v>
      </c>
      <c r="K952" s="14">
        <f>'PIVOT TABLES'!$B$28-'PIVOT TABLES'!$B$27</f>
        <v>30.141999999999996</v>
      </c>
      <c r="L952" s="14">
        <f>200-SUM(Table3[[#This Row],[D - LIGHT]:[D - VIGOROUS]])</f>
        <v>79.432000000000002</v>
      </c>
      <c r="M952" s="14">
        <f>'PIVOT TABLES'!$I$26</f>
        <v>65.603999999999999</v>
      </c>
      <c r="N952" s="14">
        <f>'PIVOT TABLES'!$I$27-'PIVOT TABLES'!$I$26</f>
        <v>32.802000000000007</v>
      </c>
      <c r="O952" s="14">
        <f>'PIVOT TABLES'!$I$28-'PIVOT TABLES'!$I$27</f>
        <v>32.801999999999992</v>
      </c>
      <c r="P952" s="14">
        <f>200-SUM(Table3[[#This Row],[M - LIGHT]:[M - VIGOROUS]])</f>
        <v>68.792000000000002</v>
      </c>
      <c r="Q952" s="14">
        <f>'PIVOT TABLES'!$P$26</f>
        <v>62.64</v>
      </c>
      <c r="R952" s="14">
        <f>'PIVOT TABLES'!$P$27-'PIVOT TABLES'!$P$26</f>
        <v>31.320000000000007</v>
      </c>
      <c r="S952" s="14">
        <f>'PIVOT TABLES'!$P$28-'PIVOT TABLES'!$P$27</f>
        <v>31.319999999999993</v>
      </c>
      <c r="T952" s="14">
        <f>200-SUM(Table3[[#This Row],[W - LIGHT]:[W - VIGOROUS]])</f>
        <v>74.72</v>
      </c>
      <c r="U952" s="14">
        <f>'PIVOT TABLES'!$W$26</f>
        <v>55.895999999999994</v>
      </c>
      <c r="V952" s="14">
        <f>'PIVOT TABLES'!$W$27-'PIVOT TABLES'!$W$26</f>
        <v>27.948</v>
      </c>
      <c r="W952" s="14">
        <f>'PIVOT TABLES'!$W$28-'PIVOT TABLES'!$W$27</f>
        <v>27.947999999999993</v>
      </c>
      <c r="X952" s="14">
        <f>200-SUM(Table3[[#This Row],[S - LIGHT]:[S - VIGOROUS]])</f>
        <v>88.208000000000013</v>
      </c>
    </row>
    <row r="953" spans="1:24" x14ac:dyDescent="0.25">
      <c r="A953" s="17" t="s">
        <v>58</v>
      </c>
      <c r="B953" s="13" t="str">
        <f t="shared" si="14"/>
        <v>Defender</v>
      </c>
      <c r="C953" s="7">
        <v>45354.618784722225</v>
      </c>
      <c r="D953" s="14">
        <v>8592</v>
      </c>
      <c r="E953" s="14">
        <v>113</v>
      </c>
      <c r="F953" s="14">
        <v>40</v>
      </c>
      <c r="G953" s="14">
        <v>20</v>
      </c>
      <c r="H953" s="14">
        <v>91.31</v>
      </c>
      <c r="I953" s="14">
        <f>'PIVOT TABLES'!$B$26</f>
        <v>60.283999999999999</v>
      </c>
      <c r="J953" s="14">
        <f>'PIVOT TABLES'!$B$27-'PIVOT TABLES'!$B$26</f>
        <v>30.142000000000003</v>
      </c>
      <c r="K953" s="14">
        <f>'PIVOT TABLES'!$B$28-'PIVOT TABLES'!$B$27</f>
        <v>30.141999999999996</v>
      </c>
      <c r="L953" s="14">
        <f>200-SUM(Table3[[#This Row],[D - LIGHT]:[D - VIGOROUS]])</f>
        <v>79.432000000000002</v>
      </c>
      <c r="M953" s="14">
        <f>'PIVOT TABLES'!$I$26</f>
        <v>65.603999999999999</v>
      </c>
      <c r="N953" s="14">
        <f>'PIVOT TABLES'!$I$27-'PIVOT TABLES'!$I$26</f>
        <v>32.802000000000007</v>
      </c>
      <c r="O953" s="14">
        <f>'PIVOT TABLES'!$I$28-'PIVOT TABLES'!$I$27</f>
        <v>32.801999999999992</v>
      </c>
      <c r="P953" s="14">
        <f>200-SUM(Table3[[#This Row],[M - LIGHT]:[M - VIGOROUS]])</f>
        <v>68.792000000000002</v>
      </c>
      <c r="Q953" s="14">
        <f>'PIVOT TABLES'!$P$26</f>
        <v>62.64</v>
      </c>
      <c r="R953" s="14">
        <f>'PIVOT TABLES'!$P$27-'PIVOT TABLES'!$P$26</f>
        <v>31.320000000000007</v>
      </c>
      <c r="S953" s="14">
        <f>'PIVOT TABLES'!$P$28-'PIVOT TABLES'!$P$27</f>
        <v>31.319999999999993</v>
      </c>
      <c r="T953" s="14">
        <f>200-SUM(Table3[[#This Row],[W - LIGHT]:[W - VIGOROUS]])</f>
        <v>74.72</v>
      </c>
      <c r="U953" s="14">
        <f>'PIVOT TABLES'!$W$26</f>
        <v>55.895999999999994</v>
      </c>
      <c r="V953" s="14">
        <f>'PIVOT TABLES'!$W$27-'PIVOT TABLES'!$W$26</f>
        <v>27.948</v>
      </c>
      <c r="W953" s="14">
        <f>'PIVOT TABLES'!$W$28-'PIVOT TABLES'!$W$27</f>
        <v>27.947999999999993</v>
      </c>
      <c r="X953" s="14">
        <f>200-SUM(Table3[[#This Row],[S - LIGHT]:[S - VIGOROUS]])</f>
        <v>88.208000000000013</v>
      </c>
    </row>
    <row r="954" spans="1:24" x14ac:dyDescent="0.25">
      <c r="A954" s="17" t="s">
        <v>94</v>
      </c>
      <c r="B954" s="13" t="str">
        <f t="shared" si="14"/>
        <v>Defender</v>
      </c>
      <c r="C954" s="7">
        <v>45354.618784722225</v>
      </c>
      <c r="D954" s="14">
        <v>9317</v>
      </c>
      <c r="E954" s="14">
        <v>209</v>
      </c>
      <c r="F954" s="14">
        <v>30</v>
      </c>
      <c r="G954" s="14">
        <v>25</v>
      </c>
      <c r="H954" s="14">
        <v>101.14</v>
      </c>
      <c r="I954" s="14">
        <f>'PIVOT TABLES'!$B$26</f>
        <v>60.283999999999999</v>
      </c>
      <c r="J954" s="14">
        <f>'PIVOT TABLES'!$B$27-'PIVOT TABLES'!$B$26</f>
        <v>30.142000000000003</v>
      </c>
      <c r="K954" s="14">
        <f>'PIVOT TABLES'!$B$28-'PIVOT TABLES'!$B$27</f>
        <v>30.141999999999996</v>
      </c>
      <c r="L954" s="14">
        <f>200-SUM(Table3[[#This Row],[D - LIGHT]:[D - VIGOROUS]])</f>
        <v>79.432000000000002</v>
      </c>
      <c r="M954" s="14">
        <f>'PIVOT TABLES'!$I$26</f>
        <v>65.603999999999999</v>
      </c>
      <c r="N954" s="14">
        <f>'PIVOT TABLES'!$I$27-'PIVOT TABLES'!$I$26</f>
        <v>32.802000000000007</v>
      </c>
      <c r="O954" s="14">
        <f>'PIVOT TABLES'!$I$28-'PIVOT TABLES'!$I$27</f>
        <v>32.801999999999992</v>
      </c>
      <c r="P954" s="14">
        <f>200-SUM(Table3[[#This Row],[M - LIGHT]:[M - VIGOROUS]])</f>
        <v>68.792000000000002</v>
      </c>
      <c r="Q954" s="14">
        <f>'PIVOT TABLES'!$P$26</f>
        <v>62.64</v>
      </c>
      <c r="R954" s="14">
        <f>'PIVOT TABLES'!$P$27-'PIVOT TABLES'!$P$26</f>
        <v>31.320000000000007</v>
      </c>
      <c r="S954" s="14">
        <f>'PIVOT TABLES'!$P$28-'PIVOT TABLES'!$P$27</f>
        <v>31.319999999999993</v>
      </c>
      <c r="T954" s="14">
        <f>200-SUM(Table3[[#This Row],[W - LIGHT]:[W - VIGOROUS]])</f>
        <v>74.72</v>
      </c>
      <c r="U954" s="14">
        <f>'PIVOT TABLES'!$W$26</f>
        <v>55.895999999999994</v>
      </c>
      <c r="V954" s="14">
        <f>'PIVOT TABLES'!$W$27-'PIVOT TABLES'!$W$26</f>
        <v>27.948</v>
      </c>
      <c r="W954" s="14">
        <f>'PIVOT TABLES'!$W$28-'PIVOT TABLES'!$W$27</f>
        <v>27.947999999999993</v>
      </c>
      <c r="X954" s="14">
        <f>200-SUM(Table3[[#This Row],[S - LIGHT]:[S - VIGOROUS]])</f>
        <v>88.208000000000013</v>
      </c>
    </row>
    <row r="955" spans="1:24" x14ac:dyDescent="0.25">
      <c r="A955" s="17" t="s">
        <v>3</v>
      </c>
      <c r="B955" s="13" t="str">
        <f t="shared" si="14"/>
        <v>Defender</v>
      </c>
      <c r="C955" s="7">
        <v>45354.618784722225</v>
      </c>
      <c r="D955" s="14">
        <v>12264</v>
      </c>
      <c r="E955" s="14">
        <v>307</v>
      </c>
      <c r="F955" s="14">
        <v>39</v>
      </c>
      <c r="G955" s="14">
        <v>50</v>
      </c>
      <c r="H955" s="14">
        <v>134.41</v>
      </c>
      <c r="I955" s="14">
        <f>'PIVOT TABLES'!$B$26</f>
        <v>60.283999999999999</v>
      </c>
      <c r="J955" s="14">
        <f>'PIVOT TABLES'!$B$27-'PIVOT TABLES'!$B$26</f>
        <v>30.142000000000003</v>
      </c>
      <c r="K955" s="14">
        <f>'PIVOT TABLES'!$B$28-'PIVOT TABLES'!$B$27</f>
        <v>30.141999999999996</v>
      </c>
      <c r="L955" s="14">
        <f>200-SUM(Table3[[#This Row],[D - LIGHT]:[D - VIGOROUS]])</f>
        <v>79.432000000000002</v>
      </c>
      <c r="M955" s="14">
        <f>'PIVOT TABLES'!$I$26</f>
        <v>65.603999999999999</v>
      </c>
      <c r="N955" s="14">
        <f>'PIVOT TABLES'!$I$27-'PIVOT TABLES'!$I$26</f>
        <v>32.802000000000007</v>
      </c>
      <c r="O955" s="14">
        <f>'PIVOT TABLES'!$I$28-'PIVOT TABLES'!$I$27</f>
        <v>32.801999999999992</v>
      </c>
      <c r="P955" s="14">
        <f>200-SUM(Table3[[#This Row],[M - LIGHT]:[M - VIGOROUS]])</f>
        <v>68.792000000000002</v>
      </c>
      <c r="Q955" s="14">
        <f>'PIVOT TABLES'!$P$26</f>
        <v>62.64</v>
      </c>
      <c r="R955" s="14">
        <f>'PIVOT TABLES'!$P$27-'PIVOT TABLES'!$P$26</f>
        <v>31.320000000000007</v>
      </c>
      <c r="S955" s="14">
        <f>'PIVOT TABLES'!$P$28-'PIVOT TABLES'!$P$27</f>
        <v>31.319999999999993</v>
      </c>
      <c r="T955" s="14">
        <f>200-SUM(Table3[[#This Row],[W - LIGHT]:[W - VIGOROUS]])</f>
        <v>74.72</v>
      </c>
      <c r="U955" s="14">
        <f>'PIVOT TABLES'!$W$26</f>
        <v>55.895999999999994</v>
      </c>
      <c r="V955" s="14">
        <f>'PIVOT TABLES'!$W$27-'PIVOT TABLES'!$W$26</f>
        <v>27.948</v>
      </c>
      <c r="W955" s="14">
        <f>'PIVOT TABLES'!$W$28-'PIVOT TABLES'!$W$27</f>
        <v>27.947999999999993</v>
      </c>
      <c r="X955" s="14">
        <f>200-SUM(Table3[[#This Row],[S - LIGHT]:[S - VIGOROUS]])</f>
        <v>88.208000000000013</v>
      </c>
    </row>
    <row r="956" spans="1:24" x14ac:dyDescent="0.25">
      <c r="A956" s="17" t="s">
        <v>60</v>
      </c>
      <c r="B956" s="13" t="str">
        <f t="shared" si="14"/>
        <v>Winger</v>
      </c>
      <c r="C956" s="7">
        <v>45354.618784722225</v>
      </c>
      <c r="D956" s="14">
        <v>13885</v>
      </c>
      <c r="E956" s="14">
        <v>414</v>
      </c>
      <c r="F956" s="14">
        <v>49</v>
      </c>
      <c r="G956" s="14">
        <v>25</v>
      </c>
      <c r="H956" s="14">
        <v>153.72999999999999</v>
      </c>
      <c r="I956" s="14">
        <f>'PIVOT TABLES'!$B$26</f>
        <v>60.283999999999999</v>
      </c>
      <c r="J956" s="14">
        <f>'PIVOT TABLES'!$B$27-'PIVOT TABLES'!$B$26</f>
        <v>30.142000000000003</v>
      </c>
      <c r="K956" s="14">
        <f>'PIVOT TABLES'!$B$28-'PIVOT TABLES'!$B$27</f>
        <v>30.141999999999996</v>
      </c>
      <c r="L956" s="14">
        <f>200-SUM(Table3[[#This Row],[D - LIGHT]:[D - VIGOROUS]])</f>
        <v>79.432000000000002</v>
      </c>
      <c r="M956" s="14">
        <f>'PIVOT TABLES'!$I$26</f>
        <v>65.603999999999999</v>
      </c>
      <c r="N956" s="14">
        <f>'PIVOT TABLES'!$I$27-'PIVOT TABLES'!$I$26</f>
        <v>32.802000000000007</v>
      </c>
      <c r="O956" s="14">
        <f>'PIVOT TABLES'!$I$28-'PIVOT TABLES'!$I$27</f>
        <v>32.801999999999992</v>
      </c>
      <c r="P956" s="14">
        <f>200-SUM(Table3[[#This Row],[M - LIGHT]:[M - VIGOROUS]])</f>
        <v>68.792000000000002</v>
      </c>
      <c r="Q956" s="14">
        <f>'PIVOT TABLES'!$P$26</f>
        <v>62.64</v>
      </c>
      <c r="R956" s="14">
        <f>'PIVOT TABLES'!$P$27-'PIVOT TABLES'!$P$26</f>
        <v>31.320000000000007</v>
      </c>
      <c r="S956" s="14">
        <f>'PIVOT TABLES'!$P$28-'PIVOT TABLES'!$P$27</f>
        <v>31.319999999999993</v>
      </c>
      <c r="T956" s="14">
        <f>200-SUM(Table3[[#This Row],[W - LIGHT]:[W - VIGOROUS]])</f>
        <v>74.72</v>
      </c>
      <c r="U956" s="14">
        <f>'PIVOT TABLES'!$W$26</f>
        <v>55.895999999999994</v>
      </c>
      <c r="V956" s="14">
        <f>'PIVOT TABLES'!$W$27-'PIVOT TABLES'!$W$26</f>
        <v>27.948</v>
      </c>
      <c r="W956" s="14">
        <f>'PIVOT TABLES'!$W$28-'PIVOT TABLES'!$W$27</f>
        <v>27.947999999999993</v>
      </c>
      <c r="X956" s="14">
        <f>200-SUM(Table3[[#This Row],[S - LIGHT]:[S - VIGOROUS]])</f>
        <v>88.208000000000013</v>
      </c>
    </row>
    <row r="957" spans="1:24" x14ac:dyDescent="0.25">
      <c r="A957" s="17" t="s">
        <v>5</v>
      </c>
      <c r="B957" s="13" t="str">
        <f t="shared" si="14"/>
        <v>Midfielder</v>
      </c>
      <c r="C957" s="7">
        <v>45354.618784722225</v>
      </c>
      <c r="D957" s="14">
        <v>4357</v>
      </c>
      <c r="E957" s="14">
        <v>22</v>
      </c>
      <c r="F957" s="14">
        <v>7</v>
      </c>
      <c r="G957" s="14">
        <v>14</v>
      </c>
      <c r="H957" s="14">
        <v>61.75</v>
      </c>
      <c r="I957" s="14">
        <f>'PIVOT TABLES'!$B$26</f>
        <v>60.283999999999999</v>
      </c>
      <c r="J957" s="14">
        <f>'PIVOT TABLES'!$B$27-'PIVOT TABLES'!$B$26</f>
        <v>30.142000000000003</v>
      </c>
      <c r="K957" s="14">
        <f>'PIVOT TABLES'!$B$28-'PIVOT TABLES'!$B$27</f>
        <v>30.141999999999996</v>
      </c>
      <c r="L957" s="14">
        <f>200-SUM(Table3[[#This Row],[D - LIGHT]:[D - VIGOROUS]])</f>
        <v>79.432000000000002</v>
      </c>
      <c r="M957" s="14">
        <f>'PIVOT TABLES'!$I$26</f>
        <v>65.603999999999999</v>
      </c>
      <c r="N957" s="14">
        <f>'PIVOT TABLES'!$I$27-'PIVOT TABLES'!$I$26</f>
        <v>32.802000000000007</v>
      </c>
      <c r="O957" s="14">
        <f>'PIVOT TABLES'!$I$28-'PIVOT TABLES'!$I$27</f>
        <v>32.801999999999992</v>
      </c>
      <c r="P957" s="14">
        <f>200-SUM(Table3[[#This Row],[M - LIGHT]:[M - VIGOROUS]])</f>
        <v>68.792000000000002</v>
      </c>
      <c r="Q957" s="14">
        <f>'PIVOT TABLES'!$P$26</f>
        <v>62.64</v>
      </c>
      <c r="R957" s="14">
        <f>'PIVOT TABLES'!$P$27-'PIVOT TABLES'!$P$26</f>
        <v>31.320000000000007</v>
      </c>
      <c r="S957" s="14">
        <f>'PIVOT TABLES'!$P$28-'PIVOT TABLES'!$P$27</f>
        <v>31.319999999999993</v>
      </c>
      <c r="T957" s="14">
        <f>200-SUM(Table3[[#This Row],[W - LIGHT]:[W - VIGOROUS]])</f>
        <v>74.72</v>
      </c>
      <c r="U957" s="14">
        <f>'PIVOT TABLES'!$W$26</f>
        <v>55.895999999999994</v>
      </c>
      <c r="V957" s="14">
        <f>'PIVOT TABLES'!$W$27-'PIVOT TABLES'!$W$26</f>
        <v>27.948</v>
      </c>
      <c r="W957" s="14">
        <f>'PIVOT TABLES'!$W$28-'PIVOT TABLES'!$W$27</f>
        <v>27.947999999999993</v>
      </c>
      <c r="X957" s="14">
        <f>200-SUM(Table3[[#This Row],[S - LIGHT]:[S - VIGOROUS]])</f>
        <v>88.208000000000013</v>
      </c>
    </row>
    <row r="958" spans="1:24" x14ac:dyDescent="0.25">
      <c r="A958" s="17" t="s">
        <v>6</v>
      </c>
      <c r="B958" s="13" t="str">
        <f t="shared" si="14"/>
        <v>Midfielder</v>
      </c>
      <c r="C958" s="7">
        <v>45354.618784722225</v>
      </c>
      <c r="D958" s="14">
        <v>6892</v>
      </c>
      <c r="E958" s="14">
        <v>121</v>
      </c>
      <c r="F958" s="14">
        <v>31</v>
      </c>
      <c r="G958" s="14">
        <v>12</v>
      </c>
      <c r="H958" s="14">
        <v>92.22</v>
      </c>
      <c r="I958" s="14">
        <f>'PIVOT TABLES'!$B$26</f>
        <v>60.283999999999999</v>
      </c>
      <c r="J958" s="14">
        <f>'PIVOT TABLES'!$B$27-'PIVOT TABLES'!$B$26</f>
        <v>30.142000000000003</v>
      </c>
      <c r="K958" s="14">
        <f>'PIVOT TABLES'!$B$28-'PIVOT TABLES'!$B$27</f>
        <v>30.141999999999996</v>
      </c>
      <c r="L958" s="14">
        <f>200-SUM(Table3[[#This Row],[D - LIGHT]:[D - VIGOROUS]])</f>
        <v>79.432000000000002</v>
      </c>
      <c r="M958" s="14">
        <f>'PIVOT TABLES'!$I$26</f>
        <v>65.603999999999999</v>
      </c>
      <c r="N958" s="14">
        <f>'PIVOT TABLES'!$I$27-'PIVOT TABLES'!$I$26</f>
        <v>32.802000000000007</v>
      </c>
      <c r="O958" s="14">
        <f>'PIVOT TABLES'!$I$28-'PIVOT TABLES'!$I$27</f>
        <v>32.801999999999992</v>
      </c>
      <c r="P958" s="14">
        <f>200-SUM(Table3[[#This Row],[M - LIGHT]:[M - VIGOROUS]])</f>
        <v>68.792000000000002</v>
      </c>
      <c r="Q958" s="14">
        <f>'PIVOT TABLES'!$P$26</f>
        <v>62.64</v>
      </c>
      <c r="R958" s="14">
        <f>'PIVOT TABLES'!$P$27-'PIVOT TABLES'!$P$26</f>
        <v>31.320000000000007</v>
      </c>
      <c r="S958" s="14">
        <f>'PIVOT TABLES'!$P$28-'PIVOT TABLES'!$P$27</f>
        <v>31.319999999999993</v>
      </c>
      <c r="T958" s="14">
        <f>200-SUM(Table3[[#This Row],[W - LIGHT]:[W - VIGOROUS]])</f>
        <v>74.72</v>
      </c>
      <c r="U958" s="14">
        <f>'PIVOT TABLES'!$W$26</f>
        <v>55.895999999999994</v>
      </c>
      <c r="V958" s="14">
        <f>'PIVOT TABLES'!$W$27-'PIVOT TABLES'!$W$26</f>
        <v>27.948</v>
      </c>
      <c r="W958" s="14">
        <f>'PIVOT TABLES'!$W$28-'PIVOT TABLES'!$W$27</f>
        <v>27.947999999999993</v>
      </c>
      <c r="X958" s="14">
        <f>200-SUM(Table3[[#This Row],[S - LIGHT]:[S - VIGOROUS]])</f>
        <v>88.208000000000013</v>
      </c>
    </row>
    <row r="959" spans="1:24" x14ac:dyDescent="0.25">
      <c r="A959" s="17" t="s">
        <v>62</v>
      </c>
      <c r="B959" s="13" t="str">
        <f t="shared" si="14"/>
        <v>Midfielder</v>
      </c>
      <c r="C959" s="7">
        <v>45354.618784722225</v>
      </c>
      <c r="D959" s="14">
        <v>2849</v>
      </c>
      <c r="E959" s="14">
        <v>0</v>
      </c>
      <c r="F959" s="14">
        <v>3</v>
      </c>
      <c r="G959" s="14">
        <v>3</v>
      </c>
      <c r="H959" s="14">
        <v>44.900000000000006</v>
      </c>
      <c r="I959" s="14">
        <f>'PIVOT TABLES'!$B$26</f>
        <v>60.283999999999999</v>
      </c>
      <c r="J959" s="14">
        <f>'PIVOT TABLES'!$B$27-'PIVOT TABLES'!$B$26</f>
        <v>30.142000000000003</v>
      </c>
      <c r="K959" s="14">
        <f>'PIVOT TABLES'!$B$28-'PIVOT TABLES'!$B$27</f>
        <v>30.141999999999996</v>
      </c>
      <c r="L959" s="14">
        <f>200-SUM(Table3[[#This Row],[D - LIGHT]:[D - VIGOROUS]])</f>
        <v>79.432000000000002</v>
      </c>
      <c r="M959" s="14">
        <f>'PIVOT TABLES'!$I$26</f>
        <v>65.603999999999999</v>
      </c>
      <c r="N959" s="14">
        <f>'PIVOT TABLES'!$I$27-'PIVOT TABLES'!$I$26</f>
        <v>32.802000000000007</v>
      </c>
      <c r="O959" s="14">
        <f>'PIVOT TABLES'!$I$28-'PIVOT TABLES'!$I$27</f>
        <v>32.801999999999992</v>
      </c>
      <c r="P959" s="14">
        <f>200-SUM(Table3[[#This Row],[M - LIGHT]:[M - VIGOROUS]])</f>
        <v>68.792000000000002</v>
      </c>
      <c r="Q959" s="14">
        <f>'PIVOT TABLES'!$P$26</f>
        <v>62.64</v>
      </c>
      <c r="R959" s="14">
        <f>'PIVOT TABLES'!$P$27-'PIVOT TABLES'!$P$26</f>
        <v>31.320000000000007</v>
      </c>
      <c r="S959" s="14">
        <f>'PIVOT TABLES'!$P$28-'PIVOT TABLES'!$P$27</f>
        <v>31.319999999999993</v>
      </c>
      <c r="T959" s="14">
        <f>200-SUM(Table3[[#This Row],[W - LIGHT]:[W - VIGOROUS]])</f>
        <v>74.72</v>
      </c>
      <c r="U959" s="14">
        <f>'PIVOT TABLES'!$W$26</f>
        <v>55.895999999999994</v>
      </c>
      <c r="V959" s="14">
        <f>'PIVOT TABLES'!$W$27-'PIVOT TABLES'!$W$26</f>
        <v>27.948</v>
      </c>
      <c r="W959" s="14">
        <f>'PIVOT TABLES'!$W$28-'PIVOT TABLES'!$W$27</f>
        <v>27.947999999999993</v>
      </c>
      <c r="X959" s="14">
        <f>200-SUM(Table3[[#This Row],[S - LIGHT]:[S - VIGOROUS]])</f>
        <v>88.208000000000013</v>
      </c>
    </row>
    <row r="960" spans="1:24" x14ac:dyDescent="0.25">
      <c r="A960" s="17" t="s">
        <v>64</v>
      </c>
      <c r="B960" s="13" t="str">
        <f t="shared" si="14"/>
        <v>Midfielder</v>
      </c>
      <c r="C960" s="7">
        <v>45354.618784722225</v>
      </c>
      <c r="D960" s="14">
        <v>13421</v>
      </c>
      <c r="E960" s="14">
        <v>246</v>
      </c>
      <c r="F960" s="14">
        <v>34</v>
      </c>
      <c r="G960" s="14">
        <v>19</v>
      </c>
      <c r="H960" s="14">
        <v>143.33000000000001</v>
      </c>
      <c r="I960" s="14">
        <f>'PIVOT TABLES'!$B$26</f>
        <v>60.283999999999999</v>
      </c>
      <c r="J960" s="14">
        <f>'PIVOT TABLES'!$B$27-'PIVOT TABLES'!$B$26</f>
        <v>30.142000000000003</v>
      </c>
      <c r="K960" s="14">
        <f>'PIVOT TABLES'!$B$28-'PIVOT TABLES'!$B$27</f>
        <v>30.141999999999996</v>
      </c>
      <c r="L960" s="14">
        <f>200-SUM(Table3[[#This Row],[D - LIGHT]:[D - VIGOROUS]])</f>
        <v>79.432000000000002</v>
      </c>
      <c r="M960" s="14">
        <f>'PIVOT TABLES'!$I$26</f>
        <v>65.603999999999999</v>
      </c>
      <c r="N960" s="14">
        <f>'PIVOT TABLES'!$I$27-'PIVOT TABLES'!$I$26</f>
        <v>32.802000000000007</v>
      </c>
      <c r="O960" s="14">
        <f>'PIVOT TABLES'!$I$28-'PIVOT TABLES'!$I$27</f>
        <v>32.801999999999992</v>
      </c>
      <c r="P960" s="14">
        <f>200-SUM(Table3[[#This Row],[M - LIGHT]:[M - VIGOROUS]])</f>
        <v>68.792000000000002</v>
      </c>
      <c r="Q960" s="14">
        <f>'PIVOT TABLES'!$P$26</f>
        <v>62.64</v>
      </c>
      <c r="R960" s="14">
        <f>'PIVOT TABLES'!$P$27-'PIVOT TABLES'!$P$26</f>
        <v>31.320000000000007</v>
      </c>
      <c r="S960" s="14">
        <f>'PIVOT TABLES'!$P$28-'PIVOT TABLES'!$P$27</f>
        <v>31.319999999999993</v>
      </c>
      <c r="T960" s="14">
        <f>200-SUM(Table3[[#This Row],[W - LIGHT]:[W - VIGOROUS]])</f>
        <v>74.72</v>
      </c>
      <c r="U960" s="14">
        <f>'PIVOT TABLES'!$W$26</f>
        <v>55.895999999999994</v>
      </c>
      <c r="V960" s="14">
        <f>'PIVOT TABLES'!$W$27-'PIVOT TABLES'!$W$26</f>
        <v>27.948</v>
      </c>
      <c r="W960" s="14">
        <f>'PIVOT TABLES'!$W$28-'PIVOT TABLES'!$W$27</f>
        <v>27.947999999999993</v>
      </c>
      <c r="X960" s="14">
        <f>200-SUM(Table3[[#This Row],[S - LIGHT]:[S - VIGOROUS]])</f>
        <v>88.208000000000013</v>
      </c>
    </row>
    <row r="961" spans="1:24" x14ac:dyDescent="0.25">
      <c r="A961" s="17" t="s">
        <v>65</v>
      </c>
      <c r="B961" s="13" t="str">
        <f t="shared" si="14"/>
        <v>Winger</v>
      </c>
      <c r="C961" s="7">
        <v>45354.618784722225</v>
      </c>
      <c r="D961" s="14">
        <v>9419</v>
      </c>
      <c r="E961" s="14">
        <v>293</v>
      </c>
      <c r="F961" s="14">
        <v>40</v>
      </c>
      <c r="G961" s="14">
        <v>32</v>
      </c>
      <c r="H961" s="14">
        <v>105.22</v>
      </c>
      <c r="I961" s="14">
        <f>'PIVOT TABLES'!$B$26</f>
        <v>60.283999999999999</v>
      </c>
      <c r="J961" s="14">
        <f>'PIVOT TABLES'!$B$27-'PIVOT TABLES'!$B$26</f>
        <v>30.142000000000003</v>
      </c>
      <c r="K961" s="14">
        <f>'PIVOT TABLES'!$B$28-'PIVOT TABLES'!$B$27</f>
        <v>30.141999999999996</v>
      </c>
      <c r="L961" s="14">
        <f>200-SUM(Table3[[#This Row],[D - LIGHT]:[D - VIGOROUS]])</f>
        <v>79.432000000000002</v>
      </c>
      <c r="M961" s="14">
        <f>'PIVOT TABLES'!$I$26</f>
        <v>65.603999999999999</v>
      </c>
      <c r="N961" s="14">
        <f>'PIVOT TABLES'!$I$27-'PIVOT TABLES'!$I$26</f>
        <v>32.802000000000007</v>
      </c>
      <c r="O961" s="14">
        <f>'PIVOT TABLES'!$I$28-'PIVOT TABLES'!$I$27</f>
        <v>32.801999999999992</v>
      </c>
      <c r="P961" s="14">
        <f>200-SUM(Table3[[#This Row],[M - LIGHT]:[M - VIGOROUS]])</f>
        <v>68.792000000000002</v>
      </c>
      <c r="Q961" s="14">
        <f>'PIVOT TABLES'!$P$26</f>
        <v>62.64</v>
      </c>
      <c r="R961" s="14">
        <f>'PIVOT TABLES'!$P$27-'PIVOT TABLES'!$P$26</f>
        <v>31.320000000000007</v>
      </c>
      <c r="S961" s="14">
        <f>'PIVOT TABLES'!$P$28-'PIVOT TABLES'!$P$27</f>
        <v>31.319999999999993</v>
      </c>
      <c r="T961" s="14">
        <f>200-SUM(Table3[[#This Row],[W - LIGHT]:[W - VIGOROUS]])</f>
        <v>74.72</v>
      </c>
      <c r="U961" s="14">
        <f>'PIVOT TABLES'!$W$26</f>
        <v>55.895999999999994</v>
      </c>
      <c r="V961" s="14">
        <f>'PIVOT TABLES'!$W$27-'PIVOT TABLES'!$W$26</f>
        <v>27.948</v>
      </c>
      <c r="W961" s="14">
        <f>'PIVOT TABLES'!$W$28-'PIVOT TABLES'!$W$27</f>
        <v>27.947999999999993</v>
      </c>
      <c r="X961" s="14">
        <f>200-SUM(Table3[[#This Row],[S - LIGHT]:[S - VIGOROUS]])</f>
        <v>88.208000000000013</v>
      </c>
    </row>
    <row r="962" spans="1:24" x14ac:dyDescent="0.25">
      <c r="A962" s="17" t="s">
        <v>66</v>
      </c>
      <c r="B962" s="13" t="str">
        <f t="shared" si="14"/>
        <v>Striker</v>
      </c>
      <c r="C962" s="7">
        <v>45354.618784722225</v>
      </c>
      <c r="D962" s="14">
        <v>10535</v>
      </c>
      <c r="E962" s="14">
        <v>213</v>
      </c>
      <c r="F962" s="14">
        <v>52</v>
      </c>
      <c r="G962" s="14">
        <v>43</v>
      </c>
      <c r="H962" s="14">
        <v>114.68</v>
      </c>
      <c r="I962" s="14">
        <f>'PIVOT TABLES'!$B$26</f>
        <v>60.283999999999999</v>
      </c>
      <c r="J962" s="14">
        <f>'PIVOT TABLES'!$B$27-'PIVOT TABLES'!$B$26</f>
        <v>30.142000000000003</v>
      </c>
      <c r="K962" s="14">
        <f>'PIVOT TABLES'!$B$28-'PIVOT TABLES'!$B$27</f>
        <v>30.141999999999996</v>
      </c>
      <c r="L962" s="14">
        <f>200-SUM(Table3[[#This Row],[D - LIGHT]:[D - VIGOROUS]])</f>
        <v>79.432000000000002</v>
      </c>
      <c r="M962" s="14">
        <f>'PIVOT TABLES'!$I$26</f>
        <v>65.603999999999999</v>
      </c>
      <c r="N962" s="14">
        <f>'PIVOT TABLES'!$I$27-'PIVOT TABLES'!$I$26</f>
        <v>32.802000000000007</v>
      </c>
      <c r="O962" s="14">
        <f>'PIVOT TABLES'!$I$28-'PIVOT TABLES'!$I$27</f>
        <v>32.801999999999992</v>
      </c>
      <c r="P962" s="14">
        <f>200-SUM(Table3[[#This Row],[M - LIGHT]:[M - VIGOROUS]])</f>
        <v>68.792000000000002</v>
      </c>
      <c r="Q962" s="14">
        <f>'PIVOT TABLES'!$P$26</f>
        <v>62.64</v>
      </c>
      <c r="R962" s="14">
        <f>'PIVOT TABLES'!$P$27-'PIVOT TABLES'!$P$26</f>
        <v>31.320000000000007</v>
      </c>
      <c r="S962" s="14">
        <f>'PIVOT TABLES'!$P$28-'PIVOT TABLES'!$P$27</f>
        <v>31.319999999999993</v>
      </c>
      <c r="T962" s="14">
        <f>200-SUM(Table3[[#This Row],[W - LIGHT]:[W - VIGOROUS]])</f>
        <v>74.72</v>
      </c>
      <c r="U962" s="14">
        <f>'PIVOT TABLES'!$W$26</f>
        <v>55.895999999999994</v>
      </c>
      <c r="V962" s="14">
        <f>'PIVOT TABLES'!$W$27-'PIVOT TABLES'!$W$26</f>
        <v>27.948</v>
      </c>
      <c r="W962" s="14">
        <f>'PIVOT TABLES'!$W$28-'PIVOT TABLES'!$W$27</f>
        <v>27.947999999999993</v>
      </c>
      <c r="X962" s="14">
        <f>200-SUM(Table3[[#This Row],[S - LIGHT]:[S - VIGOROUS]])</f>
        <v>88.208000000000013</v>
      </c>
    </row>
    <row r="963" spans="1:24" x14ac:dyDescent="0.25">
      <c r="A963" s="17" t="s">
        <v>78</v>
      </c>
      <c r="B963" s="13" t="str">
        <f t="shared" ref="B963:B1026" si="15">IF(A963="Sihle Gum","Defender",IF(A963="Kenny Langa","Defender",IF(A963="Tshepang Makara","Defender",IF(A963="Tshepiso Mahlangu","Defender",IF(A963="Neo Ramashala","Defender",IF(A963="Keabetswe Nkogatse","Defender",IF(A963="Kaketso Harold Majadibodu","Defender",IF(A963="Samuel Julies","Midfielder",IF(A963="Frank Mpedi","Midfielder",IF(A963="Sapholwethu Kelepu","Midfielder",IF(A963="Manelisi Sithole","Midfielder",IF(A963="Thabiso Mokoena","Midfielder",IF(A963="Khomotso Marebane","Midfielder",IF(A963="Tebogo Mohlamonyane","Midfielder",IF(A963="Thulani Zandamela","Midfielder",IF(A963="Mdevulana Camagu","Midfielder",IF(A963="Promise Mkhuma","Midfielder",IF(A963="Essien Makwarimba","Midfielder",IF(A963="Ayanda Mvambi","Winger",IF(A963="Delano Abrahams","Winger",IF(A963="Thokozani Sekotlong","Winger",IF(A963="Maselaelo Seanego","Winger",IF(A963="Lesedi Motha","Winger",IF(A963="Malekgene Mampuru","Winger",IF(A963="Matome Rangata","Winger",IF(A963="Thabang Sibanyoni","Striker",IF(A963="Tebogo Makungo","Striker",IF(A963="Neo Dikgale","Striker",IF(A963="Kamohelo Pheeane","Striker",IF(A963="Athenkosi Tonisi","Striker",IF(A963="Jesse Francis","Striker","####")))))))))))))))))))))))))))))))</f>
        <v>Defender</v>
      </c>
      <c r="C963" s="7">
        <v>45354.618784722225</v>
      </c>
      <c r="D963" s="14">
        <v>2991</v>
      </c>
      <c r="E963" s="14">
        <v>0</v>
      </c>
      <c r="F963" s="14">
        <v>2</v>
      </c>
      <c r="G963" s="14">
        <v>5</v>
      </c>
      <c r="H963" s="14">
        <v>48.480000000000004</v>
      </c>
      <c r="I963" s="14">
        <f>'PIVOT TABLES'!$B$26</f>
        <v>60.283999999999999</v>
      </c>
      <c r="J963" s="14">
        <f>'PIVOT TABLES'!$B$27-'PIVOT TABLES'!$B$26</f>
        <v>30.142000000000003</v>
      </c>
      <c r="K963" s="14">
        <f>'PIVOT TABLES'!$B$28-'PIVOT TABLES'!$B$27</f>
        <v>30.141999999999996</v>
      </c>
      <c r="L963" s="14">
        <f>200-SUM(Table3[[#This Row],[D - LIGHT]:[D - VIGOROUS]])</f>
        <v>79.432000000000002</v>
      </c>
      <c r="M963" s="14">
        <f>'PIVOT TABLES'!$I$26</f>
        <v>65.603999999999999</v>
      </c>
      <c r="N963" s="14">
        <f>'PIVOT TABLES'!$I$27-'PIVOT TABLES'!$I$26</f>
        <v>32.802000000000007</v>
      </c>
      <c r="O963" s="14">
        <f>'PIVOT TABLES'!$I$28-'PIVOT TABLES'!$I$27</f>
        <v>32.801999999999992</v>
      </c>
      <c r="P963" s="14">
        <f>200-SUM(Table3[[#This Row],[M - LIGHT]:[M - VIGOROUS]])</f>
        <v>68.792000000000002</v>
      </c>
      <c r="Q963" s="14">
        <f>'PIVOT TABLES'!$P$26</f>
        <v>62.64</v>
      </c>
      <c r="R963" s="14">
        <f>'PIVOT TABLES'!$P$27-'PIVOT TABLES'!$P$26</f>
        <v>31.320000000000007</v>
      </c>
      <c r="S963" s="14">
        <f>'PIVOT TABLES'!$P$28-'PIVOT TABLES'!$P$27</f>
        <v>31.319999999999993</v>
      </c>
      <c r="T963" s="14">
        <f>200-SUM(Table3[[#This Row],[W - LIGHT]:[W - VIGOROUS]])</f>
        <v>74.72</v>
      </c>
      <c r="U963" s="14">
        <f>'PIVOT TABLES'!$W$26</f>
        <v>55.895999999999994</v>
      </c>
      <c r="V963" s="14">
        <f>'PIVOT TABLES'!$W$27-'PIVOT TABLES'!$W$26</f>
        <v>27.948</v>
      </c>
      <c r="W963" s="14">
        <f>'PIVOT TABLES'!$W$28-'PIVOT TABLES'!$W$27</f>
        <v>27.947999999999993</v>
      </c>
      <c r="X963" s="14">
        <f>200-SUM(Table3[[#This Row],[S - LIGHT]:[S - VIGOROUS]])</f>
        <v>88.208000000000013</v>
      </c>
    </row>
    <row r="964" spans="1:24" x14ac:dyDescent="0.25">
      <c r="A964" s="17" t="s">
        <v>8</v>
      </c>
      <c r="B964" s="13" t="str">
        <f t="shared" si="15"/>
        <v>Striker</v>
      </c>
      <c r="C964" s="7">
        <v>45354.618784722225</v>
      </c>
      <c r="D964" s="14">
        <v>10980</v>
      </c>
      <c r="E964" s="14">
        <v>352</v>
      </c>
      <c r="F964" s="14">
        <v>39</v>
      </c>
      <c r="G964" s="14">
        <v>50</v>
      </c>
      <c r="H964" s="14">
        <v>122.92</v>
      </c>
      <c r="I964" s="14">
        <f>'PIVOT TABLES'!$B$26</f>
        <v>60.283999999999999</v>
      </c>
      <c r="J964" s="14">
        <f>'PIVOT TABLES'!$B$27-'PIVOT TABLES'!$B$26</f>
        <v>30.142000000000003</v>
      </c>
      <c r="K964" s="14">
        <f>'PIVOT TABLES'!$B$28-'PIVOT TABLES'!$B$27</f>
        <v>30.141999999999996</v>
      </c>
      <c r="L964" s="14">
        <f>200-SUM(Table3[[#This Row],[D - LIGHT]:[D - VIGOROUS]])</f>
        <v>79.432000000000002</v>
      </c>
      <c r="M964" s="14">
        <f>'PIVOT TABLES'!$I$26</f>
        <v>65.603999999999999</v>
      </c>
      <c r="N964" s="14">
        <f>'PIVOT TABLES'!$I$27-'PIVOT TABLES'!$I$26</f>
        <v>32.802000000000007</v>
      </c>
      <c r="O964" s="14">
        <f>'PIVOT TABLES'!$I$28-'PIVOT TABLES'!$I$27</f>
        <v>32.801999999999992</v>
      </c>
      <c r="P964" s="14">
        <f>200-SUM(Table3[[#This Row],[M - LIGHT]:[M - VIGOROUS]])</f>
        <v>68.792000000000002</v>
      </c>
      <c r="Q964" s="14">
        <f>'PIVOT TABLES'!$P$26</f>
        <v>62.64</v>
      </c>
      <c r="R964" s="14">
        <f>'PIVOT TABLES'!$P$27-'PIVOT TABLES'!$P$26</f>
        <v>31.320000000000007</v>
      </c>
      <c r="S964" s="14">
        <f>'PIVOT TABLES'!$P$28-'PIVOT TABLES'!$P$27</f>
        <v>31.319999999999993</v>
      </c>
      <c r="T964" s="14">
        <f>200-SUM(Table3[[#This Row],[W - LIGHT]:[W - VIGOROUS]])</f>
        <v>74.72</v>
      </c>
      <c r="U964" s="14">
        <f>'PIVOT TABLES'!$W$26</f>
        <v>55.895999999999994</v>
      </c>
      <c r="V964" s="14">
        <f>'PIVOT TABLES'!$W$27-'PIVOT TABLES'!$W$26</f>
        <v>27.948</v>
      </c>
      <c r="W964" s="14">
        <f>'PIVOT TABLES'!$W$28-'PIVOT TABLES'!$W$27</f>
        <v>27.947999999999993</v>
      </c>
      <c r="X964" s="14">
        <f>200-SUM(Table3[[#This Row],[S - LIGHT]:[S - VIGOROUS]])</f>
        <v>88.208000000000013</v>
      </c>
    </row>
    <row r="965" spans="1:24" x14ac:dyDescent="0.25">
      <c r="A965" s="17" t="s">
        <v>67</v>
      </c>
      <c r="B965" s="13" t="str">
        <f t="shared" si="15"/>
        <v>Midfielder</v>
      </c>
      <c r="C965" s="7">
        <v>45354.618784722225</v>
      </c>
      <c r="D965" s="14">
        <v>3775</v>
      </c>
      <c r="E965" s="14">
        <v>0</v>
      </c>
      <c r="F965" s="14">
        <v>11</v>
      </c>
      <c r="G965" s="14">
        <v>6</v>
      </c>
      <c r="H965" s="14">
        <v>56.820000000000007</v>
      </c>
      <c r="I965" s="14">
        <f>'PIVOT TABLES'!$B$26</f>
        <v>60.283999999999999</v>
      </c>
      <c r="J965" s="14">
        <f>'PIVOT TABLES'!$B$27-'PIVOT TABLES'!$B$26</f>
        <v>30.142000000000003</v>
      </c>
      <c r="K965" s="14">
        <f>'PIVOT TABLES'!$B$28-'PIVOT TABLES'!$B$27</f>
        <v>30.141999999999996</v>
      </c>
      <c r="L965" s="14">
        <f>200-SUM(Table3[[#This Row],[D - LIGHT]:[D - VIGOROUS]])</f>
        <v>79.432000000000002</v>
      </c>
      <c r="M965" s="14">
        <f>'PIVOT TABLES'!$I$26</f>
        <v>65.603999999999999</v>
      </c>
      <c r="N965" s="14">
        <f>'PIVOT TABLES'!$I$27-'PIVOT TABLES'!$I$26</f>
        <v>32.802000000000007</v>
      </c>
      <c r="O965" s="14">
        <f>'PIVOT TABLES'!$I$28-'PIVOT TABLES'!$I$27</f>
        <v>32.801999999999992</v>
      </c>
      <c r="P965" s="14">
        <f>200-SUM(Table3[[#This Row],[M - LIGHT]:[M - VIGOROUS]])</f>
        <v>68.792000000000002</v>
      </c>
      <c r="Q965" s="14">
        <f>'PIVOT TABLES'!$P$26</f>
        <v>62.64</v>
      </c>
      <c r="R965" s="14">
        <f>'PIVOT TABLES'!$P$27-'PIVOT TABLES'!$P$26</f>
        <v>31.320000000000007</v>
      </c>
      <c r="S965" s="14">
        <f>'PIVOT TABLES'!$P$28-'PIVOT TABLES'!$P$27</f>
        <v>31.319999999999993</v>
      </c>
      <c r="T965" s="14">
        <f>200-SUM(Table3[[#This Row],[W - LIGHT]:[W - VIGOROUS]])</f>
        <v>74.72</v>
      </c>
      <c r="U965" s="14">
        <f>'PIVOT TABLES'!$W$26</f>
        <v>55.895999999999994</v>
      </c>
      <c r="V965" s="14">
        <f>'PIVOT TABLES'!$W$27-'PIVOT TABLES'!$W$26</f>
        <v>27.948</v>
      </c>
      <c r="W965" s="14">
        <f>'PIVOT TABLES'!$W$28-'PIVOT TABLES'!$W$27</f>
        <v>27.947999999999993</v>
      </c>
      <c r="X965" s="14">
        <f>200-SUM(Table3[[#This Row],[S - LIGHT]:[S - VIGOROUS]])</f>
        <v>88.208000000000013</v>
      </c>
    </row>
    <row r="966" spans="1:24" x14ac:dyDescent="0.25">
      <c r="A966" s="17" t="s">
        <v>69</v>
      </c>
      <c r="B966" s="13" t="str">
        <f t="shared" si="15"/>
        <v>Midfielder</v>
      </c>
      <c r="C966" s="7">
        <v>45354.618784722225</v>
      </c>
      <c r="D966" s="14">
        <v>3200</v>
      </c>
      <c r="E966" s="14">
        <v>0</v>
      </c>
      <c r="F966" s="14">
        <v>6</v>
      </c>
      <c r="G966" s="14">
        <v>7</v>
      </c>
      <c r="H966" s="14">
        <v>50</v>
      </c>
      <c r="I966" s="14">
        <f>'PIVOT TABLES'!$B$26</f>
        <v>60.283999999999999</v>
      </c>
      <c r="J966" s="14">
        <f>'PIVOT TABLES'!$B$27-'PIVOT TABLES'!$B$26</f>
        <v>30.142000000000003</v>
      </c>
      <c r="K966" s="14">
        <f>'PIVOT TABLES'!$B$28-'PIVOT TABLES'!$B$27</f>
        <v>30.141999999999996</v>
      </c>
      <c r="L966" s="14">
        <f>200-SUM(Table3[[#This Row],[D - LIGHT]:[D - VIGOROUS]])</f>
        <v>79.432000000000002</v>
      </c>
      <c r="M966" s="14">
        <f>'PIVOT TABLES'!$I$26</f>
        <v>65.603999999999999</v>
      </c>
      <c r="N966" s="14">
        <f>'PIVOT TABLES'!$I$27-'PIVOT TABLES'!$I$26</f>
        <v>32.802000000000007</v>
      </c>
      <c r="O966" s="14">
        <f>'PIVOT TABLES'!$I$28-'PIVOT TABLES'!$I$27</f>
        <v>32.801999999999992</v>
      </c>
      <c r="P966" s="14">
        <f>200-SUM(Table3[[#This Row],[M - LIGHT]:[M - VIGOROUS]])</f>
        <v>68.792000000000002</v>
      </c>
      <c r="Q966" s="14">
        <f>'PIVOT TABLES'!$P$26</f>
        <v>62.64</v>
      </c>
      <c r="R966" s="14">
        <f>'PIVOT TABLES'!$P$27-'PIVOT TABLES'!$P$26</f>
        <v>31.320000000000007</v>
      </c>
      <c r="S966" s="14">
        <f>'PIVOT TABLES'!$P$28-'PIVOT TABLES'!$P$27</f>
        <v>31.319999999999993</v>
      </c>
      <c r="T966" s="14">
        <f>200-SUM(Table3[[#This Row],[W - LIGHT]:[W - VIGOROUS]])</f>
        <v>74.72</v>
      </c>
      <c r="U966" s="14">
        <f>'PIVOT TABLES'!$W$26</f>
        <v>55.895999999999994</v>
      </c>
      <c r="V966" s="14">
        <f>'PIVOT TABLES'!$W$27-'PIVOT TABLES'!$W$26</f>
        <v>27.948</v>
      </c>
      <c r="W966" s="14">
        <f>'PIVOT TABLES'!$W$28-'PIVOT TABLES'!$W$27</f>
        <v>27.947999999999993</v>
      </c>
      <c r="X966" s="14">
        <f>200-SUM(Table3[[#This Row],[S - LIGHT]:[S - VIGOROUS]])</f>
        <v>88.208000000000013</v>
      </c>
    </row>
    <row r="967" spans="1:24" x14ac:dyDescent="0.25">
      <c r="A967" s="17" t="s">
        <v>70</v>
      </c>
      <c r="B967" s="13" t="str">
        <f t="shared" si="15"/>
        <v>Winger</v>
      </c>
      <c r="C967" s="7">
        <v>45356.44630787037</v>
      </c>
      <c r="D967" s="14">
        <v>6689</v>
      </c>
      <c r="E967" s="14">
        <v>42</v>
      </c>
      <c r="F967" s="14">
        <v>9</v>
      </c>
      <c r="G967" s="14">
        <v>17</v>
      </c>
      <c r="H967" s="14">
        <v>68.849999999999994</v>
      </c>
      <c r="I967" s="14">
        <f>'PIVOT TABLES'!$B$26</f>
        <v>60.283999999999999</v>
      </c>
      <c r="J967" s="14">
        <f>'PIVOT TABLES'!$B$27-'PIVOT TABLES'!$B$26</f>
        <v>30.142000000000003</v>
      </c>
      <c r="K967" s="14">
        <f>'PIVOT TABLES'!$B$28-'PIVOT TABLES'!$B$27</f>
        <v>30.141999999999996</v>
      </c>
      <c r="L967" s="14">
        <f>200-SUM(Table3[[#This Row],[D - LIGHT]:[D - VIGOROUS]])</f>
        <v>79.432000000000002</v>
      </c>
      <c r="M967" s="14">
        <f>'PIVOT TABLES'!$I$26</f>
        <v>65.603999999999999</v>
      </c>
      <c r="N967" s="14">
        <f>'PIVOT TABLES'!$I$27-'PIVOT TABLES'!$I$26</f>
        <v>32.802000000000007</v>
      </c>
      <c r="O967" s="14">
        <f>'PIVOT TABLES'!$I$28-'PIVOT TABLES'!$I$27</f>
        <v>32.801999999999992</v>
      </c>
      <c r="P967" s="14">
        <f>200-SUM(Table3[[#This Row],[M - LIGHT]:[M - VIGOROUS]])</f>
        <v>68.792000000000002</v>
      </c>
      <c r="Q967" s="14">
        <f>'PIVOT TABLES'!$P$26</f>
        <v>62.64</v>
      </c>
      <c r="R967" s="14">
        <f>'PIVOT TABLES'!$P$27-'PIVOT TABLES'!$P$26</f>
        <v>31.320000000000007</v>
      </c>
      <c r="S967" s="14">
        <f>'PIVOT TABLES'!$P$28-'PIVOT TABLES'!$P$27</f>
        <v>31.319999999999993</v>
      </c>
      <c r="T967" s="14">
        <f>200-SUM(Table3[[#This Row],[W - LIGHT]:[W - VIGOROUS]])</f>
        <v>74.72</v>
      </c>
      <c r="U967" s="14">
        <f>'PIVOT TABLES'!$W$26</f>
        <v>55.895999999999994</v>
      </c>
      <c r="V967" s="14">
        <f>'PIVOT TABLES'!$W$27-'PIVOT TABLES'!$W$26</f>
        <v>27.948</v>
      </c>
      <c r="W967" s="14">
        <f>'PIVOT TABLES'!$W$28-'PIVOT TABLES'!$W$27</f>
        <v>27.947999999999993</v>
      </c>
      <c r="X967" s="14">
        <f>200-SUM(Table3[[#This Row],[S - LIGHT]:[S - VIGOROUS]])</f>
        <v>88.208000000000013</v>
      </c>
    </row>
    <row r="968" spans="1:24" x14ac:dyDescent="0.25">
      <c r="A968" s="17" t="s">
        <v>55</v>
      </c>
      <c r="B968" s="13" t="str">
        <f t="shared" si="15"/>
        <v>Striker</v>
      </c>
      <c r="C968" s="7">
        <v>45356.44630787037</v>
      </c>
      <c r="D968" s="14">
        <v>6700</v>
      </c>
      <c r="E968" s="14">
        <v>35</v>
      </c>
      <c r="F968" s="14">
        <v>17</v>
      </c>
      <c r="G968" s="14">
        <v>28</v>
      </c>
      <c r="H968" s="14">
        <v>69.290000000000006</v>
      </c>
      <c r="I968" s="14">
        <f>'PIVOT TABLES'!$B$26</f>
        <v>60.283999999999999</v>
      </c>
      <c r="J968" s="14">
        <f>'PIVOT TABLES'!$B$27-'PIVOT TABLES'!$B$26</f>
        <v>30.142000000000003</v>
      </c>
      <c r="K968" s="14">
        <f>'PIVOT TABLES'!$B$28-'PIVOT TABLES'!$B$27</f>
        <v>30.141999999999996</v>
      </c>
      <c r="L968" s="14">
        <f>200-SUM(Table3[[#This Row],[D - LIGHT]:[D - VIGOROUS]])</f>
        <v>79.432000000000002</v>
      </c>
      <c r="M968" s="14">
        <f>'PIVOT TABLES'!$I$26</f>
        <v>65.603999999999999</v>
      </c>
      <c r="N968" s="14">
        <f>'PIVOT TABLES'!$I$27-'PIVOT TABLES'!$I$26</f>
        <v>32.802000000000007</v>
      </c>
      <c r="O968" s="14">
        <f>'PIVOT TABLES'!$I$28-'PIVOT TABLES'!$I$27</f>
        <v>32.801999999999992</v>
      </c>
      <c r="P968" s="14">
        <f>200-SUM(Table3[[#This Row],[M - LIGHT]:[M - VIGOROUS]])</f>
        <v>68.792000000000002</v>
      </c>
      <c r="Q968" s="14">
        <f>'PIVOT TABLES'!$P$26</f>
        <v>62.64</v>
      </c>
      <c r="R968" s="14">
        <f>'PIVOT TABLES'!$P$27-'PIVOT TABLES'!$P$26</f>
        <v>31.320000000000007</v>
      </c>
      <c r="S968" s="14">
        <f>'PIVOT TABLES'!$P$28-'PIVOT TABLES'!$P$27</f>
        <v>31.319999999999993</v>
      </c>
      <c r="T968" s="14">
        <f>200-SUM(Table3[[#This Row],[W - LIGHT]:[W - VIGOROUS]])</f>
        <v>74.72</v>
      </c>
      <c r="U968" s="14">
        <f>'PIVOT TABLES'!$W$26</f>
        <v>55.895999999999994</v>
      </c>
      <c r="V968" s="14">
        <f>'PIVOT TABLES'!$W$27-'PIVOT TABLES'!$W$26</f>
        <v>27.948</v>
      </c>
      <c r="W968" s="14">
        <f>'PIVOT TABLES'!$W$28-'PIVOT TABLES'!$W$27</f>
        <v>27.947999999999993</v>
      </c>
      <c r="X968" s="14">
        <f>200-SUM(Table3[[#This Row],[S - LIGHT]:[S - VIGOROUS]])</f>
        <v>88.208000000000013</v>
      </c>
    </row>
    <row r="969" spans="1:24" x14ac:dyDescent="0.25">
      <c r="A969" s="17" t="s">
        <v>1</v>
      </c>
      <c r="B969" s="13" t="str">
        <f t="shared" si="15"/>
        <v>Defender</v>
      </c>
      <c r="C969" s="7">
        <v>45356.44630787037</v>
      </c>
      <c r="D969" s="14">
        <v>6350</v>
      </c>
      <c r="E969" s="14">
        <v>31</v>
      </c>
      <c r="F969" s="14">
        <v>20</v>
      </c>
      <c r="G969" s="14">
        <v>22</v>
      </c>
      <c r="H969" s="14">
        <v>65.67</v>
      </c>
      <c r="I969" s="14">
        <f>'PIVOT TABLES'!$B$26</f>
        <v>60.283999999999999</v>
      </c>
      <c r="J969" s="14">
        <f>'PIVOT TABLES'!$B$27-'PIVOT TABLES'!$B$26</f>
        <v>30.142000000000003</v>
      </c>
      <c r="K969" s="14">
        <f>'PIVOT TABLES'!$B$28-'PIVOT TABLES'!$B$27</f>
        <v>30.141999999999996</v>
      </c>
      <c r="L969" s="14">
        <f>200-SUM(Table3[[#This Row],[D - LIGHT]:[D - VIGOROUS]])</f>
        <v>79.432000000000002</v>
      </c>
      <c r="M969" s="14">
        <f>'PIVOT TABLES'!$I$26</f>
        <v>65.603999999999999</v>
      </c>
      <c r="N969" s="14">
        <f>'PIVOT TABLES'!$I$27-'PIVOT TABLES'!$I$26</f>
        <v>32.802000000000007</v>
      </c>
      <c r="O969" s="14">
        <f>'PIVOT TABLES'!$I$28-'PIVOT TABLES'!$I$27</f>
        <v>32.801999999999992</v>
      </c>
      <c r="P969" s="14">
        <f>200-SUM(Table3[[#This Row],[M - LIGHT]:[M - VIGOROUS]])</f>
        <v>68.792000000000002</v>
      </c>
      <c r="Q969" s="14">
        <f>'PIVOT TABLES'!$P$26</f>
        <v>62.64</v>
      </c>
      <c r="R969" s="14">
        <f>'PIVOT TABLES'!$P$27-'PIVOT TABLES'!$P$26</f>
        <v>31.320000000000007</v>
      </c>
      <c r="S969" s="14">
        <f>'PIVOT TABLES'!$P$28-'PIVOT TABLES'!$P$27</f>
        <v>31.319999999999993</v>
      </c>
      <c r="T969" s="14">
        <f>200-SUM(Table3[[#This Row],[W - LIGHT]:[W - VIGOROUS]])</f>
        <v>74.72</v>
      </c>
      <c r="U969" s="14">
        <f>'PIVOT TABLES'!$W$26</f>
        <v>55.895999999999994</v>
      </c>
      <c r="V969" s="14">
        <f>'PIVOT TABLES'!$W$27-'PIVOT TABLES'!$W$26</f>
        <v>27.948</v>
      </c>
      <c r="W969" s="14">
        <f>'PIVOT TABLES'!$W$28-'PIVOT TABLES'!$W$27</f>
        <v>27.947999999999993</v>
      </c>
      <c r="X969" s="14">
        <f>200-SUM(Table3[[#This Row],[S - LIGHT]:[S - VIGOROUS]])</f>
        <v>88.208000000000013</v>
      </c>
    </row>
    <row r="970" spans="1:24" x14ac:dyDescent="0.25">
      <c r="A970" s="17" t="s">
        <v>56</v>
      </c>
      <c r="B970" s="13" t="str">
        <f t="shared" si="15"/>
        <v>Midfielder</v>
      </c>
      <c r="C970" s="7">
        <v>45356.44630787037</v>
      </c>
      <c r="D970" s="14">
        <v>7872</v>
      </c>
      <c r="E970" s="14">
        <v>25</v>
      </c>
      <c r="F970" s="14">
        <v>38</v>
      </c>
      <c r="G970" s="14">
        <v>25</v>
      </c>
      <c r="H970" s="14">
        <v>81.489999999999995</v>
      </c>
      <c r="I970" s="14">
        <f>'PIVOT TABLES'!$B$26</f>
        <v>60.283999999999999</v>
      </c>
      <c r="J970" s="14">
        <f>'PIVOT TABLES'!$B$27-'PIVOT TABLES'!$B$26</f>
        <v>30.142000000000003</v>
      </c>
      <c r="K970" s="14">
        <f>'PIVOT TABLES'!$B$28-'PIVOT TABLES'!$B$27</f>
        <v>30.141999999999996</v>
      </c>
      <c r="L970" s="14">
        <f>200-SUM(Table3[[#This Row],[D - LIGHT]:[D - VIGOROUS]])</f>
        <v>79.432000000000002</v>
      </c>
      <c r="M970" s="14">
        <f>'PIVOT TABLES'!$I$26</f>
        <v>65.603999999999999</v>
      </c>
      <c r="N970" s="14">
        <f>'PIVOT TABLES'!$I$27-'PIVOT TABLES'!$I$26</f>
        <v>32.802000000000007</v>
      </c>
      <c r="O970" s="14">
        <f>'PIVOT TABLES'!$I$28-'PIVOT TABLES'!$I$27</f>
        <v>32.801999999999992</v>
      </c>
      <c r="P970" s="14">
        <f>200-SUM(Table3[[#This Row],[M - LIGHT]:[M - VIGOROUS]])</f>
        <v>68.792000000000002</v>
      </c>
      <c r="Q970" s="14">
        <f>'PIVOT TABLES'!$P$26</f>
        <v>62.64</v>
      </c>
      <c r="R970" s="14">
        <f>'PIVOT TABLES'!$P$27-'PIVOT TABLES'!$P$26</f>
        <v>31.320000000000007</v>
      </c>
      <c r="S970" s="14">
        <f>'PIVOT TABLES'!$P$28-'PIVOT TABLES'!$P$27</f>
        <v>31.319999999999993</v>
      </c>
      <c r="T970" s="14">
        <f>200-SUM(Table3[[#This Row],[W - LIGHT]:[W - VIGOROUS]])</f>
        <v>74.72</v>
      </c>
      <c r="U970" s="14">
        <f>'PIVOT TABLES'!$W$26</f>
        <v>55.895999999999994</v>
      </c>
      <c r="V970" s="14">
        <f>'PIVOT TABLES'!$W$27-'PIVOT TABLES'!$W$26</f>
        <v>27.948</v>
      </c>
      <c r="W970" s="14">
        <f>'PIVOT TABLES'!$W$28-'PIVOT TABLES'!$W$27</f>
        <v>27.947999999999993</v>
      </c>
      <c r="X970" s="14">
        <f>200-SUM(Table3[[#This Row],[S - LIGHT]:[S - VIGOROUS]])</f>
        <v>88.208000000000013</v>
      </c>
    </row>
    <row r="971" spans="1:24" x14ac:dyDescent="0.25">
      <c r="A971" s="17" t="s">
        <v>2</v>
      </c>
      <c r="B971" s="13" t="str">
        <f t="shared" si="15"/>
        <v>Defender</v>
      </c>
      <c r="C971" s="7">
        <v>45356.44630787037</v>
      </c>
      <c r="D971" s="14">
        <v>1344</v>
      </c>
      <c r="E971" s="14">
        <v>0</v>
      </c>
      <c r="F971" s="14">
        <v>2</v>
      </c>
      <c r="G971" s="14">
        <v>7</v>
      </c>
      <c r="H971" s="14">
        <v>13.66</v>
      </c>
      <c r="I971" s="14">
        <f>'PIVOT TABLES'!$B$26</f>
        <v>60.283999999999999</v>
      </c>
      <c r="J971" s="14">
        <f>'PIVOT TABLES'!$B$27-'PIVOT TABLES'!$B$26</f>
        <v>30.142000000000003</v>
      </c>
      <c r="K971" s="14">
        <f>'PIVOT TABLES'!$B$28-'PIVOT TABLES'!$B$27</f>
        <v>30.141999999999996</v>
      </c>
      <c r="L971" s="14">
        <f>200-SUM(Table3[[#This Row],[D - LIGHT]:[D - VIGOROUS]])</f>
        <v>79.432000000000002</v>
      </c>
      <c r="M971" s="14">
        <f>'PIVOT TABLES'!$I$26</f>
        <v>65.603999999999999</v>
      </c>
      <c r="N971" s="14">
        <f>'PIVOT TABLES'!$I$27-'PIVOT TABLES'!$I$26</f>
        <v>32.802000000000007</v>
      </c>
      <c r="O971" s="14">
        <f>'PIVOT TABLES'!$I$28-'PIVOT TABLES'!$I$27</f>
        <v>32.801999999999992</v>
      </c>
      <c r="P971" s="14">
        <f>200-SUM(Table3[[#This Row],[M - LIGHT]:[M - VIGOROUS]])</f>
        <v>68.792000000000002</v>
      </c>
      <c r="Q971" s="14">
        <f>'PIVOT TABLES'!$P$26</f>
        <v>62.64</v>
      </c>
      <c r="R971" s="14">
        <f>'PIVOT TABLES'!$P$27-'PIVOT TABLES'!$P$26</f>
        <v>31.320000000000007</v>
      </c>
      <c r="S971" s="14">
        <f>'PIVOT TABLES'!$P$28-'PIVOT TABLES'!$P$27</f>
        <v>31.319999999999993</v>
      </c>
      <c r="T971" s="14">
        <f>200-SUM(Table3[[#This Row],[W - LIGHT]:[W - VIGOROUS]])</f>
        <v>74.72</v>
      </c>
      <c r="U971" s="14">
        <f>'PIVOT TABLES'!$W$26</f>
        <v>55.895999999999994</v>
      </c>
      <c r="V971" s="14">
        <f>'PIVOT TABLES'!$W$27-'PIVOT TABLES'!$W$26</f>
        <v>27.948</v>
      </c>
      <c r="W971" s="14">
        <f>'PIVOT TABLES'!$W$28-'PIVOT TABLES'!$W$27</f>
        <v>27.947999999999993</v>
      </c>
      <c r="X971" s="14">
        <f>200-SUM(Table3[[#This Row],[S - LIGHT]:[S - VIGOROUS]])</f>
        <v>88.208000000000013</v>
      </c>
    </row>
    <row r="972" spans="1:24" x14ac:dyDescent="0.25">
      <c r="A972" s="17" t="s">
        <v>58</v>
      </c>
      <c r="B972" s="13" t="str">
        <f t="shared" si="15"/>
        <v>Defender</v>
      </c>
      <c r="C972" s="7">
        <v>45356.44630787037</v>
      </c>
      <c r="D972" s="14">
        <v>1192</v>
      </c>
      <c r="E972" s="14">
        <v>0</v>
      </c>
      <c r="F972" s="14">
        <v>0</v>
      </c>
      <c r="G972" s="14">
        <v>4</v>
      </c>
      <c r="H972" s="14">
        <v>12</v>
      </c>
      <c r="I972" s="14">
        <f>'PIVOT TABLES'!$B$26</f>
        <v>60.283999999999999</v>
      </c>
      <c r="J972" s="14">
        <f>'PIVOT TABLES'!$B$27-'PIVOT TABLES'!$B$26</f>
        <v>30.142000000000003</v>
      </c>
      <c r="K972" s="14">
        <f>'PIVOT TABLES'!$B$28-'PIVOT TABLES'!$B$27</f>
        <v>30.141999999999996</v>
      </c>
      <c r="L972" s="14">
        <f>200-SUM(Table3[[#This Row],[D - LIGHT]:[D - VIGOROUS]])</f>
        <v>79.432000000000002</v>
      </c>
      <c r="M972" s="14">
        <f>'PIVOT TABLES'!$I$26</f>
        <v>65.603999999999999</v>
      </c>
      <c r="N972" s="14">
        <f>'PIVOT TABLES'!$I$27-'PIVOT TABLES'!$I$26</f>
        <v>32.802000000000007</v>
      </c>
      <c r="O972" s="14">
        <f>'PIVOT TABLES'!$I$28-'PIVOT TABLES'!$I$27</f>
        <v>32.801999999999992</v>
      </c>
      <c r="P972" s="14">
        <f>200-SUM(Table3[[#This Row],[M - LIGHT]:[M - VIGOROUS]])</f>
        <v>68.792000000000002</v>
      </c>
      <c r="Q972" s="14">
        <f>'PIVOT TABLES'!$P$26</f>
        <v>62.64</v>
      </c>
      <c r="R972" s="14">
        <f>'PIVOT TABLES'!$P$27-'PIVOT TABLES'!$P$26</f>
        <v>31.320000000000007</v>
      </c>
      <c r="S972" s="14">
        <f>'PIVOT TABLES'!$P$28-'PIVOT TABLES'!$P$27</f>
        <v>31.319999999999993</v>
      </c>
      <c r="T972" s="14">
        <f>200-SUM(Table3[[#This Row],[W - LIGHT]:[W - VIGOROUS]])</f>
        <v>74.72</v>
      </c>
      <c r="U972" s="14">
        <f>'PIVOT TABLES'!$W$26</f>
        <v>55.895999999999994</v>
      </c>
      <c r="V972" s="14">
        <f>'PIVOT TABLES'!$W$27-'PIVOT TABLES'!$W$26</f>
        <v>27.948</v>
      </c>
      <c r="W972" s="14">
        <f>'PIVOT TABLES'!$W$28-'PIVOT TABLES'!$W$27</f>
        <v>27.947999999999993</v>
      </c>
      <c r="X972" s="14">
        <f>200-SUM(Table3[[#This Row],[S - LIGHT]:[S - VIGOROUS]])</f>
        <v>88.208000000000013</v>
      </c>
    </row>
    <row r="973" spans="1:24" x14ac:dyDescent="0.25">
      <c r="A973" s="17" t="s">
        <v>94</v>
      </c>
      <c r="B973" s="13" t="str">
        <f t="shared" si="15"/>
        <v>Defender</v>
      </c>
      <c r="C973" s="7">
        <v>45356.44630787037</v>
      </c>
      <c r="D973" s="14">
        <v>7090</v>
      </c>
      <c r="E973" s="14">
        <v>14</v>
      </c>
      <c r="F973" s="14">
        <v>26</v>
      </c>
      <c r="G973" s="14">
        <v>31</v>
      </c>
      <c r="H973" s="14">
        <v>72.98</v>
      </c>
      <c r="I973" s="14">
        <f>'PIVOT TABLES'!$B$26</f>
        <v>60.283999999999999</v>
      </c>
      <c r="J973" s="14">
        <f>'PIVOT TABLES'!$B$27-'PIVOT TABLES'!$B$26</f>
        <v>30.142000000000003</v>
      </c>
      <c r="K973" s="14">
        <f>'PIVOT TABLES'!$B$28-'PIVOT TABLES'!$B$27</f>
        <v>30.141999999999996</v>
      </c>
      <c r="L973" s="14">
        <f>200-SUM(Table3[[#This Row],[D - LIGHT]:[D - VIGOROUS]])</f>
        <v>79.432000000000002</v>
      </c>
      <c r="M973" s="14">
        <f>'PIVOT TABLES'!$I$26</f>
        <v>65.603999999999999</v>
      </c>
      <c r="N973" s="14">
        <f>'PIVOT TABLES'!$I$27-'PIVOT TABLES'!$I$26</f>
        <v>32.802000000000007</v>
      </c>
      <c r="O973" s="14">
        <f>'PIVOT TABLES'!$I$28-'PIVOT TABLES'!$I$27</f>
        <v>32.801999999999992</v>
      </c>
      <c r="P973" s="14">
        <f>200-SUM(Table3[[#This Row],[M - LIGHT]:[M - VIGOROUS]])</f>
        <v>68.792000000000002</v>
      </c>
      <c r="Q973" s="14">
        <f>'PIVOT TABLES'!$P$26</f>
        <v>62.64</v>
      </c>
      <c r="R973" s="14">
        <f>'PIVOT TABLES'!$P$27-'PIVOT TABLES'!$P$26</f>
        <v>31.320000000000007</v>
      </c>
      <c r="S973" s="14">
        <f>'PIVOT TABLES'!$P$28-'PIVOT TABLES'!$P$27</f>
        <v>31.319999999999993</v>
      </c>
      <c r="T973" s="14">
        <f>200-SUM(Table3[[#This Row],[W - LIGHT]:[W - VIGOROUS]])</f>
        <v>74.72</v>
      </c>
      <c r="U973" s="14">
        <f>'PIVOT TABLES'!$W$26</f>
        <v>55.895999999999994</v>
      </c>
      <c r="V973" s="14">
        <f>'PIVOT TABLES'!$W$27-'PIVOT TABLES'!$W$26</f>
        <v>27.948</v>
      </c>
      <c r="W973" s="14">
        <f>'PIVOT TABLES'!$W$28-'PIVOT TABLES'!$W$27</f>
        <v>27.947999999999993</v>
      </c>
      <c r="X973" s="14">
        <f>200-SUM(Table3[[#This Row],[S - LIGHT]:[S - VIGOROUS]])</f>
        <v>88.208000000000013</v>
      </c>
    </row>
    <row r="974" spans="1:24" x14ac:dyDescent="0.25">
      <c r="A974" s="17" t="s">
        <v>3</v>
      </c>
      <c r="B974" s="13" t="str">
        <f t="shared" si="15"/>
        <v>Defender</v>
      </c>
      <c r="C974" s="7">
        <v>45356.44630787037</v>
      </c>
      <c r="D974" s="14">
        <v>7260</v>
      </c>
      <c r="E974" s="14">
        <v>15</v>
      </c>
      <c r="F974" s="14">
        <v>18</v>
      </c>
      <c r="G974" s="14">
        <v>30</v>
      </c>
      <c r="H974" s="14">
        <v>74.37</v>
      </c>
      <c r="I974" s="14">
        <f>'PIVOT TABLES'!$B$26</f>
        <v>60.283999999999999</v>
      </c>
      <c r="J974" s="14">
        <f>'PIVOT TABLES'!$B$27-'PIVOT TABLES'!$B$26</f>
        <v>30.142000000000003</v>
      </c>
      <c r="K974" s="14">
        <f>'PIVOT TABLES'!$B$28-'PIVOT TABLES'!$B$27</f>
        <v>30.141999999999996</v>
      </c>
      <c r="L974" s="14">
        <f>200-SUM(Table3[[#This Row],[D - LIGHT]:[D - VIGOROUS]])</f>
        <v>79.432000000000002</v>
      </c>
      <c r="M974" s="14">
        <f>'PIVOT TABLES'!$I$26</f>
        <v>65.603999999999999</v>
      </c>
      <c r="N974" s="14">
        <f>'PIVOT TABLES'!$I$27-'PIVOT TABLES'!$I$26</f>
        <v>32.802000000000007</v>
      </c>
      <c r="O974" s="14">
        <f>'PIVOT TABLES'!$I$28-'PIVOT TABLES'!$I$27</f>
        <v>32.801999999999992</v>
      </c>
      <c r="P974" s="14">
        <f>200-SUM(Table3[[#This Row],[M - LIGHT]:[M - VIGOROUS]])</f>
        <v>68.792000000000002</v>
      </c>
      <c r="Q974" s="14">
        <f>'PIVOT TABLES'!$P$26</f>
        <v>62.64</v>
      </c>
      <c r="R974" s="14">
        <f>'PIVOT TABLES'!$P$27-'PIVOT TABLES'!$P$26</f>
        <v>31.320000000000007</v>
      </c>
      <c r="S974" s="14">
        <f>'PIVOT TABLES'!$P$28-'PIVOT TABLES'!$P$27</f>
        <v>31.319999999999993</v>
      </c>
      <c r="T974" s="14">
        <f>200-SUM(Table3[[#This Row],[W - LIGHT]:[W - VIGOROUS]])</f>
        <v>74.72</v>
      </c>
      <c r="U974" s="14">
        <f>'PIVOT TABLES'!$W$26</f>
        <v>55.895999999999994</v>
      </c>
      <c r="V974" s="14">
        <f>'PIVOT TABLES'!$W$27-'PIVOT TABLES'!$W$26</f>
        <v>27.948</v>
      </c>
      <c r="W974" s="14">
        <f>'PIVOT TABLES'!$W$28-'PIVOT TABLES'!$W$27</f>
        <v>27.947999999999993</v>
      </c>
      <c r="X974" s="14">
        <f>200-SUM(Table3[[#This Row],[S - LIGHT]:[S - VIGOROUS]])</f>
        <v>88.208000000000013</v>
      </c>
    </row>
    <row r="975" spans="1:24" x14ac:dyDescent="0.25">
      <c r="A975" s="17" t="s">
        <v>59</v>
      </c>
      <c r="B975" s="13" t="str">
        <f t="shared" si="15"/>
        <v>Striker</v>
      </c>
      <c r="C975" s="7">
        <v>45356.44630787037</v>
      </c>
      <c r="D975" s="14">
        <v>7176</v>
      </c>
      <c r="E975" s="14">
        <v>80</v>
      </c>
      <c r="F975" s="14">
        <v>24</v>
      </c>
      <c r="G975" s="14">
        <v>24</v>
      </c>
      <c r="H975" s="14">
        <v>75.599999999999994</v>
      </c>
      <c r="I975" s="14">
        <f>'PIVOT TABLES'!$B$26</f>
        <v>60.283999999999999</v>
      </c>
      <c r="J975" s="14">
        <f>'PIVOT TABLES'!$B$27-'PIVOT TABLES'!$B$26</f>
        <v>30.142000000000003</v>
      </c>
      <c r="K975" s="14">
        <f>'PIVOT TABLES'!$B$28-'PIVOT TABLES'!$B$27</f>
        <v>30.141999999999996</v>
      </c>
      <c r="L975" s="14">
        <f>200-SUM(Table3[[#This Row],[D - LIGHT]:[D - VIGOROUS]])</f>
        <v>79.432000000000002</v>
      </c>
      <c r="M975" s="14">
        <f>'PIVOT TABLES'!$I$26</f>
        <v>65.603999999999999</v>
      </c>
      <c r="N975" s="14">
        <f>'PIVOT TABLES'!$I$27-'PIVOT TABLES'!$I$26</f>
        <v>32.802000000000007</v>
      </c>
      <c r="O975" s="14">
        <f>'PIVOT TABLES'!$I$28-'PIVOT TABLES'!$I$27</f>
        <v>32.801999999999992</v>
      </c>
      <c r="P975" s="14">
        <f>200-SUM(Table3[[#This Row],[M - LIGHT]:[M - VIGOROUS]])</f>
        <v>68.792000000000002</v>
      </c>
      <c r="Q975" s="14">
        <f>'PIVOT TABLES'!$P$26</f>
        <v>62.64</v>
      </c>
      <c r="R975" s="14">
        <f>'PIVOT TABLES'!$P$27-'PIVOT TABLES'!$P$26</f>
        <v>31.320000000000007</v>
      </c>
      <c r="S975" s="14">
        <f>'PIVOT TABLES'!$P$28-'PIVOT TABLES'!$P$27</f>
        <v>31.319999999999993</v>
      </c>
      <c r="T975" s="14">
        <f>200-SUM(Table3[[#This Row],[W - LIGHT]:[W - VIGOROUS]])</f>
        <v>74.72</v>
      </c>
      <c r="U975" s="14">
        <f>'PIVOT TABLES'!$W$26</f>
        <v>55.895999999999994</v>
      </c>
      <c r="V975" s="14">
        <f>'PIVOT TABLES'!$W$27-'PIVOT TABLES'!$W$26</f>
        <v>27.948</v>
      </c>
      <c r="W975" s="14">
        <f>'PIVOT TABLES'!$W$28-'PIVOT TABLES'!$W$27</f>
        <v>27.947999999999993</v>
      </c>
      <c r="X975" s="14">
        <f>200-SUM(Table3[[#This Row],[S - LIGHT]:[S - VIGOROUS]])</f>
        <v>88.208000000000013</v>
      </c>
    </row>
    <row r="976" spans="1:24" x14ac:dyDescent="0.25">
      <c r="A976" s="17" t="s">
        <v>4</v>
      </c>
      <c r="B976" s="13" t="str">
        <f t="shared" si="15"/>
        <v>Midfielder</v>
      </c>
      <c r="C976" s="7">
        <v>45356.44630787037</v>
      </c>
      <c r="D976" s="14">
        <v>7135</v>
      </c>
      <c r="E976" s="14">
        <v>48</v>
      </c>
      <c r="F976" s="14">
        <v>16</v>
      </c>
      <c r="G976" s="14">
        <v>22</v>
      </c>
      <c r="H976" s="14">
        <v>73.87</v>
      </c>
      <c r="I976" s="14">
        <f>'PIVOT TABLES'!$B$26</f>
        <v>60.283999999999999</v>
      </c>
      <c r="J976" s="14">
        <f>'PIVOT TABLES'!$B$27-'PIVOT TABLES'!$B$26</f>
        <v>30.142000000000003</v>
      </c>
      <c r="K976" s="14">
        <f>'PIVOT TABLES'!$B$28-'PIVOT TABLES'!$B$27</f>
        <v>30.141999999999996</v>
      </c>
      <c r="L976" s="14">
        <f>200-SUM(Table3[[#This Row],[D - LIGHT]:[D - VIGOROUS]])</f>
        <v>79.432000000000002</v>
      </c>
      <c r="M976" s="14">
        <f>'PIVOT TABLES'!$I$26</f>
        <v>65.603999999999999</v>
      </c>
      <c r="N976" s="14">
        <f>'PIVOT TABLES'!$I$27-'PIVOT TABLES'!$I$26</f>
        <v>32.802000000000007</v>
      </c>
      <c r="O976" s="14">
        <f>'PIVOT TABLES'!$I$28-'PIVOT TABLES'!$I$27</f>
        <v>32.801999999999992</v>
      </c>
      <c r="P976" s="14">
        <f>200-SUM(Table3[[#This Row],[M - LIGHT]:[M - VIGOROUS]])</f>
        <v>68.792000000000002</v>
      </c>
      <c r="Q976" s="14">
        <f>'PIVOT TABLES'!$P$26</f>
        <v>62.64</v>
      </c>
      <c r="R976" s="14">
        <f>'PIVOT TABLES'!$P$27-'PIVOT TABLES'!$P$26</f>
        <v>31.320000000000007</v>
      </c>
      <c r="S976" s="14">
        <f>'PIVOT TABLES'!$P$28-'PIVOT TABLES'!$P$27</f>
        <v>31.319999999999993</v>
      </c>
      <c r="T976" s="14">
        <f>200-SUM(Table3[[#This Row],[W - LIGHT]:[W - VIGOROUS]])</f>
        <v>74.72</v>
      </c>
      <c r="U976" s="14">
        <f>'PIVOT TABLES'!$W$26</f>
        <v>55.895999999999994</v>
      </c>
      <c r="V976" s="14">
        <f>'PIVOT TABLES'!$W$27-'PIVOT TABLES'!$W$26</f>
        <v>27.948</v>
      </c>
      <c r="W976" s="14">
        <f>'PIVOT TABLES'!$W$28-'PIVOT TABLES'!$W$27</f>
        <v>27.947999999999993</v>
      </c>
      <c r="X976" s="14">
        <f>200-SUM(Table3[[#This Row],[S - LIGHT]:[S - VIGOROUS]])</f>
        <v>88.208000000000013</v>
      </c>
    </row>
    <row r="977" spans="1:24" x14ac:dyDescent="0.25">
      <c r="A977" s="17" t="s">
        <v>60</v>
      </c>
      <c r="B977" s="13" t="str">
        <f t="shared" si="15"/>
        <v>Winger</v>
      </c>
      <c r="C977" s="7">
        <v>45356.44630787037</v>
      </c>
      <c r="D977" s="14">
        <v>7962</v>
      </c>
      <c r="E977" s="14">
        <v>89</v>
      </c>
      <c r="F977" s="14">
        <v>43</v>
      </c>
      <c r="G977" s="14">
        <v>37</v>
      </c>
      <c r="H977" s="14">
        <v>84.75</v>
      </c>
      <c r="I977" s="14">
        <f>'PIVOT TABLES'!$B$26</f>
        <v>60.283999999999999</v>
      </c>
      <c r="J977" s="14">
        <f>'PIVOT TABLES'!$B$27-'PIVOT TABLES'!$B$26</f>
        <v>30.142000000000003</v>
      </c>
      <c r="K977" s="14">
        <f>'PIVOT TABLES'!$B$28-'PIVOT TABLES'!$B$27</f>
        <v>30.141999999999996</v>
      </c>
      <c r="L977" s="14">
        <f>200-SUM(Table3[[#This Row],[D - LIGHT]:[D - VIGOROUS]])</f>
        <v>79.432000000000002</v>
      </c>
      <c r="M977" s="14">
        <f>'PIVOT TABLES'!$I$26</f>
        <v>65.603999999999999</v>
      </c>
      <c r="N977" s="14">
        <f>'PIVOT TABLES'!$I$27-'PIVOT TABLES'!$I$26</f>
        <v>32.802000000000007</v>
      </c>
      <c r="O977" s="14">
        <f>'PIVOT TABLES'!$I$28-'PIVOT TABLES'!$I$27</f>
        <v>32.801999999999992</v>
      </c>
      <c r="P977" s="14">
        <f>200-SUM(Table3[[#This Row],[M - LIGHT]:[M - VIGOROUS]])</f>
        <v>68.792000000000002</v>
      </c>
      <c r="Q977" s="14">
        <f>'PIVOT TABLES'!$P$26</f>
        <v>62.64</v>
      </c>
      <c r="R977" s="14">
        <f>'PIVOT TABLES'!$P$27-'PIVOT TABLES'!$P$26</f>
        <v>31.320000000000007</v>
      </c>
      <c r="S977" s="14">
        <f>'PIVOT TABLES'!$P$28-'PIVOT TABLES'!$P$27</f>
        <v>31.319999999999993</v>
      </c>
      <c r="T977" s="14">
        <f>200-SUM(Table3[[#This Row],[W - LIGHT]:[W - VIGOROUS]])</f>
        <v>74.72</v>
      </c>
      <c r="U977" s="14">
        <f>'PIVOT TABLES'!$W$26</f>
        <v>55.895999999999994</v>
      </c>
      <c r="V977" s="14">
        <f>'PIVOT TABLES'!$W$27-'PIVOT TABLES'!$W$26</f>
        <v>27.948</v>
      </c>
      <c r="W977" s="14">
        <f>'PIVOT TABLES'!$W$28-'PIVOT TABLES'!$W$27</f>
        <v>27.947999999999993</v>
      </c>
      <c r="X977" s="14">
        <f>200-SUM(Table3[[#This Row],[S - LIGHT]:[S - VIGOROUS]])</f>
        <v>88.208000000000013</v>
      </c>
    </row>
    <row r="978" spans="1:24" x14ac:dyDescent="0.25">
      <c r="A978" s="17" t="s">
        <v>71</v>
      </c>
      <c r="B978" s="13" t="str">
        <f t="shared" si="15"/>
        <v>Midfielder</v>
      </c>
      <c r="C978" s="7">
        <v>45356.44630787037</v>
      </c>
      <c r="D978" s="14">
        <v>6234</v>
      </c>
      <c r="E978" s="14">
        <v>29</v>
      </c>
      <c r="F978" s="14">
        <v>21</v>
      </c>
      <c r="G978" s="14">
        <v>10</v>
      </c>
      <c r="H978" s="14">
        <v>64.25</v>
      </c>
      <c r="I978" s="14">
        <f>'PIVOT TABLES'!$B$26</f>
        <v>60.283999999999999</v>
      </c>
      <c r="J978" s="14">
        <f>'PIVOT TABLES'!$B$27-'PIVOT TABLES'!$B$26</f>
        <v>30.142000000000003</v>
      </c>
      <c r="K978" s="14">
        <f>'PIVOT TABLES'!$B$28-'PIVOT TABLES'!$B$27</f>
        <v>30.141999999999996</v>
      </c>
      <c r="L978" s="14">
        <f>200-SUM(Table3[[#This Row],[D - LIGHT]:[D - VIGOROUS]])</f>
        <v>79.432000000000002</v>
      </c>
      <c r="M978" s="14">
        <f>'PIVOT TABLES'!$I$26</f>
        <v>65.603999999999999</v>
      </c>
      <c r="N978" s="14">
        <f>'PIVOT TABLES'!$I$27-'PIVOT TABLES'!$I$26</f>
        <v>32.802000000000007</v>
      </c>
      <c r="O978" s="14">
        <f>'PIVOT TABLES'!$I$28-'PIVOT TABLES'!$I$27</f>
        <v>32.801999999999992</v>
      </c>
      <c r="P978" s="14">
        <f>200-SUM(Table3[[#This Row],[M - LIGHT]:[M - VIGOROUS]])</f>
        <v>68.792000000000002</v>
      </c>
      <c r="Q978" s="14">
        <f>'PIVOT TABLES'!$P$26</f>
        <v>62.64</v>
      </c>
      <c r="R978" s="14">
        <f>'PIVOT TABLES'!$P$27-'PIVOT TABLES'!$P$26</f>
        <v>31.320000000000007</v>
      </c>
      <c r="S978" s="14">
        <f>'PIVOT TABLES'!$P$28-'PIVOT TABLES'!$P$27</f>
        <v>31.319999999999993</v>
      </c>
      <c r="T978" s="14">
        <f>200-SUM(Table3[[#This Row],[W - LIGHT]:[W - VIGOROUS]])</f>
        <v>74.72</v>
      </c>
      <c r="U978" s="14">
        <f>'PIVOT TABLES'!$W$26</f>
        <v>55.895999999999994</v>
      </c>
      <c r="V978" s="14">
        <f>'PIVOT TABLES'!$W$27-'PIVOT TABLES'!$W$26</f>
        <v>27.948</v>
      </c>
      <c r="W978" s="14">
        <f>'PIVOT TABLES'!$W$28-'PIVOT TABLES'!$W$27</f>
        <v>27.947999999999993</v>
      </c>
      <c r="X978" s="14">
        <f>200-SUM(Table3[[#This Row],[S - LIGHT]:[S - VIGOROUS]])</f>
        <v>88.208000000000013</v>
      </c>
    </row>
    <row r="979" spans="1:24" x14ac:dyDescent="0.25">
      <c r="A979" s="17" t="s">
        <v>5</v>
      </c>
      <c r="B979" s="13" t="str">
        <f t="shared" si="15"/>
        <v>Midfielder</v>
      </c>
      <c r="C979" s="7">
        <v>45356.44630787037</v>
      </c>
      <c r="D979" s="14">
        <v>7450</v>
      </c>
      <c r="E979" s="14">
        <v>26</v>
      </c>
      <c r="F979" s="14">
        <v>27</v>
      </c>
      <c r="G979" s="14">
        <v>24</v>
      </c>
      <c r="H979" s="14">
        <v>76.84</v>
      </c>
      <c r="I979" s="14">
        <f>'PIVOT TABLES'!$B$26</f>
        <v>60.283999999999999</v>
      </c>
      <c r="J979" s="14">
        <f>'PIVOT TABLES'!$B$27-'PIVOT TABLES'!$B$26</f>
        <v>30.142000000000003</v>
      </c>
      <c r="K979" s="14">
        <f>'PIVOT TABLES'!$B$28-'PIVOT TABLES'!$B$27</f>
        <v>30.141999999999996</v>
      </c>
      <c r="L979" s="14">
        <f>200-SUM(Table3[[#This Row],[D - LIGHT]:[D - VIGOROUS]])</f>
        <v>79.432000000000002</v>
      </c>
      <c r="M979" s="14">
        <f>'PIVOT TABLES'!$I$26</f>
        <v>65.603999999999999</v>
      </c>
      <c r="N979" s="14">
        <f>'PIVOT TABLES'!$I$27-'PIVOT TABLES'!$I$26</f>
        <v>32.802000000000007</v>
      </c>
      <c r="O979" s="14">
        <f>'PIVOT TABLES'!$I$28-'PIVOT TABLES'!$I$27</f>
        <v>32.801999999999992</v>
      </c>
      <c r="P979" s="14">
        <f>200-SUM(Table3[[#This Row],[M - LIGHT]:[M - VIGOROUS]])</f>
        <v>68.792000000000002</v>
      </c>
      <c r="Q979" s="14">
        <f>'PIVOT TABLES'!$P$26</f>
        <v>62.64</v>
      </c>
      <c r="R979" s="14">
        <f>'PIVOT TABLES'!$P$27-'PIVOT TABLES'!$P$26</f>
        <v>31.320000000000007</v>
      </c>
      <c r="S979" s="14">
        <f>'PIVOT TABLES'!$P$28-'PIVOT TABLES'!$P$27</f>
        <v>31.319999999999993</v>
      </c>
      <c r="T979" s="14">
        <f>200-SUM(Table3[[#This Row],[W - LIGHT]:[W - VIGOROUS]])</f>
        <v>74.72</v>
      </c>
      <c r="U979" s="14">
        <f>'PIVOT TABLES'!$W$26</f>
        <v>55.895999999999994</v>
      </c>
      <c r="V979" s="14">
        <f>'PIVOT TABLES'!$W$27-'PIVOT TABLES'!$W$26</f>
        <v>27.948</v>
      </c>
      <c r="W979" s="14">
        <f>'PIVOT TABLES'!$W$28-'PIVOT TABLES'!$W$27</f>
        <v>27.947999999999993</v>
      </c>
      <c r="X979" s="14">
        <f>200-SUM(Table3[[#This Row],[S - LIGHT]:[S - VIGOROUS]])</f>
        <v>88.208000000000013</v>
      </c>
    </row>
    <row r="980" spans="1:24" x14ac:dyDescent="0.25">
      <c r="A980" s="17" t="s">
        <v>6</v>
      </c>
      <c r="B980" s="13" t="str">
        <f t="shared" si="15"/>
        <v>Midfielder</v>
      </c>
      <c r="C980" s="7">
        <v>45356.44630787037</v>
      </c>
      <c r="D980" s="14">
        <v>7977</v>
      </c>
      <c r="E980" s="14">
        <v>142</v>
      </c>
      <c r="F980" s="14">
        <v>37</v>
      </c>
      <c r="G980" s="14">
        <v>34</v>
      </c>
      <c r="H980" s="14">
        <v>86.19</v>
      </c>
      <c r="I980" s="14">
        <f>'PIVOT TABLES'!$B$26</f>
        <v>60.283999999999999</v>
      </c>
      <c r="J980" s="14">
        <f>'PIVOT TABLES'!$B$27-'PIVOT TABLES'!$B$26</f>
        <v>30.142000000000003</v>
      </c>
      <c r="K980" s="14">
        <f>'PIVOT TABLES'!$B$28-'PIVOT TABLES'!$B$27</f>
        <v>30.141999999999996</v>
      </c>
      <c r="L980" s="14">
        <f>200-SUM(Table3[[#This Row],[D - LIGHT]:[D - VIGOROUS]])</f>
        <v>79.432000000000002</v>
      </c>
      <c r="M980" s="14">
        <f>'PIVOT TABLES'!$I$26</f>
        <v>65.603999999999999</v>
      </c>
      <c r="N980" s="14">
        <f>'PIVOT TABLES'!$I$27-'PIVOT TABLES'!$I$26</f>
        <v>32.802000000000007</v>
      </c>
      <c r="O980" s="14">
        <f>'PIVOT TABLES'!$I$28-'PIVOT TABLES'!$I$27</f>
        <v>32.801999999999992</v>
      </c>
      <c r="P980" s="14">
        <f>200-SUM(Table3[[#This Row],[M - LIGHT]:[M - VIGOROUS]])</f>
        <v>68.792000000000002</v>
      </c>
      <c r="Q980" s="14">
        <f>'PIVOT TABLES'!$P$26</f>
        <v>62.64</v>
      </c>
      <c r="R980" s="14">
        <f>'PIVOT TABLES'!$P$27-'PIVOT TABLES'!$P$26</f>
        <v>31.320000000000007</v>
      </c>
      <c r="S980" s="14">
        <f>'PIVOT TABLES'!$P$28-'PIVOT TABLES'!$P$27</f>
        <v>31.319999999999993</v>
      </c>
      <c r="T980" s="14">
        <f>200-SUM(Table3[[#This Row],[W - LIGHT]:[W - VIGOROUS]])</f>
        <v>74.72</v>
      </c>
      <c r="U980" s="14">
        <f>'PIVOT TABLES'!$W$26</f>
        <v>55.895999999999994</v>
      </c>
      <c r="V980" s="14">
        <f>'PIVOT TABLES'!$W$27-'PIVOT TABLES'!$W$26</f>
        <v>27.948</v>
      </c>
      <c r="W980" s="14">
        <f>'PIVOT TABLES'!$W$28-'PIVOT TABLES'!$W$27</f>
        <v>27.947999999999993</v>
      </c>
      <c r="X980" s="14">
        <f>200-SUM(Table3[[#This Row],[S - LIGHT]:[S - VIGOROUS]])</f>
        <v>88.208000000000013</v>
      </c>
    </row>
    <row r="981" spans="1:24" x14ac:dyDescent="0.25">
      <c r="A981" s="17" t="s">
        <v>62</v>
      </c>
      <c r="B981" s="13" t="str">
        <f t="shared" si="15"/>
        <v>Midfielder</v>
      </c>
      <c r="C981" s="7">
        <v>45356.44630787037</v>
      </c>
      <c r="D981" s="14">
        <v>7483</v>
      </c>
      <c r="E981" s="14">
        <v>11</v>
      </c>
      <c r="F981" s="14">
        <v>24</v>
      </c>
      <c r="G981" s="14">
        <v>23</v>
      </c>
      <c r="H981" s="14">
        <v>76.58</v>
      </c>
      <c r="I981" s="14">
        <f>'PIVOT TABLES'!$B$26</f>
        <v>60.283999999999999</v>
      </c>
      <c r="J981" s="14">
        <f>'PIVOT TABLES'!$B$27-'PIVOT TABLES'!$B$26</f>
        <v>30.142000000000003</v>
      </c>
      <c r="K981" s="14">
        <f>'PIVOT TABLES'!$B$28-'PIVOT TABLES'!$B$27</f>
        <v>30.141999999999996</v>
      </c>
      <c r="L981" s="14">
        <f>200-SUM(Table3[[#This Row],[D - LIGHT]:[D - VIGOROUS]])</f>
        <v>79.432000000000002</v>
      </c>
      <c r="M981" s="14">
        <f>'PIVOT TABLES'!$I$26</f>
        <v>65.603999999999999</v>
      </c>
      <c r="N981" s="14">
        <f>'PIVOT TABLES'!$I$27-'PIVOT TABLES'!$I$26</f>
        <v>32.802000000000007</v>
      </c>
      <c r="O981" s="14">
        <f>'PIVOT TABLES'!$I$28-'PIVOT TABLES'!$I$27</f>
        <v>32.801999999999992</v>
      </c>
      <c r="P981" s="14">
        <f>200-SUM(Table3[[#This Row],[M - LIGHT]:[M - VIGOROUS]])</f>
        <v>68.792000000000002</v>
      </c>
      <c r="Q981" s="14">
        <f>'PIVOT TABLES'!$P$26</f>
        <v>62.64</v>
      </c>
      <c r="R981" s="14">
        <f>'PIVOT TABLES'!$P$27-'PIVOT TABLES'!$P$26</f>
        <v>31.320000000000007</v>
      </c>
      <c r="S981" s="14">
        <f>'PIVOT TABLES'!$P$28-'PIVOT TABLES'!$P$27</f>
        <v>31.319999999999993</v>
      </c>
      <c r="T981" s="14">
        <f>200-SUM(Table3[[#This Row],[W - LIGHT]:[W - VIGOROUS]])</f>
        <v>74.72</v>
      </c>
      <c r="U981" s="14">
        <f>'PIVOT TABLES'!$W$26</f>
        <v>55.895999999999994</v>
      </c>
      <c r="V981" s="14">
        <f>'PIVOT TABLES'!$W$27-'PIVOT TABLES'!$W$26</f>
        <v>27.948</v>
      </c>
      <c r="W981" s="14">
        <f>'PIVOT TABLES'!$W$28-'PIVOT TABLES'!$W$27</f>
        <v>27.947999999999993</v>
      </c>
      <c r="X981" s="14">
        <f>200-SUM(Table3[[#This Row],[S - LIGHT]:[S - VIGOROUS]])</f>
        <v>88.208000000000013</v>
      </c>
    </row>
    <row r="982" spans="1:24" x14ac:dyDescent="0.25">
      <c r="A982" s="17" t="s">
        <v>64</v>
      </c>
      <c r="B982" s="13" t="str">
        <f t="shared" si="15"/>
        <v>Midfielder</v>
      </c>
      <c r="C982" s="7">
        <v>45356.44630787037</v>
      </c>
      <c r="D982" s="14">
        <v>7723</v>
      </c>
      <c r="E982" s="14">
        <v>36</v>
      </c>
      <c r="F982" s="14">
        <v>32</v>
      </c>
      <c r="G982" s="14">
        <v>28</v>
      </c>
      <c r="H982" s="14">
        <v>80.150000000000006</v>
      </c>
      <c r="I982" s="14">
        <f>'PIVOT TABLES'!$B$26</f>
        <v>60.283999999999999</v>
      </c>
      <c r="J982" s="14">
        <f>'PIVOT TABLES'!$B$27-'PIVOT TABLES'!$B$26</f>
        <v>30.142000000000003</v>
      </c>
      <c r="K982" s="14">
        <f>'PIVOT TABLES'!$B$28-'PIVOT TABLES'!$B$27</f>
        <v>30.141999999999996</v>
      </c>
      <c r="L982" s="14">
        <f>200-SUM(Table3[[#This Row],[D - LIGHT]:[D - VIGOROUS]])</f>
        <v>79.432000000000002</v>
      </c>
      <c r="M982" s="14">
        <f>'PIVOT TABLES'!$I$26</f>
        <v>65.603999999999999</v>
      </c>
      <c r="N982" s="14">
        <f>'PIVOT TABLES'!$I$27-'PIVOT TABLES'!$I$26</f>
        <v>32.802000000000007</v>
      </c>
      <c r="O982" s="14">
        <f>'PIVOT TABLES'!$I$28-'PIVOT TABLES'!$I$27</f>
        <v>32.801999999999992</v>
      </c>
      <c r="P982" s="14">
        <f>200-SUM(Table3[[#This Row],[M - LIGHT]:[M - VIGOROUS]])</f>
        <v>68.792000000000002</v>
      </c>
      <c r="Q982" s="14">
        <f>'PIVOT TABLES'!$P$26</f>
        <v>62.64</v>
      </c>
      <c r="R982" s="14">
        <f>'PIVOT TABLES'!$P$27-'PIVOT TABLES'!$P$26</f>
        <v>31.320000000000007</v>
      </c>
      <c r="S982" s="14">
        <f>'PIVOT TABLES'!$P$28-'PIVOT TABLES'!$P$27</f>
        <v>31.319999999999993</v>
      </c>
      <c r="T982" s="14">
        <f>200-SUM(Table3[[#This Row],[W - LIGHT]:[W - VIGOROUS]])</f>
        <v>74.72</v>
      </c>
      <c r="U982" s="14">
        <f>'PIVOT TABLES'!$W$26</f>
        <v>55.895999999999994</v>
      </c>
      <c r="V982" s="14">
        <f>'PIVOT TABLES'!$W$27-'PIVOT TABLES'!$W$26</f>
        <v>27.948</v>
      </c>
      <c r="W982" s="14">
        <f>'PIVOT TABLES'!$W$28-'PIVOT TABLES'!$W$27</f>
        <v>27.947999999999993</v>
      </c>
      <c r="X982" s="14">
        <f>200-SUM(Table3[[#This Row],[S - LIGHT]:[S - VIGOROUS]])</f>
        <v>88.208000000000013</v>
      </c>
    </row>
    <row r="983" spans="1:24" x14ac:dyDescent="0.25">
      <c r="A983" s="17" t="s">
        <v>65</v>
      </c>
      <c r="B983" s="13" t="str">
        <f t="shared" si="15"/>
        <v>Winger</v>
      </c>
      <c r="C983" s="7">
        <v>45356.44630787037</v>
      </c>
      <c r="D983" s="14">
        <v>8117</v>
      </c>
      <c r="E983" s="14">
        <v>136</v>
      </c>
      <c r="F983" s="14">
        <v>49</v>
      </c>
      <c r="G983" s="14">
        <v>35</v>
      </c>
      <c r="H983" s="14">
        <v>87.91</v>
      </c>
      <c r="I983" s="14">
        <f>'PIVOT TABLES'!$B$26</f>
        <v>60.283999999999999</v>
      </c>
      <c r="J983" s="14">
        <f>'PIVOT TABLES'!$B$27-'PIVOT TABLES'!$B$26</f>
        <v>30.142000000000003</v>
      </c>
      <c r="K983" s="14">
        <f>'PIVOT TABLES'!$B$28-'PIVOT TABLES'!$B$27</f>
        <v>30.141999999999996</v>
      </c>
      <c r="L983" s="14">
        <f>200-SUM(Table3[[#This Row],[D - LIGHT]:[D - VIGOROUS]])</f>
        <v>79.432000000000002</v>
      </c>
      <c r="M983" s="14">
        <f>'PIVOT TABLES'!$I$26</f>
        <v>65.603999999999999</v>
      </c>
      <c r="N983" s="14">
        <f>'PIVOT TABLES'!$I$27-'PIVOT TABLES'!$I$26</f>
        <v>32.802000000000007</v>
      </c>
      <c r="O983" s="14">
        <f>'PIVOT TABLES'!$I$28-'PIVOT TABLES'!$I$27</f>
        <v>32.801999999999992</v>
      </c>
      <c r="P983" s="14">
        <f>200-SUM(Table3[[#This Row],[M - LIGHT]:[M - VIGOROUS]])</f>
        <v>68.792000000000002</v>
      </c>
      <c r="Q983" s="14">
        <f>'PIVOT TABLES'!$P$26</f>
        <v>62.64</v>
      </c>
      <c r="R983" s="14">
        <f>'PIVOT TABLES'!$P$27-'PIVOT TABLES'!$P$26</f>
        <v>31.320000000000007</v>
      </c>
      <c r="S983" s="14">
        <f>'PIVOT TABLES'!$P$28-'PIVOT TABLES'!$P$27</f>
        <v>31.319999999999993</v>
      </c>
      <c r="T983" s="14">
        <f>200-SUM(Table3[[#This Row],[W - LIGHT]:[W - VIGOROUS]])</f>
        <v>74.72</v>
      </c>
      <c r="U983" s="14">
        <f>'PIVOT TABLES'!$W$26</f>
        <v>55.895999999999994</v>
      </c>
      <c r="V983" s="14">
        <f>'PIVOT TABLES'!$W$27-'PIVOT TABLES'!$W$26</f>
        <v>27.948</v>
      </c>
      <c r="W983" s="14">
        <f>'PIVOT TABLES'!$W$28-'PIVOT TABLES'!$W$27</f>
        <v>27.947999999999993</v>
      </c>
      <c r="X983" s="14">
        <f>200-SUM(Table3[[#This Row],[S - LIGHT]:[S - VIGOROUS]])</f>
        <v>88.208000000000013</v>
      </c>
    </row>
    <row r="984" spans="1:24" x14ac:dyDescent="0.25">
      <c r="A984" s="17" t="s">
        <v>66</v>
      </c>
      <c r="B984" s="13" t="str">
        <f t="shared" si="15"/>
        <v>Striker</v>
      </c>
      <c r="C984" s="7">
        <v>45356.44630787037</v>
      </c>
      <c r="D984" s="14">
        <v>8011</v>
      </c>
      <c r="E984" s="14">
        <v>54</v>
      </c>
      <c r="F984" s="14">
        <v>26</v>
      </c>
      <c r="G984" s="14">
        <v>30</v>
      </c>
      <c r="H984" s="14">
        <v>83.37</v>
      </c>
      <c r="I984" s="14">
        <f>'PIVOT TABLES'!$B$26</f>
        <v>60.283999999999999</v>
      </c>
      <c r="J984" s="14">
        <f>'PIVOT TABLES'!$B$27-'PIVOT TABLES'!$B$26</f>
        <v>30.142000000000003</v>
      </c>
      <c r="K984" s="14">
        <f>'PIVOT TABLES'!$B$28-'PIVOT TABLES'!$B$27</f>
        <v>30.141999999999996</v>
      </c>
      <c r="L984" s="14">
        <f>200-SUM(Table3[[#This Row],[D - LIGHT]:[D - VIGOROUS]])</f>
        <v>79.432000000000002</v>
      </c>
      <c r="M984" s="14">
        <f>'PIVOT TABLES'!$I$26</f>
        <v>65.603999999999999</v>
      </c>
      <c r="N984" s="14">
        <f>'PIVOT TABLES'!$I$27-'PIVOT TABLES'!$I$26</f>
        <v>32.802000000000007</v>
      </c>
      <c r="O984" s="14">
        <f>'PIVOT TABLES'!$I$28-'PIVOT TABLES'!$I$27</f>
        <v>32.801999999999992</v>
      </c>
      <c r="P984" s="14">
        <f>200-SUM(Table3[[#This Row],[M - LIGHT]:[M - VIGOROUS]])</f>
        <v>68.792000000000002</v>
      </c>
      <c r="Q984" s="14">
        <f>'PIVOT TABLES'!$P$26</f>
        <v>62.64</v>
      </c>
      <c r="R984" s="14">
        <f>'PIVOT TABLES'!$P$27-'PIVOT TABLES'!$P$26</f>
        <v>31.320000000000007</v>
      </c>
      <c r="S984" s="14">
        <f>'PIVOT TABLES'!$P$28-'PIVOT TABLES'!$P$27</f>
        <v>31.319999999999993</v>
      </c>
      <c r="T984" s="14">
        <f>200-SUM(Table3[[#This Row],[W - LIGHT]:[W - VIGOROUS]])</f>
        <v>74.72</v>
      </c>
      <c r="U984" s="14">
        <f>'PIVOT TABLES'!$W$26</f>
        <v>55.895999999999994</v>
      </c>
      <c r="V984" s="14">
        <f>'PIVOT TABLES'!$W$27-'PIVOT TABLES'!$W$26</f>
        <v>27.948</v>
      </c>
      <c r="W984" s="14">
        <f>'PIVOT TABLES'!$W$28-'PIVOT TABLES'!$W$27</f>
        <v>27.947999999999993</v>
      </c>
      <c r="X984" s="14">
        <f>200-SUM(Table3[[#This Row],[S - LIGHT]:[S - VIGOROUS]])</f>
        <v>88.208000000000013</v>
      </c>
    </row>
    <row r="985" spans="1:24" x14ac:dyDescent="0.25">
      <c r="A985" s="17" t="s">
        <v>8</v>
      </c>
      <c r="B985" s="13" t="str">
        <f t="shared" si="15"/>
        <v>Striker</v>
      </c>
      <c r="C985" s="7">
        <v>45356.44630787037</v>
      </c>
      <c r="D985" s="14">
        <v>6641</v>
      </c>
      <c r="E985" s="14">
        <v>92</v>
      </c>
      <c r="F985" s="14">
        <v>33</v>
      </c>
      <c r="G985" s="14">
        <v>26</v>
      </c>
      <c r="H985" s="14">
        <v>71.010000000000005</v>
      </c>
      <c r="I985" s="14">
        <f>'PIVOT TABLES'!$B$26</f>
        <v>60.283999999999999</v>
      </c>
      <c r="J985" s="14">
        <f>'PIVOT TABLES'!$B$27-'PIVOT TABLES'!$B$26</f>
        <v>30.142000000000003</v>
      </c>
      <c r="K985" s="14">
        <f>'PIVOT TABLES'!$B$28-'PIVOT TABLES'!$B$27</f>
        <v>30.141999999999996</v>
      </c>
      <c r="L985" s="14">
        <f>200-SUM(Table3[[#This Row],[D - LIGHT]:[D - VIGOROUS]])</f>
        <v>79.432000000000002</v>
      </c>
      <c r="M985" s="14">
        <f>'PIVOT TABLES'!$I$26</f>
        <v>65.603999999999999</v>
      </c>
      <c r="N985" s="14">
        <f>'PIVOT TABLES'!$I$27-'PIVOT TABLES'!$I$26</f>
        <v>32.802000000000007</v>
      </c>
      <c r="O985" s="14">
        <f>'PIVOT TABLES'!$I$28-'PIVOT TABLES'!$I$27</f>
        <v>32.801999999999992</v>
      </c>
      <c r="P985" s="14">
        <f>200-SUM(Table3[[#This Row],[M - LIGHT]:[M - VIGOROUS]])</f>
        <v>68.792000000000002</v>
      </c>
      <c r="Q985" s="14">
        <f>'PIVOT TABLES'!$P$26</f>
        <v>62.64</v>
      </c>
      <c r="R985" s="14">
        <f>'PIVOT TABLES'!$P$27-'PIVOT TABLES'!$P$26</f>
        <v>31.320000000000007</v>
      </c>
      <c r="S985" s="14">
        <f>'PIVOT TABLES'!$P$28-'PIVOT TABLES'!$P$27</f>
        <v>31.319999999999993</v>
      </c>
      <c r="T985" s="14">
        <f>200-SUM(Table3[[#This Row],[W - LIGHT]:[W - VIGOROUS]])</f>
        <v>74.72</v>
      </c>
      <c r="U985" s="14">
        <f>'PIVOT TABLES'!$W$26</f>
        <v>55.895999999999994</v>
      </c>
      <c r="V985" s="14">
        <f>'PIVOT TABLES'!$W$27-'PIVOT TABLES'!$W$26</f>
        <v>27.948</v>
      </c>
      <c r="W985" s="14">
        <f>'PIVOT TABLES'!$W$28-'PIVOT TABLES'!$W$27</f>
        <v>27.947999999999993</v>
      </c>
      <c r="X985" s="14">
        <f>200-SUM(Table3[[#This Row],[S - LIGHT]:[S - VIGOROUS]])</f>
        <v>88.208000000000013</v>
      </c>
    </row>
    <row r="986" spans="1:24" x14ac:dyDescent="0.25">
      <c r="A986" s="17" t="s">
        <v>67</v>
      </c>
      <c r="B986" s="13" t="str">
        <f t="shared" si="15"/>
        <v>Midfielder</v>
      </c>
      <c r="C986" s="7">
        <v>45356.44630787037</v>
      </c>
      <c r="D986" s="14">
        <v>8119</v>
      </c>
      <c r="E986" s="14">
        <v>33</v>
      </c>
      <c r="F986" s="14">
        <v>38</v>
      </c>
      <c r="G986" s="14">
        <v>34</v>
      </c>
      <c r="H986" s="14">
        <v>84.38</v>
      </c>
      <c r="I986" s="14">
        <f>'PIVOT TABLES'!$B$26</f>
        <v>60.283999999999999</v>
      </c>
      <c r="J986" s="14">
        <f>'PIVOT TABLES'!$B$27-'PIVOT TABLES'!$B$26</f>
        <v>30.142000000000003</v>
      </c>
      <c r="K986" s="14">
        <f>'PIVOT TABLES'!$B$28-'PIVOT TABLES'!$B$27</f>
        <v>30.141999999999996</v>
      </c>
      <c r="L986" s="14">
        <f>200-SUM(Table3[[#This Row],[D - LIGHT]:[D - VIGOROUS]])</f>
        <v>79.432000000000002</v>
      </c>
      <c r="M986" s="14">
        <f>'PIVOT TABLES'!$I$26</f>
        <v>65.603999999999999</v>
      </c>
      <c r="N986" s="14">
        <f>'PIVOT TABLES'!$I$27-'PIVOT TABLES'!$I$26</f>
        <v>32.802000000000007</v>
      </c>
      <c r="O986" s="14">
        <f>'PIVOT TABLES'!$I$28-'PIVOT TABLES'!$I$27</f>
        <v>32.801999999999992</v>
      </c>
      <c r="P986" s="14">
        <f>200-SUM(Table3[[#This Row],[M - LIGHT]:[M - VIGOROUS]])</f>
        <v>68.792000000000002</v>
      </c>
      <c r="Q986" s="14">
        <f>'PIVOT TABLES'!$P$26</f>
        <v>62.64</v>
      </c>
      <c r="R986" s="14">
        <f>'PIVOT TABLES'!$P$27-'PIVOT TABLES'!$P$26</f>
        <v>31.320000000000007</v>
      </c>
      <c r="S986" s="14">
        <f>'PIVOT TABLES'!$P$28-'PIVOT TABLES'!$P$27</f>
        <v>31.319999999999993</v>
      </c>
      <c r="T986" s="14">
        <f>200-SUM(Table3[[#This Row],[W - LIGHT]:[W - VIGOROUS]])</f>
        <v>74.72</v>
      </c>
      <c r="U986" s="14">
        <f>'PIVOT TABLES'!$W$26</f>
        <v>55.895999999999994</v>
      </c>
      <c r="V986" s="14">
        <f>'PIVOT TABLES'!$W$27-'PIVOT TABLES'!$W$26</f>
        <v>27.948</v>
      </c>
      <c r="W986" s="14">
        <f>'PIVOT TABLES'!$W$28-'PIVOT TABLES'!$W$27</f>
        <v>27.947999999999993</v>
      </c>
      <c r="X986" s="14">
        <f>200-SUM(Table3[[#This Row],[S - LIGHT]:[S - VIGOROUS]])</f>
        <v>88.208000000000013</v>
      </c>
    </row>
    <row r="987" spans="1:24" x14ac:dyDescent="0.25">
      <c r="A987" s="17" t="s">
        <v>9</v>
      </c>
      <c r="B987" s="13" t="str">
        <f t="shared" si="15"/>
        <v>Striker</v>
      </c>
      <c r="C987" s="7">
        <v>45356.44630787037</v>
      </c>
      <c r="D987" s="14">
        <v>4679</v>
      </c>
      <c r="E987" s="14">
        <v>113</v>
      </c>
      <c r="F987" s="14">
        <v>23</v>
      </c>
      <c r="G987" s="14">
        <v>22</v>
      </c>
      <c r="H987" s="14">
        <v>51.54</v>
      </c>
      <c r="I987" s="14">
        <f>'PIVOT TABLES'!$B$26</f>
        <v>60.283999999999999</v>
      </c>
      <c r="J987" s="14">
        <f>'PIVOT TABLES'!$B$27-'PIVOT TABLES'!$B$26</f>
        <v>30.142000000000003</v>
      </c>
      <c r="K987" s="14">
        <f>'PIVOT TABLES'!$B$28-'PIVOT TABLES'!$B$27</f>
        <v>30.141999999999996</v>
      </c>
      <c r="L987" s="14">
        <f>200-SUM(Table3[[#This Row],[D - LIGHT]:[D - VIGOROUS]])</f>
        <v>79.432000000000002</v>
      </c>
      <c r="M987" s="14">
        <f>'PIVOT TABLES'!$I$26</f>
        <v>65.603999999999999</v>
      </c>
      <c r="N987" s="14">
        <f>'PIVOT TABLES'!$I$27-'PIVOT TABLES'!$I$26</f>
        <v>32.802000000000007</v>
      </c>
      <c r="O987" s="14">
        <f>'PIVOT TABLES'!$I$28-'PIVOT TABLES'!$I$27</f>
        <v>32.801999999999992</v>
      </c>
      <c r="P987" s="14">
        <f>200-SUM(Table3[[#This Row],[M - LIGHT]:[M - VIGOROUS]])</f>
        <v>68.792000000000002</v>
      </c>
      <c r="Q987" s="14">
        <f>'PIVOT TABLES'!$P$26</f>
        <v>62.64</v>
      </c>
      <c r="R987" s="14">
        <f>'PIVOT TABLES'!$P$27-'PIVOT TABLES'!$P$26</f>
        <v>31.320000000000007</v>
      </c>
      <c r="S987" s="14">
        <f>'PIVOT TABLES'!$P$28-'PIVOT TABLES'!$P$27</f>
        <v>31.319999999999993</v>
      </c>
      <c r="T987" s="14">
        <f>200-SUM(Table3[[#This Row],[W - LIGHT]:[W - VIGOROUS]])</f>
        <v>74.72</v>
      </c>
      <c r="U987" s="14">
        <f>'PIVOT TABLES'!$W$26</f>
        <v>55.895999999999994</v>
      </c>
      <c r="V987" s="14">
        <f>'PIVOT TABLES'!$W$27-'PIVOT TABLES'!$W$26</f>
        <v>27.948</v>
      </c>
      <c r="W987" s="14">
        <f>'PIVOT TABLES'!$W$28-'PIVOT TABLES'!$W$27</f>
        <v>27.947999999999993</v>
      </c>
      <c r="X987" s="14">
        <f>200-SUM(Table3[[#This Row],[S - LIGHT]:[S - VIGOROUS]])</f>
        <v>88.208000000000013</v>
      </c>
    </row>
    <row r="988" spans="1:24" x14ac:dyDescent="0.25">
      <c r="A988" s="17" t="s">
        <v>69</v>
      </c>
      <c r="B988" s="13" t="str">
        <f t="shared" si="15"/>
        <v>Midfielder</v>
      </c>
      <c r="C988" s="7">
        <v>45356.44630787037</v>
      </c>
      <c r="D988" s="14">
        <v>7627</v>
      </c>
      <c r="E988" s="14">
        <v>125</v>
      </c>
      <c r="F988" s="14">
        <v>35</v>
      </c>
      <c r="G988" s="14">
        <v>31</v>
      </c>
      <c r="H988" s="14">
        <v>82.04</v>
      </c>
      <c r="I988" s="14">
        <f>'PIVOT TABLES'!$B$26</f>
        <v>60.283999999999999</v>
      </c>
      <c r="J988" s="14">
        <f>'PIVOT TABLES'!$B$27-'PIVOT TABLES'!$B$26</f>
        <v>30.142000000000003</v>
      </c>
      <c r="K988" s="14">
        <f>'PIVOT TABLES'!$B$28-'PIVOT TABLES'!$B$27</f>
        <v>30.141999999999996</v>
      </c>
      <c r="L988" s="14">
        <f>200-SUM(Table3[[#This Row],[D - LIGHT]:[D - VIGOROUS]])</f>
        <v>79.432000000000002</v>
      </c>
      <c r="M988" s="14">
        <f>'PIVOT TABLES'!$I$26</f>
        <v>65.603999999999999</v>
      </c>
      <c r="N988" s="14">
        <f>'PIVOT TABLES'!$I$27-'PIVOT TABLES'!$I$26</f>
        <v>32.802000000000007</v>
      </c>
      <c r="O988" s="14">
        <f>'PIVOT TABLES'!$I$28-'PIVOT TABLES'!$I$27</f>
        <v>32.801999999999992</v>
      </c>
      <c r="P988" s="14">
        <f>200-SUM(Table3[[#This Row],[M - LIGHT]:[M - VIGOROUS]])</f>
        <v>68.792000000000002</v>
      </c>
      <c r="Q988" s="14">
        <f>'PIVOT TABLES'!$P$26</f>
        <v>62.64</v>
      </c>
      <c r="R988" s="14">
        <f>'PIVOT TABLES'!$P$27-'PIVOT TABLES'!$P$26</f>
        <v>31.320000000000007</v>
      </c>
      <c r="S988" s="14">
        <f>'PIVOT TABLES'!$P$28-'PIVOT TABLES'!$P$27</f>
        <v>31.319999999999993</v>
      </c>
      <c r="T988" s="14">
        <f>200-SUM(Table3[[#This Row],[W - LIGHT]:[W - VIGOROUS]])</f>
        <v>74.72</v>
      </c>
      <c r="U988" s="14">
        <f>'PIVOT TABLES'!$W$26</f>
        <v>55.895999999999994</v>
      </c>
      <c r="V988" s="14">
        <f>'PIVOT TABLES'!$W$27-'PIVOT TABLES'!$W$26</f>
        <v>27.948</v>
      </c>
      <c r="W988" s="14">
        <f>'PIVOT TABLES'!$W$28-'PIVOT TABLES'!$W$27</f>
        <v>27.947999999999993</v>
      </c>
      <c r="X988" s="14">
        <f>200-SUM(Table3[[#This Row],[S - LIGHT]:[S - VIGOROUS]])</f>
        <v>88.208000000000013</v>
      </c>
    </row>
    <row r="989" spans="1:24" x14ac:dyDescent="0.25">
      <c r="A989" s="17" t="s">
        <v>70</v>
      </c>
      <c r="B989" s="13" t="str">
        <f t="shared" si="15"/>
        <v>Winger</v>
      </c>
      <c r="C989" s="7">
        <v>45357.787280092591</v>
      </c>
      <c r="D989" s="14">
        <v>6732</v>
      </c>
      <c r="E989" s="14">
        <v>63</v>
      </c>
      <c r="F989" s="14">
        <v>16</v>
      </c>
      <c r="G989" s="14">
        <v>21</v>
      </c>
      <c r="H989" s="14">
        <v>70.27</v>
      </c>
      <c r="I989" s="14">
        <f>'PIVOT TABLES'!$B$26</f>
        <v>60.283999999999999</v>
      </c>
      <c r="J989" s="14">
        <f>'PIVOT TABLES'!$B$27-'PIVOT TABLES'!$B$26</f>
        <v>30.142000000000003</v>
      </c>
      <c r="K989" s="14">
        <f>'PIVOT TABLES'!$B$28-'PIVOT TABLES'!$B$27</f>
        <v>30.141999999999996</v>
      </c>
      <c r="L989" s="14">
        <f>200-SUM(Table3[[#This Row],[D - LIGHT]:[D - VIGOROUS]])</f>
        <v>79.432000000000002</v>
      </c>
      <c r="M989" s="14">
        <f>'PIVOT TABLES'!$I$26</f>
        <v>65.603999999999999</v>
      </c>
      <c r="N989" s="14">
        <f>'PIVOT TABLES'!$I$27-'PIVOT TABLES'!$I$26</f>
        <v>32.802000000000007</v>
      </c>
      <c r="O989" s="14">
        <f>'PIVOT TABLES'!$I$28-'PIVOT TABLES'!$I$27</f>
        <v>32.801999999999992</v>
      </c>
      <c r="P989" s="14">
        <f>200-SUM(Table3[[#This Row],[M - LIGHT]:[M - VIGOROUS]])</f>
        <v>68.792000000000002</v>
      </c>
      <c r="Q989" s="14">
        <f>'PIVOT TABLES'!$P$26</f>
        <v>62.64</v>
      </c>
      <c r="R989" s="14">
        <f>'PIVOT TABLES'!$P$27-'PIVOT TABLES'!$P$26</f>
        <v>31.320000000000007</v>
      </c>
      <c r="S989" s="14">
        <f>'PIVOT TABLES'!$P$28-'PIVOT TABLES'!$P$27</f>
        <v>31.319999999999993</v>
      </c>
      <c r="T989" s="14">
        <f>200-SUM(Table3[[#This Row],[W - LIGHT]:[W - VIGOROUS]])</f>
        <v>74.72</v>
      </c>
      <c r="U989" s="14">
        <f>'PIVOT TABLES'!$W$26</f>
        <v>55.895999999999994</v>
      </c>
      <c r="V989" s="14">
        <f>'PIVOT TABLES'!$W$27-'PIVOT TABLES'!$W$26</f>
        <v>27.948</v>
      </c>
      <c r="W989" s="14">
        <f>'PIVOT TABLES'!$W$28-'PIVOT TABLES'!$W$27</f>
        <v>27.947999999999993</v>
      </c>
      <c r="X989" s="14">
        <f>200-SUM(Table3[[#This Row],[S - LIGHT]:[S - VIGOROUS]])</f>
        <v>88.208000000000013</v>
      </c>
    </row>
    <row r="990" spans="1:24" x14ac:dyDescent="0.25">
      <c r="A990" s="17" t="s">
        <v>53</v>
      </c>
      <c r="B990" s="13" t="str">
        <f t="shared" si="15"/>
        <v>Midfielder</v>
      </c>
      <c r="C990" s="7">
        <v>45357.787280092591</v>
      </c>
      <c r="D990" s="14">
        <v>7283</v>
      </c>
      <c r="E990" s="14">
        <v>64</v>
      </c>
      <c r="F990" s="14">
        <v>22</v>
      </c>
      <c r="G990" s="14">
        <v>28</v>
      </c>
      <c r="H990" s="14">
        <v>76.19</v>
      </c>
      <c r="I990" s="14">
        <f>'PIVOT TABLES'!$B$26</f>
        <v>60.283999999999999</v>
      </c>
      <c r="J990" s="14">
        <f>'PIVOT TABLES'!$B$27-'PIVOT TABLES'!$B$26</f>
        <v>30.142000000000003</v>
      </c>
      <c r="K990" s="14">
        <f>'PIVOT TABLES'!$B$28-'PIVOT TABLES'!$B$27</f>
        <v>30.141999999999996</v>
      </c>
      <c r="L990" s="14">
        <f>200-SUM(Table3[[#This Row],[D - LIGHT]:[D - VIGOROUS]])</f>
        <v>79.432000000000002</v>
      </c>
      <c r="M990" s="14">
        <f>'PIVOT TABLES'!$I$26</f>
        <v>65.603999999999999</v>
      </c>
      <c r="N990" s="14">
        <f>'PIVOT TABLES'!$I$27-'PIVOT TABLES'!$I$26</f>
        <v>32.802000000000007</v>
      </c>
      <c r="O990" s="14">
        <f>'PIVOT TABLES'!$I$28-'PIVOT TABLES'!$I$27</f>
        <v>32.801999999999992</v>
      </c>
      <c r="P990" s="14">
        <f>200-SUM(Table3[[#This Row],[M - LIGHT]:[M - VIGOROUS]])</f>
        <v>68.792000000000002</v>
      </c>
      <c r="Q990" s="14">
        <f>'PIVOT TABLES'!$P$26</f>
        <v>62.64</v>
      </c>
      <c r="R990" s="14">
        <f>'PIVOT TABLES'!$P$27-'PIVOT TABLES'!$P$26</f>
        <v>31.320000000000007</v>
      </c>
      <c r="S990" s="14">
        <f>'PIVOT TABLES'!$P$28-'PIVOT TABLES'!$P$27</f>
        <v>31.319999999999993</v>
      </c>
      <c r="T990" s="14">
        <f>200-SUM(Table3[[#This Row],[W - LIGHT]:[W - VIGOROUS]])</f>
        <v>74.72</v>
      </c>
      <c r="U990" s="14">
        <f>'PIVOT TABLES'!$W$26</f>
        <v>55.895999999999994</v>
      </c>
      <c r="V990" s="14">
        <f>'PIVOT TABLES'!$W$27-'PIVOT TABLES'!$W$26</f>
        <v>27.948</v>
      </c>
      <c r="W990" s="14">
        <f>'PIVOT TABLES'!$W$28-'PIVOT TABLES'!$W$27</f>
        <v>27.947999999999993</v>
      </c>
      <c r="X990" s="14">
        <f>200-SUM(Table3[[#This Row],[S - LIGHT]:[S - VIGOROUS]])</f>
        <v>88.208000000000013</v>
      </c>
    </row>
    <row r="991" spans="1:24" x14ac:dyDescent="0.25">
      <c r="A991" s="17" t="s">
        <v>54</v>
      </c>
      <c r="B991" s="13" t="str">
        <f t="shared" si="15"/>
        <v>Striker</v>
      </c>
      <c r="C991" s="7">
        <v>45357.787280092591</v>
      </c>
      <c r="D991" s="14">
        <v>7534</v>
      </c>
      <c r="E991" s="14">
        <v>205</v>
      </c>
      <c r="F991" s="14">
        <v>31</v>
      </c>
      <c r="G991" s="14">
        <v>30</v>
      </c>
      <c r="H991" s="14">
        <v>83.33</v>
      </c>
      <c r="I991" s="14">
        <f>'PIVOT TABLES'!$B$26</f>
        <v>60.283999999999999</v>
      </c>
      <c r="J991" s="14">
        <f>'PIVOT TABLES'!$B$27-'PIVOT TABLES'!$B$26</f>
        <v>30.142000000000003</v>
      </c>
      <c r="K991" s="14">
        <f>'PIVOT TABLES'!$B$28-'PIVOT TABLES'!$B$27</f>
        <v>30.141999999999996</v>
      </c>
      <c r="L991" s="14">
        <f>200-SUM(Table3[[#This Row],[D - LIGHT]:[D - VIGOROUS]])</f>
        <v>79.432000000000002</v>
      </c>
      <c r="M991" s="14">
        <f>'PIVOT TABLES'!$I$26</f>
        <v>65.603999999999999</v>
      </c>
      <c r="N991" s="14">
        <f>'PIVOT TABLES'!$I$27-'PIVOT TABLES'!$I$26</f>
        <v>32.802000000000007</v>
      </c>
      <c r="O991" s="14">
        <f>'PIVOT TABLES'!$I$28-'PIVOT TABLES'!$I$27</f>
        <v>32.801999999999992</v>
      </c>
      <c r="P991" s="14">
        <f>200-SUM(Table3[[#This Row],[M - LIGHT]:[M - VIGOROUS]])</f>
        <v>68.792000000000002</v>
      </c>
      <c r="Q991" s="14">
        <f>'PIVOT TABLES'!$P$26</f>
        <v>62.64</v>
      </c>
      <c r="R991" s="14">
        <f>'PIVOT TABLES'!$P$27-'PIVOT TABLES'!$P$26</f>
        <v>31.320000000000007</v>
      </c>
      <c r="S991" s="14">
        <f>'PIVOT TABLES'!$P$28-'PIVOT TABLES'!$P$27</f>
        <v>31.319999999999993</v>
      </c>
      <c r="T991" s="14">
        <f>200-SUM(Table3[[#This Row],[W - LIGHT]:[W - VIGOROUS]])</f>
        <v>74.72</v>
      </c>
      <c r="U991" s="14">
        <f>'PIVOT TABLES'!$W$26</f>
        <v>55.895999999999994</v>
      </c>
      <c r="V991" s="14">
        <f>'PIVOT TABLES'!$W$27-'PIVOT TABLES'!$W$26</f>
        <v>27.948</v>
      </c>
      <c r="W991" s="14">
        <f>'PIVOT TABLES'!$W$28-'PIVOT TABLES'!$W$27</f>
        <v>27.947999999999993</v>
      </c>
      <c r="X991" s="14">
        <f>200-SUM(Table3[[#This Row],[S - LIGHT]:[S - VIGOROUS]])</f>
        <v>88.208000000000013</v>
      </c>
    </row>
    <row r="992" spans="1:24" x14ac:dyDescent="0.25">
      <c r="A992" s="17" t="s">
        <v>55</v>
      </c>
      <c r="B992" s="13" t="str">
        <f t="shared" si="15"/>
        <v>Striker</v>
      </c>
      <c r="C992" s="7">
        <v>45357.787280092591</v>
      </c>
      <c r="D992" s="14">
        <v>4039</v>
      </c>
      <c r="E992" s="14">
        <v>25</v>
      </c>
      <c r="F992" s="14">
        <v>17</v>
      </c>
      <c r="G992" s="14">
        <v>15</v>
      </c>
      <c r="H992" s="14">
        <v>42.12</v>
      </c>
      <c r="I992" s="14">
        <f>'PIVOT TABLES'!$B$26</f>
        <v>60.283999999999999</v>
      </c>
      <c r="J992" s="14">
        <f>'PIVOT TABLES'!$B$27-'PIVOT TABLES'!$B$26</f>
        <v>30.142000000000003</v>
      </c>
      <c r="K992" s="14">
        <f>'PIVOT TABLES'!$B$28-'PIVOT TABLES'!$B$27</f>
        <v>30.141999999999996</v>
      </c>
      <c r="L992" s="14">
        <f>200-SUM(Table3[[#This Row],[D - LIGHT]:[D - VIGOROUS]])</f>
        <v>79.432000000000002</v>
      </c>
      <c r="M992" s="14">
        <f>'PIVOT TABLES'!$I$26</f>
        <v>65.603999999999999</v>
      </c>
      <c r="N992" s="14">
        <f>'PIVOT TABLES'!$I$27-'PIVOT TABLES'!$I$26</f>
        <v>32.802000000000007</v>
      </c>
      <c r="O992" s="14">
        <f>'PIVOT TABLES'!$I$28-'PIVOT TABLES'!$I$27</f>
        <v>32.801999999999992</v>
      </c>
      <c r="P992" s="14">
        <f>200-SUM(Table3[[#This Row],[M - LIGHT]:[M - VIGOROUS]])</f>
        <v>68.792000000000002</v>
      </c>
      <c r="Q992" s="14">
        <f>'PIVOT TABLES'!$P$26</f>
        <v>62.64</v>
      </c>
      <c r="R992" s="14">
        <f>'PIVOT TABLES'!$P$27-'PIVOT TABLES'!$P$26</f>
        <v>31.320000000000007</v>
      </c>
      <c r="S992" s="14">
        <f>'PIVOT TABLES'!$P$28-'PIVOT TABLES'!$P$27</f>
        <v>31.319999999999993</v>
      </c>
      <c r="T992" s="14">
        <f>200-SUM(Table3[[#This Row],[W - LIGHT]:[W - VIGOROUS]])</f>
        <v>74.72</v>
      </c>
      <c r="U992" s="14">
        <f>'PIVOT TABLES'!$W$26</f>
        <v>55.895999999999994</v>
      </c>
      <c r="V992" s="14">
        <f>'PIVOT TABLES'!$W$27-'PIVOT TABLES'!$W$26</f>
        <v>27.948</v>
      </c>
      <c r="W992" s="14">
        <f>'PIVOT TABLES'!$W$28-'PIVOT TABLES'!$W$27</f>
        <v>27.947999999999993</v>
      </c>
      <c r="X992" s="14">
        <f>200-SUM(Table3[[#This Row],[S - LIGHT]:[S - VIGOROUS]])</f>
        <v>88.208000000000013</v>
      </c>
    </row>
    <row r="993" spans="1:24" x14ac:dyDescent="0.25">
      <c r="A993" s="17" t="s">
        <v>1</v>
      </c>
      <c r="B993" s="13" t="str">
        <f t="shared" si="15"/>
        <v>Defender</v>
      </c>
      <c r="C993" s="7">
        <v>45357.787280092591</v>
      </c>
      <c r="D993" s="14">
        <v>5005</v>
      </c>
      <c r="E993" s="14">
        <v>4</v>
      </c>
      <c r="F993" s="14">
        <v>9</v>
      </c>
      <c r="G993" s="14">
        <v>8</v>
      </c>
      <c r="H993" s="14">
        <v>50.69</v>
      </c>
      <c r="I993" s="14">
        <f>'PIVOT TABLES'!$B$26</f>
        <v>60.283999999999999</v>
      </c>
      <c r="J993" s="14">
        <f>'PIVOT TABLES'!$B$27-'PIVOT TABLES'!$B$26</f>
        <v>30.142000000000003</v>
      </c>
      <c r="K993" s="14">
        <f>'PIVOT TABLES'!$B$28-'PIVOT TABLES'!$B$27</f>
        <v>30.141999999999996</v>
      </c>
      <c r="L993" s="14">
        <f>200-SUM(Table3[[#This Row],[D - LIGHT]:[D - VIGOROUS]])</f>
        <v>79.432000000000002</v>
      </c>
      <c r="M993" s="14">
        <f>'PIVOT TABLES'!$I$26</f>
        <v>65.603999999999999</v>
      </c>
      <c r="N993" s="14">
        <f>'PIVOT TABLES'!$I$27-'PIVOT TABLES'!$I$26</f>
        <v>32.802000000000007</v>
      </c>
      <c r="O993" s="14">
        <f>'PIVOT TABLES'!$I$28-'PIVOT TABLES'!$I$27</f>
        <v>32.801999999999992</v>
      </c>
      <c r="P993" s="14">
        <f>200-SUM(Table3[[#This Row],[M - LIGHT]:[M - VIGOROUS]])</f>
        <v>68.792000000000002</v>
      </c>
      <c r="Q993" s="14">
        <f>'PIVOT TABLES'!$P$26</f>
        <v>62.64</v>
      </c>
      <c r="R993" s="14">
        <f>'PIVOT TABLES'!$P$27-'PIVOT TABLES'!$P$26</f>
        <v>31.320000000000007</v>
      </c>
      <c r="S993" s="14">
        <f>'PIVOT TABLES'!$P$28-'PIVOT TABLES'!$P$27</f>
        <v>31.319999999999993</v>
      </c>
      <c r="T993" s="14">
        <f>200-SUM(Table3[[#This Row],[W - LIGHT]:[W - VIGOROUS]])</f>
        <v>74.72</v>
      </c>
      <c r="U993" s="14">
        <f>'PIVOT TABLES'!$W$26</f>
        <v>55.895999999999994</v>
      </c>
      <c r="V993" s="14">
        <f>'PIVOT TABLES'!$W$27-'PIVOT TABLES'!$W$26</f>
        <v>27.948</v>
      </c>
      <c r="W993" s="14">
        <f>'PIVOT TABLES'!$W$28-'PIVOT TABLES'!$W$27</f>
        <v>27.947999999999993</v>
      </c>
      <c r="X993" s="14">
        <f>200-SUM(Table3[[#This Row],[S - LIGHT]:[S - VIGOROUS]])</f>
        <v>88.208000000000013</v>
      </c>
    </row>
    <row r="994" spans="1:24" x14ac:dyDescent="0.25">
      <c r="A994" s="17" t="s">
        <v>56</v>
      </c>
      <c r="B994" s="13" t="str">
        <f t="shared" si="15"/>
        <v>Midfielder</v>
      </c>
      <c r="C994" s="7">
        <v>45357.787280092591</v>
      </c>
      <c r="D994" s="14">
        <v>7182</v>
      </c>
      <c r="E994" s="14">
        <v>35</v>
      </c>
      <c r="F994" s="14">
        <v>12</v>
      </c>
      <c r="G994" s="14">
        <v>8</v>
      </c>
      <c r="H994" s="14">
        <v>73.510000000000005</v>
      </c>
      <c r="I994" s="14">
        <f>'PIVOT TABLES'!$B$26</f>
        <v>60.283999999999999</v>
      </c>
      <c r="J994" s="14">
        <f>'PIVOT TABLES'!$B$27-'PIVOT TABLES'!$B$26</f>
        <v>30.142000000000003</v>
      </c>
      <c r="K994" s="14">
        <f>'PIVOT TABLES'!$B$28-'PIVOT TABLES'!$B$27</f>
        <v>30.141999999999996</v>
      </c>
      <c r="L994" s="14">
        <f>200-SUM(Table3[[#This Row],[D - LIGHT]:[D - VIGOROUS]])</f>
        <v>79.432000000000002</v>
      </c>
      <c r="M994" s="14">
        <f>'PIVOT TABLES'!$I$26</f>
        <v>65.603999999999999</v>
      </c>
      <c r="N994" s="14">
        <f>'PIVOT TABLES'!$I$27-'PIVOT TABLES'!$I$26</f>
        <v>32.802000000000007</v>
      </c>
      <c r="O994" s="14">
        <f>'PIVOT TABLES'!$I$28-'PIVOT TABLES'!$I$27</f>
        <v>32.801999999999992</v>
      </c>
      <c r="P994" s="14">
        <f>200-SUM(Table3[[#This Row],[M - LIGHT]:[M - VIGOROUS]])</f>
        <v>68.792000000000002</v>
      </c>
      <c r="Q994" s="14">
        <f>'PIVOT TABLES'!$P$26</f>
        <v>62.64</v>
      </c>
      <c r="R994" s="14">
        <f>'PIVOT TABLES'!$P$27-'PIVOT TABLES'!$P$26</f>
        <v>31.320000000000007</v>
      </c>
      <c r="S994" s="14">
        <f>'PIVOT TABLES'!$P$28-'PIVOT TABLES'!$P$27</f>
        <v>31.319999999999993</v>
      </c>
      <c r="T994" s="14">
        <f>200-SUM(Table3[[#This Row],[W - LIGHT]:[W - VIGOROUS]])</f>
        <v>74.72</v>
      </c>
      <c r="U994" s="14">
        <f>'PIVOT TABLES'!$W$26</f>
        <v>55.895999999999994</v>
      </c>
      <c r="V994" s="14">
        <f>'PIVOT TABLES'!$W$27-'PIVOT TABLES'!$W$26</f>
        <v>27.948</v>
      </c>
      <c r="W994" s="14">
        <f>'PIVOT TABLES'!$W$28-'PIVOT TABLES'!$W$27</f>
        <v>27.947999999999993</v>
      </c>
      <c r="X994" s="14">
        <f>200-SUM(Table3[[#This Row],[S - LIGHT]:[S - VIGOROUS]])</f>
        <v>88.208000000000013</v>
      </c>
    </row>
    <row r="995" spans="1:24" x14ac:dyDescent="0.25">
      <c r="A995" s="17" t="s">
        <v>94</v>
      </c>
      <c r="B995" s="13" t="str">
        <f t="shared" si="15"/>
        <v>Defender</v>
      </c>
      <c r="C995" s="7">
        <v>45357.787280092591</v>
      </c>
      <c r="D995" s="14">
        <v>5991</v>
      </c>
      <c r="E995" s="14">
        <v>44</v>
      </c>
      <c r="F995" s="14">
        <v>5</v>
      </c>
      <c r="G995" s="14">
        <v>10</v>
      </c>
      <c r="H995" s="14">
        <v>61.63</v>
      </c>
      <c r="I995" s="14">
        <f>'PIVOT TABLES'!$B$26</f>
        <v>60.283999999999999</v>
      </c>
      <c r="J995" s="14">
        <f>'PIVOT TABLES'!$B$27-'PIVOT TABLES'!$B$26</f>
        <v>30.142000000000003</v>
      </c>
      <c r="K995" s="14">
        <f>'PIVOT TABLES'!$B$28-'PIVOT TABLES'!$B$27</f>
        <v>30.141999999999996</v>
      </c>
      <c r="L995" s="14">
        <f>200-SUM(Table3[[#This Row],[D - LIGHT]:[D - VIGOROUS]])</f>
        <v>79.432000000000002</v>
      </c>
      <c r="M995" s="14">
        <f>'PIVOT TABLES'!$I$26</f>
        <v>65.603999999999999</v>
      </c>
      <c r="N995" s="14">
        <f>'PIVOT TABLES'!$I$27-'PIVOT TABLES'!$I$26</f>
        <v>32.802000000000007</v>
      </c>
      <c r="O995" s="14">
        <f>'PIVOT TABLES'!$I$28-'PIVOT TABLES'!$I$27</f>
        <v>32.801999999999992</v>
      </c>
      <c r="P995" s="14">
        <f>200-SUM(Table3[[#This Row],[M - LIGHT]:[M - VIGOROUS]])</f>
        <v>68.792000000000002</v>
      </c>
      <c r="Q995" s="14">
        <f>'PIVOT TABLES'!$P$26</f>
        <v>62.64</v>
      </c>
      <c r="R995" s="14">
        <f>'PIVOT TABLES'!$P$27-'PIVOT TABLES'!$P$26</f>
        <v>31.320000000000007</v>
      </c>
      <c r="S995" s="14">
        <f>'PIVOT TABLES'!$P$28-'PIVOT TABLES'!$P$27</f>
        <v>31.319999999999993</v>
      </c>
      <c r="T995" s="14">
        <f>200-SUM(Table3[[#This Row],[W - LIGHT]:[W - VIGOROUS]])</f>
        <v>74.72</v>
      </c>
      <c r="U995" s="14">
        <f>'PIVOT TABLES'!$W$26</f>
        <v>55.895999999999994</v>
      </c>
      <c r="V995" s="14">
        <f>'PIVOT TABLES'!$W$27-'PIVOT TABLES'!$W$26</f>
        <v>27.948</v>
      </c>
      <c r="W995" s="14">
        <f>'PIVOT TABLES'!$W$28-'PIVOT TABLES'!$W$27</f>
        <v>27.947999999999993</v>
      </c>
      <c r="X995" s="14">
        <f>200-SUM(Table3[[#This Row],[S - LIGHT]:[S - VIGOROUS]])</f>
        <v>88.208000000000013</v>
      </c>
    </row>
    <row r="996" spans="1:24" x14ac:dyDescent="0.25">
      <c r="A996" s="17" t="s">
        <v>3</v>
      </c>
      <c r="B996" s="13" t="str">
        <f t="shared" si="15"/>
        <v>Defender</v>
      </c>
      <c r="C996" s="7">
        <v>45357.787280092591</v>
      </c>
      <c r="D996" s="14">
        <v>5981</v>
      </c>
      <c r="E996" s="14">
        <v>52</v>
      </c>
      <c r="F996" s="14">
        <v>22</v>
      </c>
      <c r="G996" s="14">
        <v>18</v>
      </c>
      <c r="H996" s="14">
        <v>62.61</v>
      </c>
      <c r="I996" s="14">
        <f>'PIVOT TABLES'!$B$26</f>
        <v>60.283999999999999</v>
      </c>
      <c r="J996" s="14">
        <f>'PIVOT TABLES'!$B$27-'PIVOT TABLES'!$B$26</f>
        <v>30.142000000000003</v>
      </c>
      <c r="K996" s="14">
        <f>'PIVOT TABLES'!$B$28-'PIVOT TABLES'!$B$27</f>
        <v>30.141999999999996</v>
      </c>
      <c r="L996" s="14">
        <f>200-SUM(Table3[[#This Row],[D - LIGHT]:[D - VIGOROUS]])</f>
        <v>79.432000000000002</v>
      </c>
      <c r="M996" s="14">
        <f>'PIVOT TABLES'!$I$26</f>
        <v>65.603999999999999</v>
      </c>
      <c r="N996" s="14">
        <f>'PIVOT TABLES'!$I$27-'PIVOT TABLES'!$I$26</f>
        <v>32.802000000000007</v>
      </c>
      <c r="O996" s="14">
        <f>'PIVOT TABLES'!$I$28-'PIVOT TABLES'!$I$27</f>
        <v>32.801999999999992</v>
      </c>
      <c r="P996" s="14">
        <f>200-SUM(Table3[[#This Row],[M - LIGHT]:[M - VIGOROUS]])</f>
        <v>68.792000000000002</v>
      </c>
      <c r="Q996" s="14">
        <f>'PIVOT TABLES'!$P$26</f>
        <v>62.64</v>
      </c>
      <c r="R996" s="14">
        <f>'PIVOT TABLES'!$P$27-'PIVOT TABLES'!$P$26</f>
        <v>31.320000000000007</v>
      </c>
      <c r="S996" s="14">
        <f>'PIVOT TABLES'!$P$28-'PIVOT TABLES'!$P$27</f>
        <v>31.319999999999993</v>
      </c>
      <c r="T996" s="14">
        <f>200-SUM(Table3[[#This Row],[W - LIGHT]:[W - VIGOROUS]])</f>
        <v>74.72</v>
      </c>
      <c r="U996" s="14">
        <f>'PIVOT TABLES'!$W$26</f>
        <v>55.895999999999994</v>
      </c>
      <c r="V996" s="14">
        <f>'PIVOT TABLES'!$W$27-'PIVOT TABLES'!$W$26</f>
        <v>27.948</v>
      </c>
      <c r="W996" s="14">
        <f>'PIVOT TABLES'!$W$28-'PIVOT TABLES'!$W$27</f>
        <v>27.947999999999993</v>
      </c>
      <c r="X996" s="14">
        <f>200-SUM(Table3[[#This Row],[S - LIGHT]:[S - VIGOROUS]])</f>
        <v>88.208000000000013</v>
      </c>
    </row>
    <row r="997" spans="1:24" x14ac:dyDescent="0.25">
      <c r="A997" s="17" t="s">
        <v>59</v>
      </c>
      <c r="B997" s="13" t="str">
        <f t="shared" si="15"/>
        <v>Striker</v>
      </c>
      <c r="C997" s="7">
        <v>45357.787280092591</v>
      </c>
      <c r="D997" s="14">
        <v>6177</v>
      </c>
      <c r="E997" s="14">
        <v>66</v>
      </c>
      <c r="F997" s="14">
        <v>27</v>
      </c>
      <c r="G997" s="14">
        <v>25</v>
      </c>
      <c r="H997" s="14">
        <v>65.33</v>
      </c>
      <c r="I997" s="14">
        <f>'PIVOT TABLES'!$B$26</f>
        <v>60.283999999999999</v>
      </c>
      <c r="J997" s="14">
        <f>'PIVOT TABLES'!$B$27-'PIVOT TABLES'!$B$26</f>
        <v>30.142000000000003</v>
      </c>
      <c r="K997" s="14">
        <f>'PIVOT TABLES'!$B$28-'PIVOT TABLES'!$B$27</f>
        <v>30.141999999999996</v>
      </c>
      <c r="L997" s="14">
        <f>200-SUM(Table3[[#This Row],[D - LIGHT]:[D - VIGOROUS]])</f>
        <v>79.432000000000002</v>
      </c>
      <c r="M997" s="14">
        <f>'PIVOT TABLES'!$I$26</f>
        <v>65.603999999999999</v>
      </c>
      <c r="N997" s="14">
        <f>'PIVOT TABLES'!$I$27-'PIVOT TABLES'!$I$26</f>
        <v>32.802000000000007</v>
      </c>
      <c r="O997" s="14">
        <f>'PIVOT TABLES'!$I$28-'PIVOT TABLES'!$I$27</f>
        <v>32.801999999999992</v>
      </c>
      <c r="P997" s="14">
        <f>200-SUM(Table3[[#This Row],[M - LIGHT]:[M - VIGOROUS]])</f>
        <v>68.792000000000002</v>
      </c>
      <c r="Q997" s="14">
        <f>'PIVOT TABLES'!$P$26</f>
        <v>62.64</v>
      </c>
      <c r="R997" s="14">
        <f>'PIVOT TABLES'!$P$27-'PIVOT TABLES'!$P$26</f>
        <v>31.320000000000007</v>
      </c>
      <c r="S997" s="14">
        <f>'PIVOT TABLES'!$P$28-'PIVOT TABLES'!$P$27</f>
        <v>31.319999999999993</v>
      </c>
      <c r="T997" s="14">
        <f>200-SUM(Table3[[#This Row],[W - LIGHT]:[W - VIGOROUS]])</f>
        <v>74.72</v>
      </c>
      <c r="U997" s="14">
        <f>'PIVOT TABLES'!$W$26</f>
        <v>55.895999999999994</v>
      </c>
      <c r="V997" s="14">
        <f>'PIVOT TABLES'!$W$27-'PIVOT TABLES'!$W$26</f>
        <v>27.948</v>
      </c>
      <c r="W997" s="14">
        <f>'PIVOT TABLES'!$W$28-'PIVOT TABLES'!$W$27</f>
        <v>27.947999999999993</v>
      </c>
      <c r="X997" s="14">
        <f>200-SUM(Table3[[#This Row],[S - LIGHT]:[S - VIGOROUS]])</f>
        <v>88.208000000000013</v>
      </c>
    </row>
    <row r="998" spans="1:24" x14ac:dyDescent="0.25">
      <c r="A998" s="17" t="s">
        <v>4</v>
      </c>
      <c r="B998" s="13" t="str">
        <f t="shared" si="15"/>
        <v>Midfielder</v>
      </c>
      <c r="C998" s="7">
        <v>45357.787280092591</v>
      </c>
      <c r="D998" s="14">
        <v>3553</v>
      </c>
      <c r="E998" s="14">
        <v>10</v>
      </c>
      <c r="F998" s="14">
        <v>7</v>
      </c>
      <c r="G998" s="14">
        <v>9</v>
      </c>
      <c r="H998" s="14">
        <v>36.29</v>
      </c>
      <c r="I998" s="14">
        <f>'PIVOT TABLES'!$B$26</f>
        <v>60.283999999999999</v>
      </c>
      <c r="J998" s="14">
        <f>'PIVOT TABLES'!$B$27-'PIVOT TABLES'!$B$26</f>
        <v>30.142000000000003</v>
      </c>
      <c r="K998" s="14">
        <f>'PIVOT TABLES'!$B$28-'PIVOT TABLES'!$B$27</f>
        <v>30.141999999999996</v>
      </c>
      <c r="L998" s="14">
        <f>200-SUM(Table3[[#This Row],[D - LIGHT]:[D - VIGOROUS]])</f>
        <v>79.432000000000002</v>
      </c>
      <c r="M998" s="14">
        <f>'PIVOT TABLES'!$I$26</f>
        <v>65.603999999999999</v>
      </c>
      <c r="N998" s="14">
        <f>'PIVOT TABLES'!$I$27-'PIVOT TABLES'!$I$26</f>
        <v>32.802000000000007</v>
      </c>
      <c r="O998" s="14">
        <f>'PIVOT TABLES'!$I$28-'PIVOT TABLES'!$I$27</f>
        <v>32.801999999999992</v>
      </c>
      <c r="P998" s="14">
        <f>200-SUM(Table3[[#This Row],[M - LIGHT]:[M - VIGOROUS]])</f>
        <v>68.792000000000002</v>
      </c>
      <c r="Q998" s="14">
        <f>'PIVOT TABLES'!$P$26</f>
        <v>62.64</v>
      </c>
      <c r="R998" s="14">
        <f>'PIVOT TABLES'!$P$27-'PIVOT TABLES'!$P$26</f>
        <v>31.320000000000007</v>
      </c>
      <c r="S998" s="14">
        <f>'PIVOT TABLES'!$P$28-'PIVOT TABLES'!$P$27</f>
        <v>31.319999999999993</v>
      </c>
      <c r="T998" s="14">
        <f>200-SUM(Table3[[#This Row],[W - LIGHT]:[W - VIGOROUS]])</f>
        <v>74.72</v>
      </c>
      <c r="U998" s="14">
        <f>'PIVOT TABLES'!$W$26</f>
        <v>55.895999999999994</v>
      </c>
      <c r="V998" s="14">
        <f>'PIVOT TABLES'!$W$27-'PIVOT TABLES'!$W$26</f>
        <v>27.948</v>
      </c>
      <c r="W998" s="14">
        <f>'PIVOT TABLES'!$W$28-'PIVOT TABLES'!$W$27</f>
        <v>27.947999999999993</v>
      </c>
      <c r="X998" s="14">
        <f>200-SUM(Table3[[#This Row],[S - LIGHT]:[S - VIGOROUS]])</f>
        <v>88.208000000000013</v>
      </c>
    </row>
    <row r="999" spans="1:24" x14ac:dyDescent="0.25">
      <c r="A999" s="17" t="s">
        <v>60</v>
      </c>
      <c r="B999" s="13" t="str">
        <f t="shared" si="15"/>
        <v>Winger</v>
      </c>
      <c r="C999" s="7">
        <v>45357.787280092591</v>
      </c>
      <c r="D999" s="14">
        <v>7336</v>
      </c>
      <c r="E999" s="14">
        <v>205</v>
      </c>
      <c r="F999" s="14">
        <v>42</v>
      </c>
      <c r="G999" s="14">
        <v>20</v>
      </c>
      <c r="H999" s="14">
        <v>81.59</v>
      </c>
      <c r="I999" s="14">
        <f>'PIVOT TABLES'!$B$26</f>
        <v>60.283999999999999</v>
      </c>
      <c r="J999" s="14">
        <f>'PIVOT TABLES'!$B$27-'PIVOT TABLES'!$B$26</f>
        <v>30.142000000000003</v>
      </c>
      <c r="K999" s="14">
        <f>'PIVOT TABLES'!$B$28-'PIVOT TABLES'!$B$27</f>
        <v>30.141999999999996</v>
      </c>
      <c r="L999" s="14">
        <f>200-SUM(Table3[[#This Row],[D - LIGHT]:[D - VIGOROUS]])</f>
        <v>79.432000000000002</v>
      </c>
      <c r="M999" s="14">
        <f>'PIVOT TABLES'!$I$26</f>
        <v>65.603999999999999</v>
      </c>
      <c r="N999" s="14">
        <f>'PIVOT TABLES'!$I$27-'PIVOT TABLES'!$I$26</f>
        <v>32.802000000000007</v>
      </c>
      <c r="O999" s="14">
        <f>'PIVOT TABLES'!$I$28-'PIVOT TABLES'!$I$27</f>
        <v>32.801999999999992</v>
      </c>
      <c r="P999" s="14">
        <f>200-SUM(Table3[[#This Row],[M - LIGHT]:[M - VIGOROUS]])</f>
        <v>68.792000000000002</v>
      </c>
      <c r="Q999" s="14">
        <f>'PIVOT TABLES'!$P$26</f>
        <v>62.64</v>
      </c>
      <c r="R999" s="14">
        <f>'PIVOT TABLES'!$P$27-'PIVOT TABLES'!$P$26</f>
        <v>31.320000000000007</v>
      </c>
      <c r="S999" s="14">
        <f>'PIVOT TABLES'!$P$28-'PIVOT TABLES'!$P$27</f>
        <v>31.319999999999993</v>
      </c>
      <c r="T999" s="14">
        <f>200-SUM(Table3[[#This Row],[W - LIGHT]:[W - VIGOROUS]])</f>
        <v>74.72</v>
      </c>
      <c r="U999" s="14">
        <f>'PIVOT TABLES'!$W$26</f>
        <v>55.895999999999994</v>
      </c>
      <c r="V999" s="14">
        <f>'PIVOT TABLES'!$W$27-'PIVOT TABLES'!$W$26</f>
        <v>27.948</v>
      </c>
      <c r="W999" s="14">
        <f>'PIVOT TABLES'!$W$28-'PIVOT TABLES'!$W$27</f>
        <v>27.947999999999993</v>
      </c>
      <c r="X999" s="14">
        <f>200-SUM(Table3[[#This Row],[S - LIGHT]:[S - VIGOROUS]])</f>
        <v>88.208000000000013</v>
      </c>
    </row>
    <row r="1000" spans="1:24" x14ac:dyDescent="0.25">
      <c r="A1000" s="17" t="s">
        <v>71</v>
      </c>
      <c r="B1000" s="13" t="str">
        <f t="shared" si="15"/>
        <v>Midfielder</v>
      </c>
      <c r="C1000" s="7">
        <v>45357.787280092591</v>
      </c>
      <c r="D1000" s="14">
        <v>3540</v>
      </c>
      <c r="E1000" s="14">
        <v>9</v>
      </c>
      <c r="F1000" s="14">
        <v>5</v>
      </c>
      <c r="G1000" s="14">
        <v>5</v>
      </c>
      <c r="H1000" s="14">
        <v>35.97</v>
      </c>
      <c r="I1000" s="14">
        <f>'PIVOT TABLES'!$B$26</f>
        <v>60.283999999999999</v>
      </c>
      <c r="J1000" s="14">
        <f>'PIVOT TABLES'!$B$27-'PIVOT TABLES'!$B$26</f>
        <v>30.142000000000003</v>
      </c>
      <c r="K1000" s="14">
        <f>'PIVOT TABLES'!$B$28-'PIVOT TABLES'!$B$27</f>
        <v>30.141999999999996</v>
      </c>
      <c r="L1000" s="14">
        <f>200-SUM(Table3[[#This Row],[D - LIGHT]:[D - VIGOROUS]])</f>
        <v>79.432000000000002</v>
      </c>
      <c r="M1000" s="14">
        <f>'PIVOT TABLES'!$I$26</f>
        <v>65.603999999999999</v>
      </c>
      <c r="N1000" s="14">
        <f>'PIVOT TABLES'!$I$27-'PIVOT TABLES'!$I$26</f>
        <v>32.802000000000007</v>
      </c>
      <c r="O1000" s="14">
        <f>'PIVOT TABLES'!$I$28-'PIVOT TABLES'!$I$27</f>
        <v>32.801999999999992</v>
      </c>
      <c r="P1000" s="14">
        <f>200-SUM(Table3[[#This Row],[M - LIGHT]:[M - VIGOROUS]])</f>
        <v>68.792000000000002</v>
      </c>
      <c r="Q1000" s="14">
        <f>'PIVOT TABLES'!$P$26</f>
        <v>62.64</v>
      </c>
      <c r="R1000" s="14">
        <f>'PIVOT TABLES'!$P$27-'PIVOT TABLES'!$P$26</f>
        <v>31.320000000000007</v>
      </c>
      <c r="S1000" s="14">
        <f>'PIVOT TABLES'!$P$28-'PIVOT TABLES'!$P$27</f>
        <v>31.319999999999993</v>
      </c>
      <c r="T1000" s="14">
        <f>200-SUM(Table3[[#This Row],[W - LIGHT]:[W - VIGOROUS]])</f>
        <v>74.72</v>
      </c>
      <c r="U1000" s="14">
        <f>'PIVOT TABLES'!$W$26</f>
        <v>55.895999999999994</v>
      </c>
      <c r="V1000" s="14">
        <f>'PIVOT TABLES'!$W$27-'PIVOT TABLES'!$W$26</f>
        <v>27.948</v>
      </c>
      <c r="W1000" s="14">
        <f>'PIVOT TABLES'!$W$28-'PIVOT TABLES'!$W$27</f>
        <v>27.947999999999993</v>
      </c>
      <c r="X1000" s="14">
        <f>200-SUM(Table3[[#This Row],[S - LIGHT]:[S - VIGOROUS]])</f>
        <v>88.208000000000013</v>
      </c>
    </row>
    <row r="1001" spans="1:24" x14ac:dyDescent="0.25">
      <c r="A1001" s="17" t="s">
        <v>5</v>
      </c>
      <c r="B1001" s="13" t="str">
        <f t="shared" si="15"/>
        <v>Midfielder</v>
      </c>
      <c r="C1001" s="7">
        <v>45357.787280092591</v>
      </c>
      <c r="D1001" s="14">
        <v>6732</v>
      </c>
      <c r="E1001" s="14">
        <v>85</v>
      </c>
      <c r="F1001" s="14">
        <v>20</v>
      </c>
      <c r="G1001" s="14">
        <v>23</v>
      </c>
      <c r="H1001" s="14">
        <v>71.13</v>
      </c>
      <c r="I1001" s="14">
        <f>'PIVOT TABLES'!$B$26</f>
        <v>60.283999999999999</v>
      </c>
      <c r="J1001" s="14">
        <f>'PIVOT TABLES'!$B$27-'PIVOT TABLES'!$B$26</f>
        <v>30.142000000000003</v>
      </c>
      <c r="K1001" s="14">
        <f>'PIVOT TABLES'!$B$28-'PIVOT TABLES'!$B$27</f>
        <v>30.141999999999996</v>
      </c>
      <c r="L1001" s="14">
        <f>200-SUM(Table3[[#This Row],[D - LIGHT]:[D - VIGOROUS]])</f>
        <v>79.432000000000002</v>
      </c>
      <c r="M1001" s="14">
        <f>'PIVOT TABLES'!$I$26</f>
        <v>65.603999999999999</v>
      </c>
      <c r="N1001" s="14">
        <f>'PIVOT TABLES'!$I$27-'PIVOT TABLES'!$I$26</f>
        <v>32.802000000000007</v>
      </c>
      <c r="O1001" s="14">
        <f>'PIVOT TABLES'!$I$28-'PIVOT TABLES'!$I$27</f>
        <v>32.801999999999992</v>
      </c>
      <c r="P1001" s="14">
        <f>200-SUM(Table3[[#This Row],[M - LIGHT]:[M - VIGOROUS]])</f>
        <v>68.792000000000002</v>
      </c>
      <c r="Q1001" s="14">
        <f>'PIVOT TABLES'!$P$26</f>
        <v>62.64</v>
      </c>
      <c r="R1001" s="14">
        <f>'PIVOT TABLES'!$P$27-'PIVOT TABLES'!$P$26</f>
        <v>31.320000000000007</v>
      </c>
      <c r="S1001" s="14">
        <f>'PIVOT TABLES'!$P$28-'PIVOT TABLES'!$P$27</f>
        <v>31.319999999999993</v>
      </c>
      <c r="T1001" s="14">
        <f>200-SUM(Table3[[#This Row],[W - LIGHT]:[W - VIGOROUS]])</f>
        <v>74.72</v>
      </c>
      <c r="U1001" s="14">
        <f>'PIVOT TABLES'!$W$26</f>
        <v>55.895999999999994</v>
      </c>
      <c r="V1001" s="14">
        <f>'PIVOT TABLES'!$W$27-'PIVOT TABLES'!$W$26</f>
        <v>27.948</v>
      </c>
      <c r="W1001" s="14">
        <f>'PIVOT TABLES'!$W$28-'PIVOT TABLES'!$W$27</f>
        <v>27.947999999999993</v>
      </c>
      <c r="X1001" s="14">
        <f>200-SUM(Table3[[#This Row],[S - LIGHT]:[S - VIGOROUS]])</f>
        <v>88.208000000000013</v>
      </c>
    </row>
    <row r="1002" spans="1:24" x14ac:dyDescent="0.25">
      <c r="A1002" s="17" t="s">
        <v>6</v>
      </c>
      <c r="B1002" s="13" t="str">
        <f t="shared" si="15"/>
        <v>Midfielder</v>
      </c>
      <c r="C1002" s="7">
        <v>45357.787280092591</v>
      </c>
      <c r="D1002" s="14">
        <v>7447</v>
      </c>
      <c r="E1002" s="14">
        <v>185</v>
      </c>
      <c r="F1002" s="14">
        <v>38</v>
      </c>
      <c r="G1002" s="14">
        <v>22</v>
      </c>
      <c r="H1002" s="14">
        <v>81.98</v>
      </c>
      <c r="I1002" s="14">
        <f>'PIVOT TABLES'!$B$26</f>
        <v>60.283999999999999</v>
      </c>
      <c r="J1002" s="14">
        <f>'PIVOT TABLES'!$B$27-'PIVOT TABLES'!$B$26</f>
        <v>30.142000000000003</v>
      </c>
      <c r="K1002" s="14">
        <f>'PIVOT TABLES'!$B$28-'PIVOT TABLES'!$B$27</f>
        <v>30.141999999999996</v>
      </c>
      <c r="L1002" s="14">
        <f>200-SUM(Table3[[#This Row],[D - LIGHT]:[D - VIGOROUS]])</f>
        <v>79.432000000000002</v>
      </c>
      <c r="M1002" s="14">
        <f>'PIVOT TABLES'!$I$26</f>
        <v>65.603999999999999</v>
      </c>
      <c r="N1002" s="14">
        <f>'PIVOT TABLES'!$I$27-'PIVOT TABLES'!$I$26</f>
        <v>32.802000000000007</v>
      </c>
      <c r="O1002" s="14">
        <f>'PIVOT TABLES'!$I$28-'PIVOT TABLES'!$I$27</f>
        <v>32.801999999999992</v>
      </c>
      <c r="P1002" s="14">
        <f>200-SUM(Table3[[#This Row],[M - LIGHT]:[M - VIGOROUS]])</f>
        <v>68.792000000000002</v>
      </c>
      <c r="Q1002" s="14">
        <f>'PIVOT TABLES'!$P$26</f>
        <v>62.64</v>
      </c>
      <c r="R1002" s="14">
        <f>'PIVOT TABLES'!$P$27-'PIVOT TABLES'!$P$26</f>
        <v>31.320000000000007</v>
      </c>
      <c r="S1002" s="14">
        <f>'PIVOT TABLES'!$P$28-'PIVOT TABLES'!$P$27</f>
        <v>31.319999999999993</v>
      </c>
      <c r="T1002" s="14">
        <f>200-SUM(Table3[[#This Row],[W - LIGHT]:[W - VIGOROUS]])</f>
        <v>74.72</v>
      </c>
      <c r="U1002" s="14">
        <f>'PIVOT TABLES'!$W$26</f>
        <v>55.895999999999994</v>
      </c>
      <c r="V1002" s="14">
        <f>'PIVOT TABLES'!$W$27-'PIVOT TABLES'!$W$26</f>
        <v>27.948</v>
      </c>
      <c r="W1002" s="14">
        <f>'PIVOT TABLES'!$W$28-'PIVOT TABLES'!$W$27</f>
        <v>27.947999999999993</v>
      </c>
      <c r="X1002" s="14">
        <f>200-SUM(Table3[[#This Row],[S - LIGHT]:[S - VIGOROUS]])</f>
        <v>88.208000000000013</v>
      </c>
    </row>
    <row r="1003" spans="1:24" x14ac:dyDescent="0.25">
      <c r="A1003" s="17" t="s">
        <v>62</v>
      </c>
      <c r="B1003" s="13" t="str">
        <f t="shared" si="15"/>
        <v>Midfielder</v>
      </c>
      <c r="C1003" s="7">
        <v>45357.787280092591</v>
      </c>
      <c r="D1003" s="14">
        <v>6660</v>
      </c>
      <c r="E1003" s="14">
        <v>82</v>
      </c>
      <c r="F1003" s="14">
        <v>26</v>
      </c>
      <c r="G1003" s="14">
        <v>14</v>
      </c>
      <c r="H1003" s="14">
        <v>70.38</v>
      </c>
      <c r="I1003" s="14">
        <f>'PIVOT TABLES'!$B$26</f>
        <v>60.283999999999999</v>
      </c>
      <c r="J1003" s="14">
        <f>'PIVOT TABLES'!$B$27-'PIVOT TABLES'!$B$26</f>
        <v>30.142000000000003</v>
      </c>
      <c r="K1003" s="14">
        <f>'PIVOT TABLES'!$B$28-'PIVOT TABLES'!$B$27</f>
        <v>30.141999999999996</v>
      </c>
      <c r="L1003" s="14">
        <f>200-SUM(Table3[[#This Row],[D - LIGHT]:[D - VIGOROUS]])</f>
        <v>79.432000000000002</v>
      </c>
      <c r="M1003" s="14">
        <f>'PIVOT TABLES'!$I$26</f>
        <v>65.603999999999999</v>
      </c>
      <c r="N1003" s="14">
        <f>'PIVOT TABLES'!$I$27-'PIVOT TABLES'!$I$26</f>
        <v>32.802000000000007</v>
      </c>
      <c r="O1003" s="14">
        <f>'PIVOT TABLES'!$I$28-'PIVOT TABLES'!$I$27</f>
        <v>32.801999999999992</v>
      </c>
      <c r="P1003" s="14">
        <f>200-SUM(Table3[[#This Row],[M - LIGHT]:[M - VIGOROUS]])</f>
        <v>68.792000000000002</v>
      </c>
      <c r="Q1003" s="14">
        <f>'PIVOT TABLES'!$P$26</f>
        <v>62.64</v>
      </c>
      <c r="R1003" s="14">
        <f>'PIVOT TABLES'!$P$27-'PIVOT TABLES'!$P$26</f>
        <v>31.320000000000007</v>
      </c>
      <c r="S1003" s="14">
        <f>'PIVOT TABLES'!$P$28-'PIVOT TABLES'!$P$27</f>
        <v>31.319999999999993</v>
      </c>
      <c r="T1003" s="14">
        <f>200-SUM(Table3[[#This Row],[W - LIGHT]:[W - VIGOROUS]])</f>
        <v>74.72</v>
      </c>
      <c r="U1003" s="14">
        <f>'PIVOT TABLES'!$W$26</f>
        <v>55.895999999999994</v>
      </c>
      <c r="V1003" s="14">
        <f>'PIVOT TABLES'!$W$27-'PIVOT TABLES'!$W$26</f>
        <v>27.948</v>
      </c>
      <c r="W1003" s="14">
        <f>'PIVOT TABLES'!$W$28-'PIVOT TABLES'!$W$27</f>
        <v>27.947999999999993</v>
      </c>
      <c r="X1003" s="14">
        <f>200-SUM(Table3[[#This Row],[S - LIGHT]:[S - VIGOROUS]])</f>
        <v>88.208000000000013</v>
      </c>
    </row>
    <row r="1004" spans="1:24" x14ac:dyDescent="0.25">
      <c r="A1004" s="17" t="s">
        <v>64</v>
      </c>
      <c r="B1004" s="13" t="str">
        <f t="shared" si="15"/>
        <v>Midfielder</v>
      </c>
      <c r="C1004" s="7">
        <v>45357.787280092591</v>
      </c>
      <c r="D1004" s="14">
        <v>6961</v>
      </c>
      <c r="E1004" s="14">
        <v>92</v>
      </c>
      <c r="F1004" s="14">
        <v>19</v>
      </c>
      <c r="G1004" s="14">
        <v>28</v>
      </c>
      <c r="H1004" s="14">
        <v>73.69</v>
      </c>
      <c r="I1004" s="14">
        <f>'PIVOT TABLES'!$B$26</f>
        <v>60.283999999999999</v>
      </c>
      <c r="J1004" s="14">
        <f>'PIVOT TABLES'!$B$27-'PIVOT TABLES'!$B$26</f>
        <v>30.142000000000003</v>
      </c>
      <c r="K1004" s="14">
        <f>'PIVOT TABLES'!$B$28-'PIVOT TABLES'!$B$27</f>
        <v>30.141999999999996</v>
      </c>
      <c r="L1004" s="14">
        <f>200-SUM(Table3[[#This Row],[D - LIGHT]:[D - VIGOROUS]])</f>
        <v>79.432000000000002</v>
      </c>
      <c r="M1004" s="14">
        <f>'PIVOT TABLES'!$I$26</f>
        <v>65.603999999999999</v>
      </c>
      <c r="N1004" s="14">
        <f>'PIVOT TABLES'!$I$27-'PIVOT TABLES'!$I$26</f>
        <v>32.802000000000007</v>
      </c>
      <c r="O1004" s="14">
        <f>'PIVOT TABLES'!$I$28-'PIVOT TABLES'!$I$27</f>
        <v>32.801999999999992</v>
      </c>
      <c r="P1004" s="14">
        <f>200-SUM(Table3[[#This Row],[M - LIGHT]:[M - VIGOROUS]])</f>
        <v>68.792000000000002</v>
      </c>
      <c r="Q1004" s="14">
        <f>'PIVOT TABLES'!$P$26</f>
        <v>62.64</v>
      </c>
      <c r="R1004" s="14">
        <f>'PIVOT TABLES'!$P$27-'PIVOT TABLES'!$P$26</f>
        <v>31.320000000000007</v>
      </c>
      <c r="S1004" s="14">
        <f>'PIVOT TABLES'!$P$28-'PIVOT TABLES'!$P$27</f>
        <v>31.319999999999993</v>
      </c>
      <c r="T1004" s="14">
        <f>200-SUM(Table3[[#This Row],[W - LIGHT]:[W - VIGOROUS]])</f>
        <v>74.72</v>
      </c>
      <c r="U1004" s="14">
        <f>'PIVOT TABLES'!$W$26</f>
        <v>55.895999999999994</v>
      </c>
      <c r="V1004" s="14">
        <f>'PIVOT TABLES'!$W$27-'PIVOT TABLES'!$W$26</f>
        <v>27.948</v>
      </c>
      <c r="W1004" s="14">
        <f>'PIVOT TABLES'!$W$28-'PIVOT TABLES'!$W$27</f>
        <v>27.947999999999993</v>
      </c>
      <c r="X1004" s="14">
        <f>200-SUM(Table3[[#This Row],[S - LIGHT]:[S - VIGOROUS]])</f>
        <v>88.208000000000013</v>
      </c>
    </row>
    <row r="1005" spans="1:24" x14ac:dyDescent="0.25">
      <c r="A1005" s="17" t="s">
        <v>65</v>
      </c>
      <c r="B1005" s="13" t="str">
        <f t="shared" si="15"/>
        <v>Winger</v>
      </c>
      <c r="C1005" s="7">
        <v>45357.787280092591</v>
      </c>
      <c r="D1005" s="14">
        <v>6620</v>
      </c>
      <c r="E1005" s="14">
        <v>119</v>
      </c>
      <c r="F1005" s="14">
        <v>24</v>
      </c>
      <c r="G1005" s="14">
        <v>16</v>
      </c>
      <c r="H1005" s="14">
        <v>71.05</v>
      </c>
      <c r="I1005" s="14">
        <f>'PIVOT TABLES'!$B$26</f>
        <v>60.283999999999999</v>
      </c>
      <c r="J1005" s="14">
        <f>'PIVOT TABLES'!$B$27-'PIVOT TABLES'!$B$26</f>
        <v>30.142000000000003</v>
      </c>
      <c r="K1005" s="14">
        <f>'PIVOT TABLES'!$B$28-'PIVOT TABLES'!$B$27</f>
        <v>30.141999999999996</v>
      </c>
      <c r="L1005" s="14">
        <f>200-SUM(Table3[[#This Row],[D - LIGHT]:[D - VIGOROUS]])</f>
        <v>79.432000000000002</v>
      </c>
      <c r="M1005" s="14">
        <f>'PIVOT TABLES'!$I$26</f>
        <v>65.603999999999999</v>
      </c>
      <c r="N1005" s="14">
        <f>'PIVOT TABLES'!$I$27-'PIVOT TABLES'!$I$26</f>
        <v>32.802000000000007</v>
      </c>
      <c r="O1005" s="14">
        <f>'PIVOT TABLES'!$I$28-'PIVOT TABLES'!$I$27</f>
        <v>32.801999999999992</v>
      </c>
      <c r="P1005" s="14">
        <f>200-SUM(Table3[[#This Row],[M - LIGHT]:[M - VIGOROUS]])</f>
        <v>68.792000000000002</v>
      </c>
      <c r="Q1005" s="14">
        <f>'PIVOT TABLES'!$P$26</f>
        <v>62.64</v>
      </c>
      <c r="R1005" s="14">
        <f>'PIVOT TABLES'!$P$27-'PIVOT TABLES'!$P$26</f>
        <v>31.320000000000007</v>
      </c>
      <c r="S1005" s="14">
        <f>'PIVOT TABLES'!$P$28-'PIVOT TABLES'!$P$27</f>
        <v>31.319999999999993</v>
      </c>
      <c r="T1005" s="14">
        <f>200-SUM(Table3[[#This Row],[W - LIGHT]:[W - VIGOROUS]])</f>
        <v>74.72</v>
      </c>
      <c r="U1005" s="14">
        <f>'PIVOT TABLES'!$W$26</f>
        <v>55.895999999999994</v>
      </c>
      <c r="V1005" s="14">
        <f>'PIVOT TABLES'!$W$27-'PIVOT TABLES'!$W$26</f>
        <v>27.948</v>
      </c>
      <c r="W1005" s="14">
        <f>'PIVOT TABLES'!$W$28-'PIVOT TABLES'!$W$27</f>
        <v>27.947999999999993</v>
      </c>
      <c r="X1005" s="14">
        <f>200-SUM(Table3[[#This Row],[S - LIGHT]:[S - VIGOROUS]])</f>
        <v>88.208000000000013</v>
      </c>
    </row>
    <row r="1006" spans="1:24" x14ac:dyDescent="0.25">
      <c r="A1006" s="17" t="s">
        <v>77</v>
      </c>
      <c r="B1006" s="13" t="str">
        <f t="shared" si="15"/>
        <v>Defender</v>
      </c>
      <c r="C1006" s="7">
        <v>45357.787280092591</v>
      </c>
      <c r="D1006" s="14">
        <v>6422</v>
      </c>
      <c r="E1006" s="14">
        <v>166</v>
      </c>
      <c r="F1006" s="14">
        <v>21</v>
      </c>
      <c r="G1006" s="14">
        <v>17</v>
      </c>
      <c r="H1006" s="14">
        <v>70.38</v>
      </c>
      <c r="I1006" s="14">
        <f>'PIVOT TABLES'!$B$26</f>
        <v>60.283999999999999</v>
      </c>
      <c r="J1006" s="14">
        <f>'PIVOT TABLES'!$B$27-'PIVOT TABLES'!$B$26</f>
        <v>30.142000000000003</v>
      </c>
      <c r="K1006" s="14">
        <f>'PIVOT TABLES'!$B$28-'PIVOT TABLES'!$B$27</f>
        <v>30.141999999999996</v>
      </c>
      <c r="L1006" s="14">
        <f>200-SUM(Table3[[#This Row],[D - LIGHT]:[D - VIGOROUS]])</f>
        <v>79.432000000000002</v>
      </c>
      <c r="M1006" s="14">
        <f>'PIVOT TABLES'!$I$26</f>
        <v>65.603999999999999</v>
      </c>
      <c r="N1006" s="14">
        <f>'PIVOT TABLES'!$I$27-'PIVOT TABLES'!$I$26</f>
        <v>32.802000000000007</v>
      </c>
      <c r="O1006" s="14">
        <f>'PIVOT TABLES'!$I$28-'PIVOT TABLES'!$I$27</f>
        <v>32.801999999999992</v>
      </c>
      <c r="P1006" s="14">
        <f>200-SUM(Table3[[#This Row],[M - LIGHT]:[M - VIGOROUS]])</f>
        <v>68.792000000000002</v>
      </c>
      <c r="Q1006" s="14">
        <f>'PIVOT TABLES'!$P$26</f>
        <v>62.64</v>
      </c>
      <c r="R1006" s="14">
        <f>'PIVOT TABLES'!$P$27-'PIVOT TABLES'!$P$26</f>
        <v>31.320000000000007</v>
      </c>
      <c r="S1006" s="14">
        <f>'PIVOT TABLES'!$P$28-'PIVOT TABLES'!$P$27</f>
        <v>31.319999999999993</v>
      </c>
      <c r="T1006" s="14">
        <f>200-SUM(Table3[[#This Row],[W - LIGHT]:[W - VIGOROUS]])</f>
        <v>74.72</v>
      </c>
      <c r="U1006" s="14">
        <f>'PIVOT TABLES'!$W$26</f>
        <v>55.895999999999994</v>
      </c>
      <c r="V1006" s="14">
        <f>'PIVOT TABLES'!$W$27-'PIVOT TABLES'!$W$26</f>
        <v>27.948</v>
      </c>
      <c r="W1006" s="14">
        <f>'PIVOT TABLES'!$W$28-'PIVOT TABLES'!$W$27</f>
        <v>27.947999999999993</v>
      </c>
      <c r="X1006" s="14">
        <f>200-SUM(Table3[[#This Row],[S - LIGHT]:[S - VIGOROUS]])</f>
        <v>88.208000000000013</v>
      </c>
    </row>
    <row r="1007" spans="1:24" x14ac:dyDescent="0.25">
      <c r="A1007" s="17" t="s">
        <v>66</v>
      </c>
      <c r="B1007" s="13" t="str">
        <f t="shared" si="15"/>
        <v>Striker</v>
      </c>
      <c r="C1007" s="7">
        <v>45357.787280092591</v>
      </c>
      <c r="D1007" s="14">
        <v>3946</v>
      </c>
      <c r="E1007" s="14">
        <v>0</v>
      </c>
      <c r="F1007" s="14">
        <v>10</v>
      </c>
      <c r="G1007" s="14">
        <v>5</v>
      </c>
      <c r="H1007" s="14">
        <v>39.96</v>
      </c>
      <c r="I1007" s="14">
        <f>'PIVOT TABLES'!$B$26</f>
        <v>60.283999999999999</v>
      </c>
      <c r="J1007" s="14">
        <f>'PIVOT TABLES'!$B$27-'PIVOT TABLES'!$B$26</f>
        <v>30.142000000000003</v>
      </c>
      <c r="K1007" s="14">
        <f>'PIVOT TABLES'!$B$28-'PIVOT TABLES'!$B$27</f>
        <v>30.141999999999996</v>
      </c>
      <c r="L1007" s="14">
        <f>200-SUM(Table3[[#This Row],[D - LIGHT]:[D - VIGOROUS]])</f>
        <v>79.432000000000002</v>
      </c>
      <c r="M1007" s="14">
        <f>'PIVOT TABLES'!$I$26</f>
        <v>65.603999999999999</v>
      </c>
      <c r="N1007" s="14">
        <f>'PIVOT TABLES'!$I$27-'PIVOT TABLES'!$I$26</f>
        <v>32.802000000000007</v>
      </c>
      <c r="O1007" s="14">
        <f>'PIVOT TABLES'!$I$28-'PIVOT TABLES'!$I$27</f>
        <v>32.801999999999992</v>
      </c>
      <c r="P1007" s="14">
        <f>200-SUM(Table3[[#This Row],[M - LIGHT]:[M - VIGOROUS]])</f>
        <v>68.792000000000002</v>
      </c>
      <c r="Q1007" s="14">
        <f>'PIVOT TABLES'!$P$26</f>
        <v>62.64</v>
      </c>
      <c r="R1007" s="14">
        <f>'PIVOT TABLES'!$P$27-'PIVOT TABLES'!$P$26</f>
        <v>31.320000000000007</v>
      </c>
      <c r="S1007" s="14">
        <f>'PIVOT TABLES'!$P$28-'PIVOT TABLES'!$P$27</f>
        <v>31.319999999999993</v>
      </c>
      <c r="T1007" s="14">
        <f>200-SUM(Table3[[#This Row],[W - LIGHT]:[W - VIGOROUS]])</f>
        <v>74.72</v>
      </c>
      <c r="U1007" s="14">
        <f>'PIVOT TABLES'!$W$26</f>
        <v>55.895999999999994</v>
      </c>
      <c r="V1007" s="14">
        <f>'PIVOT TABLES'!$W$27-'PIVOT TABLES'!$W$26</f>
        <v>27.948</v>
      </c>
      <c r="W1007" s="14">
        <f>'PIVOT TABLES'!$W$28-'PIVOT TABLES'!$W$27</f>
        <v>27.947999999999993</v>
      </c>
      <c r="X1007" s="14">
        <f>200-SUM(Table3[[#This Row],[S - LIGHT]:[S - VIGOROUS]])</f>
        <v>88.208000000000013</v>
      </c>
    </row>
    <row r="1008" spans="1:24" x14ac:dyDescent="0.25">
      <c r="A1008" s="17" t="s">
        <v>78</v>
      </c>
      <c r="B1008" s="13" t="str">
        <f t="shared" si="15"/>
        <v>Defender</v>
      </c>
      <c r="C1008" s="7">
        <v>45357.787280092591</v>
      </c>
      <c r="D1008" s="14">
        <v>6397</v>
      </c>
      <c r="E1008" s="14">
        <v>76</v>
      </c>
      <c r="F1008" s="14">
        <v>20</v>
      </c>
      <c r="G1008" s="14">
        <v>11</v>
      </c>
      <c r="H1008" s="14">
        <v>67.27</v>
      </c>
      <c r="I1008" s="14">
        <f>'PIVOT TABLES'!$B$26</f>
        <v>60.283999999999999</v>
      </c>
      <c r="J1008" s="14">
        <f>'PIVOT TABLES'!$B$27-'PIVOT TABLES'!$B$26</f>
        <v>30.142000000000003</v>
      </c>
      <c r="K1008" s="14">
        <f>'PIVOT TABLES'!$B$28-'PIVOT TABLES'!$B$27</f>
        <v>30.141999999999996</v>
      </c>
      <c r="L1008" s="14">
        <f>200-SUM(Table3[[#This Row],[D - LIGHT]:[D - VIGOROUS]])</f>
        <v>79.432000000000002</v>
      </c>
      <c r="M1008" s="14">
        <f>'PIVOT TABLES'!$I$26</f>
        <v>65.603999999999999</v>
      </c>
      <c r="N1008" s="14">
        <f>'PIVOT TABLES'!$I$27-'PIVOT TABLES'!$I$26</f>
        <v>32.802000000000007</v>
      </c>
      <c r="O1008" s="14">
        <f>'PIVOT TABLES'!$I$28-'PIVOT TABLES'!$I$27</f>
        <v>32.801999999999992</v>
      </c>
      <c r="P1008" s="14">
        <f>200-SUM(Table3[[#This Row],[M - LIGHT]:[M - VIGOROUS]])</f>
        <v>68.792000000000002</v>
      </c>
      <c r="Q1008" s="14">
        <f>'PIVOT TABLES'!$P$26</f>
        <v>62.64</v>
      </c>
      <c r="R1008" s="14">
        <f>'PIVOT TABLES'!$P$27-'PIVOT TABLES'!$P$26</f>
        <v>31.320000000000007</v>
      </c>
      <c r="S1008" s="14">
        <f>'PIVOT TABLES'!$P$28-'PIVOT TABLES'!$P$27</f>
        <v>31.319999999999993</v>
      </c>
      <c r="T1008" s="14">
        <f>200-SUM(Table3[[#This Row],[W - LIGHT]:[W - VIGOROUS]])</f>
        <v>74.72</v>
      </c>
      <c r="U1008" s="14">
        <f>'PIVOT TABLES'!$W$26</f>
        <v>55.895999999999994</v>
      </c>
      <c r="V1008" s="14">
        <f>'PIVOT TABLES'!$W$27-'PIVOT TABLES'!$W$26</f>
        <v>27.948</v>
      </c>
      <c r="W1008" s="14">
        <f>'PIVOT TABLES'!$W$28-'PIVOT TABLES'!$W$27</f>
        <v>27.947999999999993</v>
      </c>
      <c r="X1008" s="14">
        <f>200-SUM(Table3[[#This Row],[S - LIGHT]:[S - VIGOROUS]])</f>
        <v>88.208000000000013</v>
      </c>
    </row>
    <row r="1009" spans="1:24" x14ac:dyDescent="0.25">
      <c r="A1009" s="17" t="s">
        <v>95</v>
      </c>
      <c r="B1009" s="13" t="str">
        <f t="shared" si="15"/>
        <v>Winger</v>
      </c>
      <c r="C1009" s="7">
        <v>45357.787280092591</v>
      </c>
      <c r="D1009" s="14">
        <v>6669</v>
      </c>
      <c r="E1009" s="14">
        <v>56</v>
      </c>
      <c r="F1009" s="14">
        <v>10</v>
      </c>
      <c r="G1009" s="14">
        <v>15</v>
      </c>
      <c r="H1009" s="14">
        <v>69.069999999999993</v>
      </c>
      <c r="I1009" s="14">
        <f>'PIVOT TABLES'!$B$26</f>
        <v>60.283999999999999</v>
      </c>
      <c r="J1009" s="14">
        <f>'PIVOT TABLES'!$B$27-'PIVOT TABLES'!$B$26</f>
        <v>30.142000000000003</v>
      </c>
      <c r="K1009" s="14">
        <f>'PIVOT TABLES'!$B$28-'PIVOT TABLES'!$B$27</f>
        <v>30.141999999999996</v>
      </c>
      <c r="L1009" s="14">
        <f>200-SUM(Table3[[#This Row],[D - LIGHT]:[D - VIGOROUS]])</f>
        <v>79.432000000000002</v>
      </c>
      <c r="M1009" s="14">
        <f>'PIVOT TABLES'!$I$26</f>
        <v>65.603999999999999</v>
      </c>
      <c r="N1009" s="14">
        <f>'PIVOT TABLES'!$I$27-'PIVOT TABLES'!$I$26</f>
        <v>32.802000000000007</v>
      </c>
      <c r="O1009" s="14">
        <f>'PIVOT TABLES'!$I$28-'PIVOT TABLES'!$I$27</f>
        <v>32.801999999999992</v>
      </c>
      <c r="P1009" s="14">
        <f>200-SUM(Table3[[#This Row],[M - LIGHT]:[M - VIGOROUS]])</f>
        <v>68.792000000000002</v>
      </c>
      <c r="Q1009" s="14">
        <f>'PIVOT TABLES'!$P$26</f>
        <v>62.64</v>
      </c>
      <c r="R1009" s="14">
        <f>'PIVOT TABLES'!$P$27-'PIVOT TABLES'!$P$26</f>
        <v>31.320000000000007</v>
      </c>
      <c r="S1009" s="14">
        <f>'PIVOT TABLES'!$P$28-'PIVOT TABLES'!$P$27</f>
        <v>31.319999999999993</v>
      </c>
      <c r="T1009" s="14">
        <f>200-SUM(Table3[[#This Row],[W - LIGHT]:[W - VIGOROUS]])</f>
        <v>74.72</v>
      </c>
      <c r="U1009" s="14">
        <f>'PIVOT TABLES'!$W$26</f>
        <v>55.895999999999994</v>
      </c>
      <c r="V1009" s="14">
        <f>'PIVOT TABLES'!$W$27-'PIVOT TABLES'!$W$26</f>
        <v>27.948</v>
      </c>
      <c r="W1009" s="14">
        <f>'PIVOT TABLES'!$W$28-'PIVOT TABLES'!$W$27</f>
        <v>27.947999999999993</v>
      </c>
      <c r="X1009" s="14">
        <f>200-SUM(Table3[[#This Row],[S - LIGHT]:[S - VIGOROUS]])</f>
        <v>88.208000000000013</v>
      </c>
    </row>
    <row r="1010" spans="1:24" x14ac:dyDescent="0.25">
      <c r="A1010" s="17" t="s">
        <v>96</v>
      </c>
      <c r="B1010" s="13" t="str">
        <f t="shared" si="15"/>
        <v>Winger</v>
      </c>
      <c r="C1010" s="7">
        <v>45357.787280092591</v>
      </c>
      <c r="D1010" s="14">
        <v>3928</v>
      </c>
      <c r="E1010" s="14">
        <v>73</v>
      </c>
      <c r="F1010" s="14">
        <v>17</v>
      </c>
      <c r="G1010" s="14">
        <v>10</v>
      </c>
      <c r="H1010" s="14">
        <v>42.35</v>
      </c>
      <c r="I1010" s="14">
        <f>'PIVOT TABLES'!$B$26</f>
        <v>60.283999999999999</v>
      </c>
      <c r="J1010" s="14">
        <f>'PIVOT TABLES'!$B$27-'PIVOT TABLES'!$B$26</f>
        <v>30.142000000000003</v>
      </c>
      <c r="K1010" s="14">
        <f>'PIVOT TABLES'!$B$28-'PIVOT TABLES'!$B$27</f>
        <v>30.141999999999996</v>
      </c>
      <c r="L1010" s="14">
        <f>200-SUM(Table3[[#This Row],[D - LIGHT]:[D - VIGOROUS]])</f>
        <v>79.432000000000002</v>
      </c>
      <c r="M1010" s="14">
        <f>'PIVOT TABLES'!$I$26</f>
        <v>65.603999999999999</v>
      </c>
      <c r="N1010" s="14">
        <f>'PIVOT TABLES'!$I$27-'PIVOT TABLES'!$I$26</f>
        <v>32.802000000000007</v>
      </c>
      <c r="O1010" s="14">
        <f>'PIVOT TABLES'!$I$28-'PIVOT TABLES'!$I$27</f>
        <v>32.801999999999992</v>
      </c>
      <c r="P1010" s="14">
        <f>200-SUM(Table3[[#This Row],[M - LIGHT]:[M - VIGOROUS]])</f>
        <v>68.792000000000002</v>
      </c>
      <c r="Q1010" s="14">
        <f>'PIVOT TABLES'!$P$26</f>
        <v>62.64</v>
      </c>
      <c r="R1010" s="14">
        <f>'PIVOT TABLES'!$P$27-'PIVOT TABLES'!$P$26</f>
        <v>31.320000000000007</v>
      </c>
      <c r="S1010" s="14">
        <f>'PIVOT TABLES'!$P$28-'PIVOT TABLES'!$P$27</f>
        <v>31.319999999999993</v>
      </c>
      <c r="T1010" s="14">
        <f>200-SUM(Table3[[#This Row],[W - LIGHT]:[W - VIGOROUS]])</f>
        <v>74.72</v>
      </c>
      <c r="U1010" s="14">
        <f>'PIVOT TABLES'!$W$26</f>
        <v>55.895999999999994</v>
      </c>
      <c r="V1010" s="14">
        <f>'PIVOT TABLES'!$W$27-'PIVOT TABLES'!$W$26</f>
        <v>27.948</v>
      </c>
      <c r="W1010" s="14">
        <f>'PIVOT TABLES'!$W$28-'PIVOT TABLES'!$W$27</f>
        <v>27.947999999999993</v>
      </c>
      <c r="X1010" s="14">
        <f>200-SUM(Table3[[#This Row],[S - LIGHT]:[S - VIGOROUS]])</f>
        <v>88.208000000000013</v>
      </c>
    </row>
    <row r="1011" spans="1:24" x14ac:dyDescent="0.25">
      <c r="A1011" s="17" t="s">
        <v>8</v>
      </c>
      <c r="B1011" s="13" t="str">
        <f t="shared" si="15"/>
        <v>Striker</v>
      </c>
      <c r="C1011" s="7">
        <v>45357.787280092591</v>
      </c>
      <c r="D1011" s="14">
        <v>6451</v>
      </c>
      <c r="E1011" s="14">
        <v>27</v>
      </c>
      <c r="F1011" s="14">
        <v>13</v>
      </c>
      <c r="G1011" s="14">
        <v>21</v>
      </c>
      <c r="H1011" s="14">
        <v>66.260000000000005</v>
      </c>
      <c r="I1011" s="14">
        <f>'PIVOT TABLES'!$B$26</f>
        <v>60.283999999999999</v>
      </c>
      <c r="J1011" s="14">
        <f>'PIVOT TABLES'!$B$27-'PIVOT TABLES'!$B$26</f>
        <v>30.142000000000003</v>
      </c>
      <c r="K1011" s="14">
        <f>'PIVOT TABLES'!$B$28-'PIVOT TABLES'!$B$27</f>
        <v>30.141999999999996</v>
      </c>
      <c r="L1011" s="14">
        <f>200-SUM(Table3[[#This Row],[D - LIGHT]:[D - VIGOROUS]])</f>
        <v>79.432000000000002</v>
      </c>
      <c r="M1011" s="14">
        <f>'PIVOT TABLES'!$I$26</f>
        <v>65.603999999999999</v>
      </c>
      <c r="N1011" s="14">
        <f>'PIVOT TABLES'!$I$27-'PIVOT TABLES'!$I$26</f>
        <v>32.802000000000007</v>
      </c>
      <c r="O1011" s="14">
        <f>'PIVOT TABLES'!$I$28-'PIVOT TABLES'!$I$27</f>
        <v>32.801999999999992</v>
      </c>
      <c r="P1011" s="14">
        <f>200-SUM(Table3[[#This Row],[M - LIGHT]:[M - VIGOROUS]])</f>
        <v>68.792000000000002</v>
      </c>
      <c r="Q1011" s="14">
        <f>'PIVOT TABLES'!$P$26</f>
        <v>62.64</v>
      </c>
      <c r="R1011" s="14">
        <f>'PIVOT TABLES'!$P$27-'PIVOT TABLES'!$P$26</f>
        <v>31.320000000000007</v>
      </c>
      <c r="S1011" s="14">
        <f>'PIVOT TABLES'!$P$28-'PIVOT TABLES'!$P$27</f>
        <v>31.319999999999993</v>
      </c>
      <c r="T1011" s="14">
        <f>200-SUM(Table3[[#This Row],[W - LIGHT]:[W - VIGOROUS]])</f>
        <v>74.72</v>
      </c>
      <c r="U1011" s="14">
        <f>'PIVOT TABLES'!$W$26</f>
        <v>55.895999999999994</v>
      </c>
      <c r="V1011" s="14">
        <f>'PIVOT TABLES'!$W$27-'PIVOT TABLES'!$W$26</f>
        <v>27.948</v>
      </c>
      <c r="W1011" s="14">
        <f>'PIVOT TABLES'!$W$28-'PIVOT TABLES'!$W$27</f>
        <v>27.947999999999993</v>
      </c>
      <c r="X1011" s="14">
        <f>200-SUM(Table3[[#This Row],[S - LIGHT]:[S - VIGOROUS]])</f>
        <v>88.208000000000013</v>
      </c>
    </row>
    <row r="1012" spans="1:24" x14ac:dyDescent="0.25">
      <c r="A1012" s="17" t="s">
        <v>67</v>
      </c>
      <c r="B1012" s="13" t="str">
        <f t="shared" si="15"/>
        <v>Midfielder</v>
      </c>
      <c r="C1012" s="7">
        <v>45357.787280092591</v>
      </c>
      <c r="D1012" s="14">
        <v>6778</v>
      </c>
      <c r="E1012" s="14">
        <v>116</v>
      </c>
      <c r="F1012" s="14">
        <v>22</v>
      </c>
      <c r="G1012" s="14">
        <v>15</v>
      </c>
      <c r="H1012" s="14">
        <v>72.44</v>
      </c>
      <c r="I1012" s="14">
        <f>'PIVOT TABLES'!$B$26</f>
        <v>60.283999999999999</v>
      </c>
      <c r="J1012" s="14">
        <f>'PIVOT TABLES'!$B$27-'PIVOT TABLES'!$B$26</f>
        <v>30.142000000000003</v>
      </c>
      <c r="K1012" s="14">
        <f>'PIVOT TABLES'!$B$28-'PIVOT TABLES'!$B$27</f>
        <v>30.141999999999996</v>
      </c>
      <c r="L1012" s="14">
        <f>200-SUM(Table3[[#This Row],[D - LIGHT]:[D - VIGOROUS]])</f>
        <v>79.432000000000002</v>
      </c>
      <c r="M1012" s="14">
        <f>'PIVOT TABLES'!$I$26</f>
        <v>65.603999999999999</v>
      </c>
      <c r="N1012" s="14">
        <f>'PIVOT TABLES'!$I$27-'PIVOT TABLES'!$I$26</f>
        <v>32.802000000000007</v>
      </c>
      <c r="O1012" s="14">
        <f>'PIVOT TABLES'!$I$28-'PIVOT TABLES'!$I$27</f>
        <v>32.801999999999992</v>
      </c>
      <c r="P1012" s="14">
        <f>200-SUM(Table3[[#This Row],[M - LIGHT]:[M - VIGOROUS]])</f>
        <v>68.792000000000002</v>
      </c>
      <c r="Q1012" s="14">
        <f>'PIVOT TABLES'!$P$26</f>
        <v>62.64</v>
      </c>
      <c r="R1012" s="14">
        <f>'PIVOT TABLES'!$P$27-'PIVOT TABLES'!$P$26</f>
        <v>31.320000000000007</v>
      </c>
      <c r="S1012" s="14">
        <f>'PIVOT TABLES'!$P$28-'PIVOT TABLES'!$P$27</f>
        <v>31.319999999999993</v>
      </c>
      <c r="T1012" s="14">
        <f>200-SUM(Table3[[#This Row],[W - LIGHT]:[W - VIGOROUS]])</f>
        <v>74.72</v>
      </c>
      <c r="U1012" s="14">
        <f>'PIVOT TABLES'!$W$26</f>
        <v>55.895999999999994</v>
      </c>
      <c r="V1012" s="14">
        <f>'PIVOT TABLES'!$W$27-'PIVOT TABLES'!$W$26</f>
        <v>27.948</v>
      </c>
      <c r="W1012" s="14">
        <f>'PIVOT TABLES'!$W$28-'PIVOT TABLES'!$W$27</f>
        <v>27.947999999999993</v>
      </c>
      <c r="X1012" s="14">
        <f>200-SUM(Table3[[#This Row],[S - LIGHT]:[S - VIGOROUS]])</f>
        <v>88.208000000000013</v>
      </c>
    </row>
    <row r="1013" spans="1:24" x14ac:dyDescent="0.25">
      <c r="A1013" s="17" t="s">
        <v>9</v>
      </c>
      <c r="B1013" s="13" t="str">
        <f t="shared" si="15"/>
        <v>Striker</v>
      </c>
      <c r="C1013" s="7">
        <v>45357.787280092591</v>
      </c>
      <c r="D1013" s="14">
        <v>3464</v>
      </c>
      <c r="E1013" s="14">
        <v>76</v>
      </c>
      <c r="F1013" s="14">
        <v>13</v>
      </c>
      <c r="G1013" s="14">
        <v>19</v>
      </c>
      <c r="H1013" s="14">
        <v>37.82</v>
      </c>
      <c r="I1013" s="14">
        <f>'PIVOT TABLES'!$B$26</f>
        <v>60.283999999999999</v>
      </c>
      <c r="J1013" s="14">
        <f>'PIVOT TABLES'!$B$27-'PIVOT TABLES'!$B$26</f>
        <v>30.142000000000003</v>
      </c>
      <c r="K1013" s="14">
        <f>'PIVOT TABLES'!$B$28-'PIVOT TABLES'!$B$27</f>
        <v>30.141999999999996</v>
      </c>
      <c r="L1013" s="14">
        <f>200-SUM(Table3[[#This Row],[D - LIGHT]:[D - VIGOROUS]])</f>
        <v>79.432000000000002</v>
      </c>
      <c r="M1013" s="14">
        <f>'PIVOT TABLES'!$I$26</f>
        <v>65.603999999999999</v>
      </c>
      <c r="N1013" s="14">
        <f>'PIVOT TABLES'!$I$27-'PIVOT TABLES'!$I$26</f>
        <v>32.802000000000007</v>
      </c>
      <c r="O1013" s="14">
        <f>'PIVOT TABLES'!$I$28-'PIVOT TABLES'!$I$27</f>
        <v>32.801999999999992</v>
      </c>
      <c r="P1013" s="14">
        <f>200-SUM(Table3[[#This Row],[M - LIGHT]:[M - VIGOROUS]])</f>
        <v>68.792000000000002</v>
      </c>
      <c r="Q1013" s="14">
        <f>'PIVOT TABLES'!$P$26</f>
        <v>62.64</v>
      </c>
      <c r="R1013" s="14">
        <f>'PIVOT TABLES'!$P$27-'PIVOT TABLES'!$P$26</f>
        <v>31.320000000000007</v>
      </c>
      <c r="S1013" s="14">
        <f>'PIVOT TABLES'!$P$28-'PIVOT TABLES'!$P$27</f>
        <v>31.319999999999993</v>
      </c>
      <c r="T1013" s="14">
        <f>200-SUM(Table3[[#This Row],[W - LIGHT]:[W - VIGOROUS]])</f>
        <v>74.72</v>
      </c>
      <c r="U1013" s="14">
        <f>'PIVOT TABLES'!$W$26</f>
        <v>55.895999999999994</v>
      </c>
      <c r="V1013" s="14">
        <f>'PIVOT TABLES'!$W$27-'PIVOT TABLES'!$W$26</f>
        <v>27.948</v>
      </c>
      <c r="W1013" s="14">
        <f>'PIVOT TABLES'!$W$28-'PIVOT TABLES'!$W$27</f>
        <v>27.947999999999993</v>
      </c>
      <c r="X1013" s="14">
        <f>200-SUM(Table3[[#This Row],[S - LIGHT]:[S - VIGOROUS]])</f>
        <v>88.208000000000013</v>
      </c>
    </row>
    <row r="1014" spans="1:24" x14ac:dyDescent="0.25">
      <c r="A1014" s="17" t="s">
        <v>69</v>
      </c>
      <c r="B1014" s="13" t="str">
        <f t="shared" si="15"/>
        <v>Midfielder</v>
      </c>
      <c r="C1014" s="7">
        <v>45357.787280092591</v>
      </c>
      <c r="D1014" s="14">
        <v>7507</v>
      </c>
      <c r="E1014" s="14">
        <v>200</v>
      </c>
      <c r="F1014" s="14">
        <v>36</v>
      </c>
      <c r="G1014" s="14">
        <v>22</v>
      </c>
      <c r="H1014" s="14">
        <v>82.95</v>
      </c>
      <c r="I1014" s="14">
        <f>'PIVOT TABLES'!$B$26</f>
        <v>60.283999999999999</v>
      </c>
      <c r="J1014" s="14">
        <f>'PIVOT TABLES'!$B$27-'PIVOT TABLES'!$B$26</f>
        <v>30.142000000000003</v>
      </c>
      <c r="K1014" s="14">
        <f>'PIVOT TABLES'!$B$28-'PIVOT TABLES'!$B$27</f>
        <v>30.141999999999996</v>
      </c>
      <c r="L1014" s="14">
        <f>200-SUM(Table3[[#This Row],[D - LIGHT]:[D - VIGOROUS]])</f>
        <v>79.432000000000002</v>
      </c>
      <c r="M1014" s="14">
        <f>'PIVOT TABLES'!$I$26</f>
        <v>65.603999999999999</v>
      </c>
      <c r="N1014" s="14">
        <f>'PIVOT TABLES'!$I$27-'PIVOT TABLES'!$I$26</f>
        <v>32.802000000000007</v>
      </c>
      <c r="O1014" s="14">
        <f>'PIVOT TABLES'!$I$28-'PIVOT TABLES'!$I$27</f>
        <v>32.801999999999992</v>
      </c>
      <c r="P1014" s="14">
        <f>200-SUM(Table3[[#This Row],[M - LIGHT]:[M - VIGOROUS]])</f>
        <v>68.792000000000002</v>
      </c>
      <c r="Q1014" s="14">
        <f>'PIVOT TABLES'!$P$26</f>
        <v>62.64</v>
      </c>
      <c r="R1014" s="14">
        <f>'PIVOT TABLES'!$P$27-'PIVOT TABLES'!$P$26</f>
        <v>31.320000000000007</v>
      </c>
      <c r="S1014" s="14">
        <f>'PIVOT TABLES'!$P$28-'PIVOT TABLES'!$P$27</f>
        <v>31.319999999999993</v>
      </c>
      <c r="T1014" s="14">
        <f>200-SUM(Table3[[#This Row],[W - LIGHT]:[W - VIGOROUS]])</f>
        <v>74.72</v>
      </c>
      <c r="U1014" s="14">
        <f>'PIVOT TABLES'!$W$26</f>
        <v>55.895999999999994</v>
      </c>
      <c r="V1014" s="14">
        <f>'PIVOT TABLES'!$W$27-'PIVOT TABLES'!$W$26</f>
        <v>27.948</v>
      </c>
      <c r="W1014" s="14">
        <f>'PIVOT TABLES'!$W$28-'PIVOT TABLES'!$W$27</f>
        <v>27.947999999999993</v>
      </c>
      <c r="X1014" s="14">
        <f>200-SUM(Table3[[#This Row],[S - LIGHT]:[S - VIGOROUS]])</f>
        <v>88.208000000000013</v>
      </c>
    </row>
    <row r="1015" spans="1:24" x14ac:dyDescent="0.25">
      <c r="A1015" s="17" t="s">
        <v>70</v>
      </c>
      <c r="B1015" s="13" t="str">
        <f t="shared" si="15"/>
        <v>Winger</v>
      </c>
      <c r="C1015" s="7">
        <v>45358.420439814814</v>
      </c>
      <c r="D1015" s="14">
        <v>3076</v>
      </c>
      <c r="E1015" s="14">
        <v>56</v>
      </c>
      <c r="F1015" s="14">
        <v>7</v>
      </c>
      <c r="G1015" s="14">
        <v>8</v>
      </c>
      <c r="H1015" s="14">
        <v>32.880000000000003</v>
      </c>
      <c r="I1015" s="14">
        <f>'PIVOT TABLES'!$B$26</f>
        <v>60.283999999999999</v>
      </c>
      <c r="J1015" s="14">
        <f>'PIVOT TABLES'!$B$27-'PIVOT TABLES'!$B$26</f>
        <v>30.142000000000003</v>
      </c>
      <c r="K1015" s="14">
        <f>'PIVOT TABLES'!$B$28-'PIVOT TABLES'!$B$27</f>
        <v>30.141999999999996</v>
      </c>
      <c r="L1015" s="14">
        <f>200-SUM(Table3[[#This Row],[D - LIGHT]:[D - VIGOROUS]])</f>
        <v>79.432000000000002</v>
      </c>
      <c r="M1015" s="14">
        <f>'PIVOT TABLES'!$I$26</f>
        <v>65.603999999999999</v>
      </c>
      <c r="N1015" s="14">
        <f>'PIVOT TABLES'!$I$27-'PIVOT TABLES'!$I$26</f>
        <v>32.802000000000007</v>
      </c>
      <c r="O1015" s="14">
        <f>'PIVOT TABLES'!$I$28-'PIVOT TABLES'!$I$27</f>
        <v>32.801999999999992</v>
      </c>
      <c r="P1015" s="14">
        <f>200-SUM(Table3[[#This Row],[M - LIGHT]:[M - VIGOROUS]])</f>
        <v>68.792000000000002</v>
      </c>
      <c r="Q1015" s="14">
        <f>'PIVOT TABLES'!$P$26</f>
        <v>62.64</v>
      </c>
      <c r="R1015" s="14">
        <f>'PIVOT TABLES'!$P$27-'PIVOT TABLES'!$P$26</f>
        <v>31.320000000000007</v>
      </c>
      <c r="S1015" s="14">
        <f>'PIVOT TABLES'!$P$28-'PIVOT TABLES'!$P$27</f>
        <v>31.319999999999993</v>
      </c>
      <c r="T1015" s="14">
        <f>200-SUM(Table3[[#This Row],[W - LIGHT]:[W - VIGOROUS]])</f>
        <v>74.72</v>
      </c>
      <c r="U1015" s="14">
        <f>'PIVOT TABLES'!$W$26</f>
        <v>55.895999999999994</v>
      </c>
      <c r="V1015" s="14">
        <f>'PIVOT TABLES'!$W$27-'PIVOT TABLES'!$W$26</f>
        <v>27.948</v>
      </c>
      <c r="W1015" s="14">
        <f>'PIVOT TABLES'!$W$28-'PIVOT TABLES'!$W$27</f>
        <v>27.947999999999993</v>
      </c>
      <c r="X1015" s="14">
        <f>200-SUM(Table3[[#This Row],[S - LIGHT]:[S - VIGOROUS]])</f>
        <v>88.208000000000013</v>
      </c>
    </row>
    <row r="1016" spans="1:24" x14ac:dyDescent="0.25">
      <c r="A1016" s="17" t="s">
        <v>53</v>
      </c>
      <c r="B1016" s="13" t="str">
        <f t="shared" si="15"/>
        <v>Midfielder</v>
      </c>
      <c r="C1016" s="7">
        <v>45358.420439814814</v>
      </c>
      <c r="D1016" s="14">
        <v>3323</v>
      </c>
      <c r="E1016" s="14">
        <v>0</v>
      </c>
      <c r="F1016" s="14">
        <v>0</v>
      </c>
      <c r="G1016" s="14">
        <v>6</v>
      </c>
      <c r="H1016" s="14">
        <v>33.35</v>
      </c>
      <c r="I1016" s="14">
        <f>'PIVOT TABLES'!$B$26</f>
        <v>60.283999999999999</v>
      </c>
      <c r="J1016" s="14">
        <f>'PIVOT TABLES'!$B$27-'PIVOT TABLES'!$B$26</f>
        <v>30.142000000000003</v>
      </c>
      <c r="K1016" s="14">
        <f>'PIVOT TABLES'!$B$28-'PIVOT TABLES'!$B$27</f>
        <v>30.141999999999996</v>
      </c>
      <c r="L1016" s="14">
        <f>200-SUM(Table3[[#This Row],[D - LIGHT]:[D - VIGOROUS]])</f>
        <v>79.432000000000002</v>
      </c>
      <c r="M1016" s="14">
        <f>'PIVOT TABLES'!$I$26</f>
        <v>65.603999999999999</v>
      </c>
      <c r="N1016" s="14">
        <f>'PIVOT TABLES'!$I$27-'PIVOT TABLES'!$I$26</f>
        <v>32.802000000000007</v>
      </c>
      <c r="O1016" s="14">
        <f>'PIVOT TABLES'!$I$28-'PIVOT TABLES'!$I$27</f>
        <v>32.801999999999992</v>
      </c>
      <c r="P1016" s="14">
        <f>200-SUM(Table3[[#This Row],[M - LIGHT]:[M - VIGOROUS]])</f>
        <v>68.792000000000002</v>
      </c>
      <c r="Q1016" s="14">
        <f>'PIVOT TABLES'!$P$26</f>
        <v>62.64</v>
      </c>
      <c r="R1016" s="14">
        <f>'PIVOT TABLES'!$P$27-'PIVOT TABLES'!$P$26</f>
        <v>31.320000000000007</v>
      </c>
      <c r="S1016" s="14">
        <f>'PIVOT TABLES'!$P$28-'PIVOT TABLES'!$P$27</f>
        <v>31.319999999999993</v>
      </c>
      <c r="T1016" s="14">
        <f>200-SUM(Table3[[#This Row],[W - LIGHT]:[W - VIGOROUS]])</f>
        <v>74.72</v>
      </c>
      <c r="U1016" s="14">
        <f>'PIVOT TABLES'!$W$26</f>
        <v>55.895999999999994</v>
      </c>
      <c r="V1016" s="14">
        <f>'PIVOT TABLES'!$W$27-'PIVOT TABLES'!$W$26</f>
        <v>27.948</v>
      </c>
      <c r="W1016" s="14">
        <f>'PIVOT TABLES'!$W$28-'PIVOT TABLES'!$W$27</f>
        <v>27.947999999999993</v>
      </c>
      <c r="X1016" s="14">
        <f>200-SUM(Table3[[#This Row],[S - LIGHT]:[S - VIGOROUS]])</f>
        <v>88.208000000000013</v>
      </c>
    </row>
    <row r="1017" spans="1:24" x14ac:dyDescent="0.25">
      <c r="A1017" s="17" t="s">
        <v>54</v>
      </c>
      <c r="B1017" s="13" t="str">
        <f t="shared" si="15"/>
        <v>Striker</v>
      </c>
      <c r="C1017" s="7">
        <v>45358.420439814814</v>
      </c>
      <c r="D1017" s="14">
        <v>2183</v>
      </c>
      <c r="E1017" s="14">
        <v>0</v>
      </c>
      <c r="F1017" s="14">
        <v>0</v>
      </c>
      <c r="G1017" s="14">
        <v>1</v>
      </c>
      <c r="H1017" s="14">
        <v>21.85</v>
      </c>
      <c r="I1017" s="14">
        <f>'PIVOT TABLES'!$B$26</f>
        <v>60.283999999999999</v>
      </c>
      <c r="J1017" s="14">
        <f>'PIVOT TABLES'!$B$27-'PIVOT TABLES'!$B$26</f>
        <v>30.142000000000003</v>
      </c>
      <c r="K1017" s="14">
        <f>'PIVOT TABLES'!$B$28-'PIVOT TABLES'!$B$27</f>
        <v>30.141999999999996</v>
      </c>
      <c r="L1017" s="14">
        <f>200-SUM(Table3[[#This Row],[D - LIGHT]:[D - VIGOROUS]])</f>
        <v>79.432000000000002</v>
      </c>
      <c r="M1017" s="14">
        <f>'PIVOT TABLES'!$I$26</f>
        <v>65.603999999999999</v>
      </c>
      <c r="N1017" s="14">
        <f>'PIVOT TABLES'!$I$27-'PIVOT TABLES'!$I$26</f>
        <v>32.802000000000007</v>
      </c>
      <c r="O1017" s="14">
        <f>'PIVOT TABLES'!$I$28-'PIVOT TABLES'!$I$27</f>
        <v>32.801999999999992</v>
      </c>
      <c r="P1017" s="14">
        <f>200-SUM(Table3[[#This Row],[M - LIGHT]:[M - VIGOROUS]])</f>
        <v>68.792000000000002</v>
      </c>
      <c r="Q1017" s="14">
        <f>'PIVOT TABLES'!$P$26</f>
        <v>62.64</v>
      </c>
      <c r="R1017" s="14">
        <f>'PIVOT TABLES'!$P$27-'PIVOT TABLES'!$P$26</f>
        <v>31.320000000000007</v>
      </c>
      <c r="S1017" s="14">
        <f>'PIVOT TABLES'!$P$28-'PIVOT TABLES'!$P$27</f>
        <v>31.319999999999993</v>
      </c>
      <c r="T1017" s="14">
        <f>200-SUM(Table3[[#This Row],[W - LIGHT]:[W - VIGOROUS]])</f>
        <v>74.72</v>
      </c>
      <c r="U1017" s="14">
        <f>'PIVOT TABLES'!$W$26</f>
        <v>55.895999999999994</v>
      </c>
      <c r="V1017" s="14">
        <f>'PIVOT TABLES'!$W$27-'PIVOT TABLES'!$W$26</f>
        <v>27.948</v>
      </c>
      <c r="W1017" s="14">
        <f>'PIVOT TABLES'!$W$28-'PIVOT TABLES'!$W$27</f>
        <v>27.947999999999993</v>
      </c>
      <c r="X1017" s="14">
        <f>200-SUM(Table3[[#This Row],[S - LIGHT]:[S - VIGOROUS]])</f>
        <v>88.208000000000013</v>
      </c>
    </row>
    <row r="1018" spans="1:24" x14ac:dyDescent="0.25">
      <c r="A1018" s="17" t="s">
        <v>55</v>
      </c>
      <c r="B1018" s="13" t="str">
        <f t="shared" si="15"/>
        <v>Striker</v>
      </c>
      <c r="C1018" s="7">
        <v>45358.420439814814</v>
      </c>
      <c r="D1018" s="14">
        <v>2590</v>
      </c>
      <c r="E1018" s="14">
        <v>11</v>
      </c>
      <c r="F1018" s="14">
        <v>4</v>
      </c>
      <c r="G1018" s="14">
        <v>9</v>
      </c>
      <c r="H1018" s="14">
        <v>26.57</v>
      </c>
      <c r="I1018" s="14">
        <f>'PIVOT TABLES'!$B$26</f>
        <v>60.283999999999999</v>
      </c>
      <c r="J1018" s="14">
        <f>'PIVOT TABLES'!$B$27-'PIVOT TABLES'!$B$26</f>
        <v>30.142000000000003</v>
      </c>
      <c r="K1018" s="14">
        <f>'PIVOT TABLES'!$B$28-'PIVOT TABLES'!$B$27</f>
        <v>30.141999999999996</v>
      </c>
      <c r="L1018" s="14">
        <f>200-SUM(Table3[[#This Row],[D - LIGHT]:[D - VIGOROUS]])</f>
        <v>79.432000000000002</v>
      </c>
      <c r="M1018" s="14">
        <f>'PIVOT TABLES'!$I$26</f>
        <v>65.603999999999999</v>
      </c>
      <c r="N1018" s="14">
        <f>'PIVOT TABLES'!$I$27-'PIVOT TABLES'!$I$26</f>
        <v>32.802000000000007</v>
      </c>
      <c r="O1018" s="14">
        <f>'PIVOT TABLES'!$I$28-'PIVOT TABLES'!$I$27</f>
        <v>32.801999999999992</v>
      </c>
      <c r="P1018" s="14">
        <f>200-SUM(Table3[[#This Row],[M - LIGHT]:[M - VIGOROUS]])</f>
        <v>68.792000000000002</v>
      </c>
      <c r="Q1018" s="14">
        <f>'PIVOT TABLES'!$P$26</f>
        <v>62.64</v>
      </c>
      <c r="R1018" s="14">
        <f>'PIVOT TABLES'!$P$27-'PIVOT TABLES'!$P$26</f>
        <v>31.320000000000007</v>
      </c>
      <c r="S1018" s="14">
        <f>'PIVOT TABLES'!$P$28-'PIVOT TABLES'!$P$27</f>
        <v>31.319999999999993</v>
      </c>
      <c r="T1018" s="14">
        <f>200-SUM(Table3[[#This Row],[W - LIGHT]:[W - VIGOROUS]])</f>
        <v>74.72</v>
      </c>
      <c r="U1018" s="14">
        <f>'PIVOT TABLES'!$W$26</f>
        <v>55.895999999999994</v>
      </c>
      <c r="V1018" s="14">
        <f>'PIVOT TABLES'!$W$27-'PIVOT TABLES'!$W$26</f>
        <v>27.948</v>
      </c>
      <c r="W1018" s="14">
        <f>'PIVOT TABLES'!$W$28-'PIVOT TABLES'!$W$27</f>
        <v>27.947999999999993</v>
      </c>
      <c r="X1018" s="14">
        <f>200-SUM(Table3[[#This Row],[S - LIGHT]:[S - VIGOROUS]])</f>
        <v>88.208000000000013</v>
      </c>
    </row>
    <row r="1019" spans="1:24" x14ac:dyDescent="0.25">
      <c r="A1019" s="17" t="s">
        <v>1</v>
      </c>
      <c r="B1019" s="13" t="str">
        <f t="shared" si="15"/>
        <v>Defender</v>
      </c>
      <c r="C1019" s="7">
        <v>45358.420439814814</v>
      </c>
      <c r="D1019" s="14">
        <v>2759</v>
      </c>
      <c r="E1019" s="14">
        <v>12</v>
      </c>
      <c r="F1019" s="14">
        <v>8</v>
      </c>
      <c r="G1019" s="14">
        <v>9</v>
      </c>
      <c r="H1019" s="14">
        <v>28.45</v>
      </c>
      <c r="I1019" s="14">
        <f>'PIVOT TABLES'!$B$26</f>
        <v>60.283999999999999</v>
      </c>
      <c r="J1019" s="14">
        <f>'PIVOT TABLES'!$B$27-'PIVOT TABLES'!$B$26</f>
        <v>30.142000000000003</v>
      </c>
      <c r="K1019" s="14">
        <f>'PIVOT TABLES'!$B$28-'PIVOT TABLES'!$B$27</f>
        <v>30.141999999999996</v>
      </c>
      <c r="L1019" s="14">
        <f>200-SUM(Table3[[#This Row],[D - LIGHT]:[D - VIGOROUS]])</f>
        <v>79.432000000000002</v>
      </c>
      <c r="M1019" s="14">
        <f>'PIVOT TABLES'!$I$26</f>
        <v>65.603999999999999</v>
      </c>
      <c r="N1019" s="14">
        <f>'PIVOT TABLES'!$I$27-'PIVOT TABLES'!$I$26</f>
        <v>32.802000000000007</v>
      </c>
      <c r="O1019" s="14">
        <f>'PIVOT TABLES'!$I$28-'PIVOT TABLES'!$I$27</f>
        <v>32.801999999999992</v>
      </c>
      <c r="P1019" s="14">
        <f>200-SUM(Table3[[#This Row],[M - LIGHT]:[M - VIGOROUS]])</f>
        <v>68.792000000000002</v>
      </c>
      <c r="Q1019" s="14">
        <f>'PIVOT TABLES'!$P$26</f>
        <v>62.64</v>
      </c>
      <c r="R1019" s="14">
        <f>'PIVOT TABLES'!$P$27-'PIVOT TABLES'!$P$26</f>
        <v>31.320000000000007</v>
      </c>
      <c r="S1019" s="14">
        <f>'PIVOT TABLES'!$P$28-'PIVOT TABLES'!$P$27</f>
        <v>31.319999999999993</v>
      </c>
      <c r="T1019" s="14">
        <f>200-SUM(Table3[[#This Row],[W - LIGHT]:[W - VIGOROUS]])</f>
        <v>74.72</v>
      </c>
      <c r="U1019" s="14">
        <f>'PIVOT TABLES'!$W$26</f>
        <v>55.895999999999994</v>
      </c>
      <c r="V1019" s="14">
        <f>'PIVOT TABLES'!$W$27-'PIVOT TABLES'!$W$26</f>
        <v>27.948</v>
      </c>
      <c r="W1019" s="14">
        <f>'PIVOT TABLES'!$W$28-'PIVOT TABLES'!$W$27</f>
        <v>27.947999999999993</v>
      </c>
      <c r="X1019" s="14">
        <f>200-SUM(Table3[[#This Row],[S - LIGHT]:[S - VIGOROUS]])</f>
        <v>88.208000000000013</v>
      </c>
    </row>
    <row r="1020" spans="1:24" x14ac:dyDescent="0.25">
      <c r="A1020" s="17" t="s">
        <v>56</v>
      </c>
      <c r="B1020" s="13" t="str">
        <f t="shared" si="15"/>
        <v>Midfielder</v>
      </c>
      <c r="C1020" s="7">
        <v>45358.420439814814</v>
      </c>
      <c r="D1020" s="14">
        <v>3708</v>
      </c>
      <c r="E1020" s="14">
        <v>0</v>
      </c>
      <c r="F1020" s="14">
        <v>4</v>
      </c>
      <c r="G1020" s="14">
        <v>3</v>
      </c>
      <c r="H1020" s="14">
        <v>37.299999999999997</v>
      </c>
      <c r="I1020" s="14">
        <f>'PIVOT TABLES'!$B$26</f>
        <v>60.283999999999999</v>
      </c>
      <c r="J1020" s="14">
        <f>'PIVOT TABLES'!$B$27-'PIVOT TABLES'!$B$26</f>
        <v>30.142000000000003</v>
      </c>
      <c r="K1020" s="14">
        <f>'PIVOT TABLES'!$B$28-'PIVOT TABLES'!$B$27</f>
        <v>30.141999999999996</v>
      </c>
      <c r="L1020" s="14">
        <f>200-SUM(Table3[[#This Row],[D - LIGHT]:[D - VIGOROUS]])</f>
        <v>79.432000000000002</v>
      </c>
      <c r="M1020" s="14">
        <f>'PIVOT TABLES'!$I$26</f>
        <v>65.603999999999999</v>
      </c>
      <c r="N1020" s="14">
        <f>'PIVOT TABLES'!$I$27-'PIVOT TABLES'!$I$26</f>
        <v>32.802000000000007</v>
      </c>
      <c r="O1020" s="14">
        <f>'PIVOT TABLES'!$I$28-'PIVOT TABLES'!$I$27</f>
        <v>32.801999999999992</v>
      </c>
      <c r="P1020" s="14">
        <f>200-SUM(Table3[[#This Row],[M - LIGHT]:[M - VIGOROUS]])</f>
        <v>68.792000000000002</v>
      </c>
      <c r="Q1020" s="14">
        <f>'PIVOT TABLES'!$P$26</f>
        <v>62.64</v>
      </c>
      <c r="R1020" s="14">
        <f>'PIVOT TABLES'!$P$27-'PIVOT TABLES'!$P$26</f>
        <v>31.320000000000007</v>
      </c>
      <c r="S1020" s="14">
        <f>'PIVOT TABLES'!$P$28-'PIVOT TABLES'!$P$27</f>
        <v>31.319999999999993</v>
      </c>
      <c r="T1020" s="14">
        <f>200-SUM(Table3[[#This Row],[W - LIGHT]:[W - VIGOROUS]])</f>
        <v>74.72</v>
      </c>
      <c r="U1020" s="14">
        <f>'PIVOT TABLES'!$W$26</f>
        <v>55.895999999999994</v>
      </c>
      <c r="V1020" s="14">
        <f>'PIVOT TABLES'!$W$27-'PIVOT TABLES'!$W$26</f>
        <v>27.948</v>
      </c>
      <c r="W1020" s="14">
        <f>'PIVOT TABLES'!$W$28-'PIVOT TABLES'!$W$27</f>
        <v>27.947999999999993</v>
      </c>
      <c r="X1020" s="14">
        <f>200-SUM(Table3[[#This Row],[S - LIGHT]:[S - VIGOROUS]])</f>
        <v>88.208000000000013</v>
      </c>
    </row>
    <row r="1021" spans="1:24" x14ac:dyDescent="0.25">
      <c r="A1021" s="17" t="s">
        <v>94</v>
      </c>
      <c r="B1021" s="13" t="str">
        <f t="shared" si="15"/>
        <v>Defender</v>
      </c>
      <c r="C1021" s="7">
        <v>45358.420439814814</v>
      </c>
      <c r="D1021" s="14">
        <v>1662</v>
      </c>
      <c r="E1021" s="14">
        <v>0</v>
      </c>
      <c r="F1021" s="14">
        <v>1</v>
      </c>
      <c r="G1021" s="14">
        <v>4</v>
      </c>
      <c r="H1021" s="14">
        <v>16.739999999999998</v>
      </c>
      <c r="I1021" s="14">
        <f>'PIVOT TABLES'!$B$26</f>
        <v>60.283999999999999</v>
      </c>
      <c r="J1021" s="14">
        <f>'PIVOT TABLES'!$B$27-'PIVOT TABLES'!$B$26</f>
        <v>30.142000000000003</v>
      </c>
      <c r="K1021" s="14">
        <f>'PIVOT TABLES'!$B$28-'PIVOT TABLES'!$B$27</f>
        <v>30.141999999999996</v>
      </c>
      <c r="L1021" s="14">
        <f>200-SUM(Table3[[#This Row],[D - LIGHT]:[D - VIGOROUS]])</f>
        <v>79.432000000000002</v>
      </c>
      <c r="M1021" s="14">
        <f>'PIVOT TABLES'!$I$26</f>
        <v>65.603999999999999</v>
      </c>
      <c r="N1021" s="14">
        <f>'PIVOT TABLES'!$I$27-'PIVOT TABLES'!$I$26</f>
        <v>32.802000000000007</v>
      </c>
      <c r="O1021" s="14">
        <f>'PIVOT TABLES'!$I$28-'PIVOT TABLES'!$I$27</f>
        <v>32.801999999999992</v>
      </c>
      <c r="P1021" s="14">
        <f>200-SUM(Table3[[#This Row],[M - LIGHT]:[M - VIGOROUS]])</f>
        <v>68.792000000000002</v>
      </c>
      <c r="Q1021" s="14">
        <f>'PIVOT TABLES'!$P$26</f>
        <v>62.64</v>
      </c>
      <c r="R1021" s="14">
        <f>'PIVOT TABLES'!$P$27-'PIVOT TABLES'!$P$26</f>
        <v>31.320000000000007</v>
      </c>
      <c r="S1021" s="14">
        <f>'PIVOT TABLES'!$P$28-'PIVOT TABLES'!$P$27</f>
        <v>31.319999999999993</v>
      </c>
      <c r="T1021" s="14">
        <f>200-SUM(Table3[[#This Row],[W - LIGHT]:[W - VIGOROUS]])</f>
        <v>74.72</v>
      </c>
      <c r="U1021" s="14">
        <f>'PIVOT TABLES'!$W$26</f>
        <v>55.895999999999994</v>
      </c>
      <c r="V1021" s="14">
        <f>'PIVOT TABLES'!$W$27-'PIVOT TABLES'!$W$26</f>
        <v>27.948</v>
      </c>
      <c r="W1021" s="14">
        <f>'PIVOT TABLES'!$W$28-'PIVOT TABLES'!$W$27</f>
        <v>27.947999999999993</v>
      </c>
      <c r="X1021" s="14">
        <f>200-SUM(Table3[[#This Row],[S - LIGHT]:[S - VIGOROUS]])</f>
        <v>88.208000000000013</v>
      </c>
    </row>
    <row r="1022" spans="1:24" x14ac:dyDescent="0.25">
      <c r="A1022" s="17" t="s">
        <v>3</v>
      </c>
      <c r="B1022" s="13" t="str">
        <f t="shared" si="15"/>
        <v>Defender</v>
      </c>
      <c r="C1022" s="7">
        <v>45358.420439814814</v>
      </c>
      <c r="D1022" s="14">
        <v>3736</v>
      </c>
      <c r="E1022" s="14">
        <v>0</v>
      </c>
      <c r="F1022" s="14">
        <v>7</v>
      </c>
      <c r="G1022" s="14">
        <v>18</v>
      </c>
      <c r="H1022" s="14">
        <v>38</v>
      </c>
      <c r="I1022" s="14">
        <f>'PIVOT TABLES'!$B$26</f>
        <v>60.283999999999999</v>
      </c>
      <c r="J1022" s="14">
        <f>'PIVOT TABLES'!$B$27-'PIVOT TABLES'!$B$26</f>
        <v>30.142000000000003</v>
      </c>
      <c r="K1022" s="14">
        <f>'PIVOT TABLES'!$B$28-'PIVOT TABLES'!$B$27</f>
        <v>30.141999999999996</v>
      </c>
      <c r="L1022" s="14">
        <f>200-SUM(Table3[[#This Row],[D - LIGHT]:[D - VIGOROUS]])</f>
        <v>79.432000000000002</v>
      </c>
      <c r="M1022" s="14">
        <f>'PIVOT TABLES'!$I$26</f>
        <v>65.603999999999999</v>
      </c>
      <c r="N1022" s="14">
        <f>'PIVOT TABLES'!$I$27-'PIVOT TABLES'!$I$26</f>
        <v>32.802000000000007</v>
      </c>
      <c r="O1022" s="14">
        <f>'PIVOT TABLES'!$I$28-'PIVOT TABLES'!$I$27</f>
        <v>32.801999999999992</v>
      </c>
      <c r="P1022" s="14">
        <f>200-SUM(Table3[[#This Row],[M - LIGHT]:[M - VIGOROUS]])</f>
        <v>68.792000000000002</v>
      </c>
      <c r="Q1022" s="14">
        <f>'PIVOT TABLES'!$P$26</f>
        <v>62.64</v>
      </c>
      <c r="R1022" s="14">
        <f>'PIVOT TABLES'!$P$27-'PIVOT TABLES'!$P$26</f>
        <v>31.320000000000007</v>
      </c>
      <c r="S1022" s="14">
        <f>'PIVOT TABLES'!$P$28-'PIVOT TABLES'!$P$27</f>
        <v>31.319999999999993</v>
      </c>
      <c r="T1022" s="14">
        <f>200-SUM(Table3[[#This Row],[W - LIGHT]:[W - VIGOROUS]])</f>
        <v>74.72</v>
      </c>
      <c r="U1022" s="14">
        <f>'PIVOT TABLES'!$W$26</f>
        <v>55.895999999999994</v>
      </c>
      <c r="V1022" s="14">
        <f>'PIVOT TABLES'!$W$27-'PIVOT TABLES'!$W$26</f>
        <v>27.948</v>
      </c>
      <c r="W1022" s="14">
        <f>'PIVOT TABLES'!$W$28-'PIVOT TABLES'!$W$27</f>
        <v>27.947999999999993</v>
      </c>
      <c r="X1022" s="14">
        <f>200-SUM(Table3[[#This Row],[S - LIGHT]:[S - VIGOROUS]])</f>
        <v>88.208000000000013</v>
      </c>
    </row>
    <row r="1023" spans="1:24" x14ac:dyDescent="0.25">
      <c r="A1023" s="17" t="s">
        <v>59</v>
      </c>
      <c r="B1023" s="13" t="str">
        <f t="shared" si="15"/>
        <v>Striker</v>
      </c>
      <c r="C1023" s="7">
        <v>45358.420439814814</v>
      </c>
      <c r="D1023" s="14">
        <v>3013</v>
      </c>
      <c r="E1023" s="14">
        <v>18</v>
      </c>
      <c r="F1023" s="14">
        <v>8</v>
      </c>
      <c r="G1023" s="14">
        <v>4</v>
      </c>
      <c r="H1023" s="14">
        <v>31.07</v>
      </c>
      <c r="I1023" s="14">
        <f>'PIVOT TABLES'!$B$26</f>
        <v>60.283999999999999</v>
      </c>
      <c r="J1023" s="14">
        <f>'PIVOT TABLES'!$B$27-'PIVOT TABLES'!$B$26</f>
        <v>30.142000000000003</v>
      </c>
      <c r="K1023" s="14">
        <f>'PIVOT TABLES'!$B$28-'PIVOT TABLES'!$B$27</f>
        <v>30.141999999999996</v>
      </c>
      <c r="L1023" s="14">
        <f>200-SUM(Table3[[#This Row],[D - LIGHT]:[D - VIGOROUS]])</f>
        <v>79.432000000000002</v>
      </c>
      <c r="M1023" s="14">
        <f>'PIVOT TABLES'!$I$26</f>
        <v>65.603999999999999</v>
      </c>
      <c r="N1023" s="14">
        <f>'PIVOT TABLES'!$I$27-'PIVOT TABLES'!$I$26</f>
        <v>32.802000000000007</v>
      </c>
      <c r="O1023" s="14">
        <f>'PIVOT TABLES'!$I$28-'PIVOT TABLES'!$I$27</f>
        <v>32.801999999999992</v>
      </c>
      <c r="P1023" s="14">
        <f>200-SUM(Table3[[#This Row],[M - LIGHT]:[M - VIGOROUS]])</f>
        <v>68.792000000000002</v>
      </c>
      <c r="Q1023" s="14">
        <f>'PIVOT TABLES'!$P$26</f>
        <v>62.64</v>
      </c>
      <c r="R1023" s="14">
        <f>'PIVOT TABLES'!$P$27-'PIVOT TABLES'!$P$26</f>
        <v>31.320000000000007</v>
      </c>
      <c r="S1023" s="14">
        <f>'PIVOT TABLES'!$P$28-'PIVOT TABLES'!$P$27</f>
        <v>31.319999999999993</v>
      </c>
      <c r="T1023" s="14">
        <f>200-SUM(Table3[[#This Row],[W - LIGHT]:[W - VIGOROUS]])</f>
        <v>74.72</v>
      </c>
      <c r="U1023" s="14">
        <f>'PIVOT TABLES'!$W$26</f>
        <v>55.895999999999994</v>
      </c>
      <c r="V1023" s="14">
        <f>'PIVOT TABLES'!$W$27-'PIVOT TABLES'!$W$26</f>
        <v>27.948</v>
      </c>
      <c r="W1023" s="14">
        <f>'PIVOT TABLES'!$W$28-'PIVOT TABLES'!$W$27</f>
        <v>27.947999999999993</v>
      </c>
      <c r="X1023" s="14">
        <f>200-SUM(Table3[[#This Row],[S - LIGHT]:[S - VIGOROUS]])</f>
        <v>88.208000000000013</v>
      </c>
    </row>
    <row r="1024" spans="1:24" x14ac:dyDescent="0.25">
      <c r="A1024" s="17" t="s">
        <v>4</v>
      </c>
      <c r="B1024" s="13" t="str">
        <f t="shared" si="15"/>
        <v>Midfielder</v>
      </c>
      <c r="C1024" s="7">
        <v>45358.420439814814</v>
      </c>
      <c r="D1024" s="14">
        <v>2654</v>
      </c>
      <c r="E1024" s="14">
        <v>0</v>
      </c>
      <c r="F1024" s="14">
        <v>2</v>
      </c>
      <c r="G1024" s="14">
        <v>2</v>
      </c>
      <c r="H1024" s="14">
        <v>26.66</v>
      </c>
      <c r="I1024" s="14">
        <f>'PIVOT TABLES'!$B$26</f>
        <v>60.283999999999999</v>
      </c>
      <c r="J1024" s="14">
        <f>'PIVOT TABLES'!$B$27-'PIVOT TABLES'!$B$26</f>
        <v>30.142000000000003</v>
      </c>
      <c r="K1024" s="14">
        <f>'PIVOT TABLES'!$B$28-'PIVOT TABLES'!$B$27</f>
        <v>30.141999999999996</v>
      </c>
      <c r="L1024" s="14">
        <f>200-SUM(Table3[[#This Row],[D - LIGHT]:[D - VIGOROUS]])</f>
        <v>79.432000000000002</v>
      </c>
      <c r="M1024" s="14">
        <f>'PIVOT TABLES'!$I$26</f>
        <v>65.603999999999999</v>
      </c>
      <c r="N1024" s="14">
        <f>'PIVOT TABLES'!$I$27-'PIVOT TABLES'!$I$26</f>
        <v>32.802000000000007</v>
      </c>
      <c r="O1024" s="14">
        <f>'PIVOT TABLES'!$I$28-'PIVOT TABLES'!$I$27</f>
        <v>32.801999999999992</v>
      </c>
      <c r="P1024" s="14">
        <f>200-SUM(Table3[[#This Row],[M - LIGHT]:[M - VIGOROUS]])</f>
        <v>68.792000000000002</v>
      </c>
      <c r="Q1024" s="14">
        <f>'PIVOT TABLES'!$P$26</f>
        <v>62.64</v>
      </c>
      <c r="R1024" s="14">
        <f>'PIVOT TABLES'!$P$27-'PIVOT TABLES'!$P$26</f>
        <v>31.320000000000007</v>
      </c>
      <c r="S1024" s="14">
        <f>'PIVOT TABLES'!$P$28-'PIVOT TABLES'!$P$27</f>
        <v>31.319999999999993</v>
      </c>
      <c r="T1024" s="14">
        <f>200-SUM(Table3[[#This Row],[W - LIGHT]:[W - VIGOROUS]])</f>
        <v>74.72</v>
      </c>
      <c r="U1024" s="14">
        <f>'PIVOT TABLES'!$W$26</f>
        <v>55.895999999999994</v>
      </c>
      <c r="V1024" s="14">
        <f>'PIVOT TABLES'!$W$27-'PIVOT TABLES'!$W$26</f>
        <v>27.948</v>
      </c>
      <c r="W1024" s="14">
        <f>'PIVOT TABLES'!$W$28-'PIVOT TABLES'!$W$27</f>
        <v>27.947999999999993</v>
      </c>
      <c r="X1024" s="14">
        <f>200-SUM(Table3[[#This Row],[S - LIGHT]:[S - VIGOROUS]])</f>
        <v>88.208000000000013</v>
      </c>
    </row>
    <row r="1025" spans="1:24" x14ac:dyDescent="0.25">
      <c r="A1025" s="17" t="s">
        <v>60</v>
      </c>
      <c r="B1025" s="13" t="str">
        <f t="shared" si="15"/>
        <v>Winger</v>
      </c>
      <c r="C1025" s="7">
        <v>45358.420439814814</v>
      </c>
      <c r="D1025" s="14">
        <v>3303</v>
      </c>
      <c r="E1025" s="14">
        <v>73</v>
      </c>
      <c r="F1025" s="14">
        <v>6</v>
      </c>
      <c r="G1025" s="14">
        <v>9</v>
      </c>
      <c r="H1025" s="14">
        <v>35.64</v>
      </c>
      <c r="I1025" s="14">
        <f>'PIVOT TABLES'!$B$26</f>
        <v>60.283999999999999</v>
      </c>
      <c r="J1025" s="14">
        <f>'PIVOT TABLES'!$B$27-'PIVOT TABLES'!$B$26</f>
        <v>30.142000000000003</v>
      </c>
      <c r="K1025" s="14">
        <f>'PIVOT TABLES'!$B$28-'PIVOT TABLES'!$B$27</f>
        <v>30.141999999999996</v>
      </c>
      <c r="L1025" s="14">
        <f>200-SUM(Table3[[#This Row],[D - LIGHT]:[D - VIGOROUS]])</f>
        <v>79.432000000000002</v>
      </c>
      <c r="M1025" s="14">
        <f>'PIVOT TABLES'!$I$26</f>
        <v>65.603999999999999</v>
      </c>
      <c r="N1025" s="14">
        <f>'PIVOT TABLES'!$I$27-'PIVOT TABLES'!$I$26</f>
        <v>32.802000000000007</v>
      </c>
      <c r="O1025" s="14">
        <f>'PIVOT TABLES'!$I$28-'PIVOT TABLES'!$I$27</f>
        <v>32.801999999999992</v>
      </c>
      <c r="P1025" s="14">
        <f>200-SUM(Table3[[#This Row],[M - LIGHT]:[M - VIGOROUS]])</f>
        <v>68.792000000000002</v>
      </c>
      <c r="Q1025" s="14">
        <f>'PIVOT TABLES'!$P$26</f>
        <v>62.64</v>
      </c>
      <c r="R1025" s="14">
        <f>'PIVOT TABLES'!$P$27-'PIVOT TABLES'!$P$26</f>
        <v>31.320000000000007</v>
      </c>
      <c r="S1025" s="14">
        <f>'PIVOT TABLES'!$P$28-'PIVOT TABLES'!$P$27</f>
        <v>31.319999999999993</v>
      </c>
      <c r="T1025" s="14">
        <f>200-SUM(Table3[[#This Row],[W - LIGHT]:[W - VIGOROUS]])</f>
        <v>74.72</v>
      </c>
      <c r="U1025" s="14">
        <f>'PIVOT TABLES'!$W$26</f>
        <v>55.895999999999994</v>
      </c>
      <c r="V1025" s="14">
        <f>'PIVOT TABLES'!$W$27-'PIVOT TABLES'!$W$26</f>
        <v>27.948</v>
      </c>
      <c r="W1025" s="14">
        <f>'PIVOT TABLES'!$W$28-'PIVOT TABLES'!$W$27</f>
        <v>27.947999999999993</v>
      </c>
      <c r="X1025" s="14">
        <f>200-SUM(Table3[[#This Row],[S - LIGHT]:[S - VIGOROUS]])</f>
        <v>88.208000000000013</v>
      </c>
    </row>
    <row r="1026" spans="1:24" x14ac:dyDescent="0.25">
      <c r="A1026" s="17" t="s">
        <v>71</v>
      </c>
      <c r="B1026" s="13" t="str">
        <f t="shared" si="15"/>
        <v>Midfielder</v>
      </c>
      <c r="C1026" s="7">
        <v>45358.420439814814</v>
      </c>
      <c r="D1026" s="14">
        <v>2941</v>
      </c>
      <c r="E1026" s="14">
        <v>0</v>
      </c>
      <c r="F1026" s="14">
        <v>2</v>
      </c>
      <c r="G1026" s="14">
        <v>3</v>
      </c>
      <c r="H1026" s="14">
        <v>29.55</v>
      </c>
      <c r="I1026" s="14">
        <f>'PIVOT TABLES'!$B$26</f>
        <v>60.283999999999999</v>
      </c>
      <c r="J1026" s="14">
        <f>'PIVOT TABLES'!$B$27-'PIVOT TABLES'!$B$26</f>
        <v>30.142000000000003</v>
      </c>
      <c r="K1026" s="14">
        <f>'PIVOT TABLES'!$B$28-'PIVOT TABLES'!$B$27</f>
        <v>30.141999999999996</v>
      </c>
      <c r="L1026" s="14">
        <f>200-SUM(Table3[[#This Row],[D - LIGHT]:[D - VIGOROUS]])</f>
        <v>79.432000000000002</v>
      </c>
      <c r="M1026" s="14">
        <f>'PIVOT TABLES'!$I$26</f>
        <v>65.603999999999999</v>
      </c>
      <c r="N1026" s="14">
        <f>'PIVOT TABLES'!$I$27-'PIVOT TABLES'!$I$26</f>
        <v>32.802000000000007</v>
      </c>
      <c r="O1026" s="14">
        <f>'PIVOT TABLES'!$I$28-'PIVOT TABLES'!$I$27</f>
        <v>32.801999999999992</v>
      </c>
      <c r="P1026" s="14">
        <f>200-SUM(Table3[[#This Row],[M - LIGHT]:[M - VIGOROUS]])</f>
        <v>68.792000000000002</v>
      </c>
      <c r="Q1026" s="14">
        <f>'PIVOT TABLES'!$P$26</f>
        <v>62.64</v>
      </c>
      <c r="R1026" s="14">
        <f>'PIVOT TABLES'!$P$27-'PIVOT TABLES'!$P$26</f>
        <v>31.320000000000007</v>
      </c>
      <c r="S1026" s="14">
        <f>'PIVOT TABLES'!$P$28-'PIVOT TABLES'!$P$27</f>
        <v>31.319999999999993</v>
      </c>
      <c r="T1026" s="14">
        <f>200-SUM(Table3[[#This Row],[W - LIGHT]:[W - VIGOROUS]])</f>
        <v>74.72</v>
      </c>
      <c r="U1026" s="14">
        <f>'PIVOT TABLES'!$W$26</f>
        <v>55.895999999999994</v>
      </c>
      <c r="V1026" s="14">
        <f>'PIVOT TABLES'!$W$27-'PIVOT TABLES'!$W$26</f>
        <v>27.948</v>
      </c>
      <c r="W1026" s="14">
        <f>'PIVOT TABLES'!$W$28-'PIVOT TABLES'!$W$27</f>
        <v>27.947999999999993</v>
      </c>
      <c r="X1026" s="14">
        <f>200-SUM(Table3[[#This Row],[S - LIGHT]:[S - VIGOROUS]])</f>
        <v>88.208000000000013</v>
      </c>
    </row>
    <row r="1027" spans="1:24" x14ac:dyDescent="0.25">
      <c r="A1027" s="17" t="s">
        <v>5</v>
      </c>
      <c r="B1027" s="13" t="str">
        <f t="shared" ref="B1027:B1090" si="16">IF(A1027="Sihle Gum","Defender",IF(A1027="Kenny Langa","Defender",IF(A1027="Tshepang Makara","Defender",IF(A1027="Tshepiso Mahlangu","Defender",IF(A1027="Neo Ramashala","Defender",IF(A1027="Keabetswe Nkogatse","Defender",IF(A1027="Kaketso Harold Majadibodu","Defender",IF(A1027="Samuel Julies","Midfielder",IF(A1027="Frank Mpedi","Midfielder",IF(A1027="Sapholwethu Kelepu","Midfielder",IF(A1027="Manelisi Sithole","Midfielder",IF(A1027="Thabiso Mokoena","Midfielder",IF(A1027="Khomotso Marebane","Midfielder",IF(A1027="Tebogo Mohlamonyane","Midfielder",IF(A1027="Thulani Zandamela","Midfielder",IF(A1027="Mdevulana Camagu","Midfielder",IF(A1027="Promise Mkhuma","Midfielder",IF(A1027="Essien Makwarimba","Midfielder",IF(A1027="Ayanda Mvambi","Winger",IF(A1027="Delano Abrahams","Winger",IF(A1027="Thokozani Sekotlong","Winger",IF(A1027="Maselaelo Seanego","Winger",IF(A1027="Lesedi Motha","Winger",IF(A1027="Malekgene Mampuru","Winger",IF(A1027="Matome Rangata","Winger",IF(A1027="Thabang Sibanyoni","Striker",IF(A1027="Tebogo Makungo","Striker",IF(A1027="Neo Dikgale","Striker",IF(A1027="Kamohelo Pheeane","Striker",IF(A1027="Athenkosi Tonisi","Striker",IF(A1027="Jesse Francis","Striker","####")))))))))))))))))))))))))))))))</f>
        <v>Midfielder</v>
      </c>
      <c r="C1027" s="7">
        <v>45358.420439814814</v>
      </c>
      <c r="D1027" s="14">
        <v>3644</v>
      </c>
      <c r="E1027" s="14">
        <v>33</v>
      </c>
      <c r="F1027" s="14">
        <v>11</v>
      </c>
      <c r="G1027" s="14">
        <v>16</v>
      </c>
      <c r="H1027" s="14">
        <v>38.19</v>
      </c>
      <c r="I1027" s="14">
        <f>'PIVOT TABLES'!$B$26</f>
        <v>60.283999999999999</v>
      </c>
      <c r="J1027" s="14">
        <f>'PIVOT TABLES'!$B$27-'PIVOT TABLES'!$B$26</f>
        <v>30.142000000000003</v>
      </c>
      <c r="K1027" s="14">
        <f>'PIVOT TABLES'!$B$28-'PIVOT TABLES'!$B$27</f>
        <v>30.141999999999996</v>
      </c>
      <c r="L1027" s="14">
        <f>200-SUM(Table3[[#This Row],[D - LIGHT]:[D - VIGOROUS]])</f>
        <v>79.432000000000002</v>
      </c>
      <c r="M1027" s="14">
        <f>'PIVOT TABLES'!$I$26</f>
        <v>65.603999999999999</v>
      </c>
      <c r="N1027" s="14">
        <f>'PIVOT TABLES'!$I$27-'PIVOT TABLES'!$I$26</f>
        <v>32.802000000000007</v>
      </c>
      <c r="O1027" s="14">
        <f>'PIVOT TABLES'!$I$28-'PIVOT TABLES'!$I$27</f>
        <v>32.801999999999992</v>
      </c>
      <c r="P1027" s="14">
        <f>200-SUM(Table3[[#This Row],[M - LIGHT]:[M - VIGOROUS]])</f>
        <v>68.792000000000002</v>
      </c>
      <c r="Q1027" s="14">
        <f>'PIVOT TABLES'!$P$26</f>
        <v>62.64</v>
      </c>
      <c r="R1027" s="14">
        <f>'PIVOT TABLES'!$P$27-'PIVOT TABLES'!$P$26</f>
        <v>31.320000000000007</v>
      </c>
      <c r="S1027" s="14">
        <f>'PIVOT TABLES'!$P$28-'PIVOT TABLES'!$P$27</f>
        <v>31.319999999999993</v>
      </c>
      <c r="T1027" s="14">
        <f>200-SUM(Table3[[#This Row],[W - LIGHT]:[W - VIGOROUS]])</f>
        <v>74.72</v>
      </c>
      <c r="U1027" s="14">
        <f>'PIVOT TABLES'!$W$26</f>
        <v>55.895999999999994</v>
      </c>
      <c r="V1027" s="14">
        <f>'PIVOT TABLES'!$W$27-'PIVOT TABLES'!$W$26</f>
        <v>27.948</v>
      </c>
      <c r="W1027" s="14">
        <f>'PIVOT TABLES'!$W$28-'PIVOT TABLES'!$W$27</f>
        <v>27.947999999999993</v>
      </c>
      <c r="X1027" s="14">
        <f>200-SUM(Table3[[#This Row],[S - LIGHT]:[S - VIGOROUS]])</f>
        <v>88.208000000000013</v>
      </c>
    </row>
    <row r="1028" spans="1:24" x14ac:dyDescent="0.25">
      <c r="A1028" s="17" t="s">
        <v>6</v>
      </c>
      <c r="B1028" s="13" t="str">
        <f t="shared" si="16"/>
        <v>Midfielder</v>
      </c>
      <c r="C1028" s="7">
        <v>45358.420439814814</v>
      </c>
      <c r="D1028" s="14">
        <v>3379</v>
      </c>
      <c r="E1028" s="14">
        <v>36</v>
      </c>
      <c r="F1028" s="14">
        <v>6</v>
      </c>
      <c r="G1028" s="14">
        <v>13</v>
      </c>
      <c r="H1028" s="14">
        <v>35.369999999999997</v>
      </c>
      <c r="I1028" s="14">
        <f>'PIVOT TABLES'!$B$26</f>
        <v>60.283999999999999</v>
      </c>
      <c r="J1028" s="14">
        <f>'PIVOT TABLES'!$B$27-'PIVOT TABLES'!$B$26</f>
        <v>30.142000000000003</v>
      </c>
      <c r="K1028" s="14">
        <f>'PIVOT TABLES'!$B$28-'PIVOT TABLES'!$B$27</f>
        <v>30.141999999999996</v>
      </c>
      <c r="L1028" s="14">
        <f>200-SUM(Table3[[#This Row],[D - LIGHT]:[D - VIGOROUS]])</f>
        <v>79.432000000000002</v>
      </c>
      <c r="M1028" s="14">
        <f>'PIVOT TABLES'!$I$26</f>
        <v>65.603999999999999</v>
      </c>
      <c r="N1028" s="14">
        <f>'PIVOT TABLES'!$I$27-'PIVOT TABLES'!$I$26</f>
        <v>32.802000000000007</v>
      </c>
      <c r="O1028" s="14">
        <f>'PIVOT TABLES'!$I$28-'PIVOT TABLES'!$I$27</f>
        <v>32.801999999999992</v>
      </c>
      <c r="P1028" s="14">
        <f>200-SUM(Table3[[#This Row],[M - LIGHT]:[M - VIGOROUS]])</f>
        <v>68.792000000000002</v>
      </c>
      <c r="Q1028" s="14">
        <f>'PIVOT TABLES'!$P$26</f>
        <v>62.64</v>
      </c>
      <c r="R1028" s="14">
        <f>'PIVOT TABLES'!$P$27-'PIVOT TABLES'!$P$26</f>
        <v>31.320000000000007</v>
      </c>
      <c r="S1028" s="14">
        <f>'PIVOT TABLES'!$P$28-'PIVOT TABLES'!$P$27</f>
        <v>31.319999999999993</v>
      </c>
      <c r="T1028" s="14">
        <f>200-SUM(Table3[[#This Row],[W - LIGHT]:[W - VIGOROUS]])</f>
        <v>74.72</v>
      </c>
      <c r="U1028" s="14">
        <f>'PIVOT TABLES'!$W$26</f>
        <v>55.895999999999994</v>
      </c>
      <c r="V1028" s="14">
        <f>'PIVOT TABLES'!$W$27-'PIVOT TABLES'!$W$26</f>
        <v>27.948</v>
      </c>
      <c r="W1028" s="14">
        <f>'PIVOT TABLES'!$W$28-'PIVOT TABLES'!$W$27</f>
        <v>27.947999999999993</v>
      </c>
      <c r="X1028" s="14">
        <f>200-SUM(Table3[[#This Row],[S - LIGHT]:[S - VIGOROUS]])</f>
        <v>88.208000000000013</v>
      </c>
    </row>
    <row r="1029" spans="1:24" x14ac:dyDescent="0.25">
      <c r="A1029" s="17" t="s">
        <v>62</v>
      </c>
      <c r="B1029" s="13" t="str">
        <f t="shared" si="16"/>
        <v>Midfielder</v>
      </c>
      <c r="C1029" s="7">
        <v>45358.420439814814</v>
      </c>
      <c r="D1029" s="14">
        <v>3174</v>
      </c>
      <c r="E1029" s="14">
        <v>14</v>
      </c>
      <c r="F1029" s="14">
        <v>8</v>
      </c>
      <c r="G1029" s="14">
        <v>10</v>
      </c>
      <c r="H1029" s="14">
        <v>32.68</v>
      </c>
      <c r="I1029" s="14">
        <f>'PIVOT TABLES'!$B$26</f>
        <v>60.283999999999999</v>
      </c>
      <c r="J1029" s="14">
        <f>'PIVOT TABLES'!$B$27-'PIVOT TABLES'!$B$26</f>
        <v>30.142000000000003</v>
      </c>
      <c r="K1029" s="14">
        <f>'PIVOT TABLES'!$B$28-'PIVOT TABLES'!$B$27</f>
        <v>30.141999999999996</v>
      </c>
      <c r="L1029" s="14">
        <f>200-SUM(Table3[[#This Row],[D - LIGHT]:[D - VIGOROUS]])</f>
        <v>79.432000000000002</v>
      </c>
      <c r="M1029" s="14">
        <f>'PIVOT TABLES'!$I$26</f>
        <v>65.603999999999999</v>
      </c>
      <c r="N1029" s="14">
        <f>'PIVOT TABLES'!$I$27-'PIVOT TABLES'!$I$26</f>
        <v>32.802000000000007</v>
      </c>
      <c r="O1029" s="14">
        <f>'PIVOT TABLES'!$I$28-'PIVOT TABLES'!$I$27</f>
        <v>32.801999999999992</v>
      </c>
      <c r="P1029" s="14">
        <f>200-SUM(Table3[[#This Row],[M - LIGHT]:[M - VIGOROUS]])</f>
        <v>68.792000000000002</v>
      </c>
      <c r="Q1029" s="14">
        <f>'PIVOT TABLES'!$P$26</f>
        <v>62.64</v>
      </c>
      <c r="R1029" s="14">
        <f>'PIVOT TABLES'!$P$27-'PIVOT TABLES'!$P$26</f>
        <v>31.320000000000007</v>
      </c>
      <c r="S1029" s="14">
        <f>'PIVOT TABLES'!$P$28-'PIVOT TABLES'!$P$27</f>
        <v>31.319999999999993</v>
      </c>
      <c r="T1029" s="14">
        <f>200-SUM(Table3[[#This Row],[W - LIGHT]:[W - VIGOROUS]])</f>
        <v>74.72</v>
      </c>
      <c r="U1029" s="14">
        <f>'PIVOT TABLES'!$W$26</f>
        <v>55.895999999999994</v>
      </c>
      <c r="V1029" s="14">
        <f>'PIVOT TABLES'!$W$27-'PIVOT TABLES'!$W$26</f>
        <v>27.948</v>
      </c>
      <c r="W1029" s="14">
        <f>'PIVOT TABLES'!$W$28-'PIVOT TABLES'!$W$27</f>
        <v>27.947999999999993</v>
      </c>
      <c r="X1029" s="14">
        <f>200-SUM(Table3[[#This Row],[S - LIGHT]:[S - VIGOROUS]])</f>
        <v>88.208000000000013</v>
      </c>
    </row>
    <row r="1030" spans="1:24" x14ac:dyDescent="0.25">
      <c r="A1030" s="17" t="s">
        <v>64</v>
      </c>
      <c r="B1030" s="13" t="str">
        <f t="shared" si="16"/>
        <v>Midfielder</v>
      </c>
      <c r="C1030" s="7">
        <v>45358.420439814814</v>
      </c>
      <c r="D1030" s="14">
        <v>3826</v>
      </c>
      <c r="E1030" s="14">
        <v>0</v>
      </c>
      <c r="F1030" s="14">
        <v>6</v>
      </c>
      <c r="G1030" s="14">
        <v>10</v>
      </c>
      <c r="H1030" s="14">
        <v>38.700000000000003</v>
      </c>
      <c r="I1030" s="14">
        <f>'PIVOT TABLES'!$B$26</f>
        <v>60.283999999999999</v>
      </c>
      <c r="J1030" s="14">
        <f>'PIVOT TABLES'!$B$27-'PIVOT TABLES'!$B$26</f>
        <v>30.142000000000003</v>
      </c>
      <c r="K1030" s="14">
        <f>'PIVOT TABLES'!$B$28-'PIVOT TABLES'!$B$27</f>
        <v>30.141999999999996</v>
      </c>
      <c r="L1030" s="14">
        <f>200-SUM(Table3[[#This Row],[D - LIGHT]:[D - VIGOROUS]])</f>
        <v>79.432000000000002</v>
      </c>
      <c r="M1030" s="14">
        <f>'PIVOT TABLES'!$I$26</f>
        <v>65.603999999999999</v>
      </c>
      <c r="N1030" s="14">
        <f>'PIVOT TABLES'!$I$27-'PIVOT TABLES'!$I$26</f>
        <v>32.802000000000007</v>
      </c>
      <c r="O1030" s="14">
        <f>'PIVOT TABLES'!$I$28-'PIVOT TABLES'!$I$27</f>
        <v>32.801999999999992</v>
      </c>
      <c r="P1030" s="14">
        <f>200-SUM(Table3[[#This Row],[M - LIGHT]:[M - VIGOROUS]])</f>
        <v>68.792000000000002</v>
      </c>
      <c r="Q1030" s="14">
        <f>'PIVOT TABLES'!$P$26</f>
        <v>62.64</v>
      </c>
      <c r="R1030" s="14">
        <f>'PIVOT TABLES'!$P$27-'PIVOT TABLES'!$P$26</f>
        <v>31.320000000000007</v>
      </c>
      <c r="S1030" s="14">
        <f>'PIVOT TABLES'!$P$28-'PIVOT TABLES'!$P$27</f>
        <v>31.319999999999993</v>
      </c>
      <c r="T1030" s="14">
        <f>200-SUM(Table3[[#This Row],[W - LIGHT]:[W - VIGOROUS]])</f>
        <v>74.72</v>
      </c>
      <c r="U1030" s="14">
        <f>'PIVOT TABLES'!$W$26</f>
        <v>55.895999999999994</v>
      </c>
      <c r="V1030" s="14">
        <f>'PIVOT TABLES'!$W$27-'PIVOT TABLES'!$W$26</f>
        <v>27.948</v>
      </c>
      <c r="W1030" s="14">
        <f>'PIVOT TABLES'!$W$28-'PIVOT TABLES'!$W$27</f>
        <v>27.947999999999993</v>
      </c>
      <c r="X1030" s="14">
        <f>200-SUM(Table3[[#This Row],[S - LIGHT]:[S - VIGOROUS]])</f>
        <v>88.208000000000013</v>
      </c>
    </row>
    <row r="1031" spans="1:24" x14ac:dyDescent="0.25">
      <c r="A1031" s="17" t="s">
        <v>65</v>
      </c>
      <c r="B1031" s="13" t="str">
        <f t="shared" si="16"/>
        <v>Winger</v>
      </c>
      <c r="C1031" s="7">
        <v>45358.420439814814</v>
      </c>
      <c r="D1031" s="14">
        <v>2522</v>
      </c>
      <c r="E1031" s="14">
        <v>25</v>
      </c>
      <c r="F1031" s="14">
        <v>6</v>
      </c>
      <c r="G1031" s="14">
        <v>6</v>
      </c>
      <c r="H1031" s="14">
        <v>26.33</v>
      </c>
      <c r="I1031" s="14">
        <f>'PIVOT TABLES'!$B$26</f>
        <v>60.283999999999999</v>
      </c>
      <c r="J1031" s="14">
        <f>'PIVOT TABLES'!$B$27-'PIVOT TABLES'!$B$26</f>
        <v>30.142000000000003</v>
      </c>
      <c r="K1031" s="14">
        <f>'PIVOT TABLES'!$B$28-'PIVOT TABLES'!$B$27</f>
        <v>30.141999999999996</v>
      </c>
      <c r="L1031" s="14">
        <f>200-SUM(Table3[[#This Row],[D - LIGHT]:[D - VIGOROUS]])</f>
        <v>79.432000000000002</v>
      </c>
      <c r="M1031" s="14">
        <f>'PIVOT TABLES'!$I$26</f>
        <v>65.603999999999999</v>
      </c>
      <c r="N1031" s="14">
        <f>'PIVOT TABLES'!$I$27-'PIVOT TABLES'!$I$26</f>
        <v>32.802000000000007</v>
      </c>
      <c r="O1031" s="14">
        <f>'PIVOT TABLES'!$I$28-'PIVOT TABLES'!$I$27</f>
        <v>32.801999999999992</v>
      </c>
      <c r="P1031" s="14">
        <f>200-SUM(Table3[[#This Row],[M - LIGHT]:[M - VIGOROUS]])</f>
        <v>68.792000000000002</v>
      </c>
      <c r="Q1031" s="14">
        <f>'PIVOT TABLES'!$P$26</f>
        <v>62.64</v>
      </c>
      <c r="R1031" s="14">
        <f>'PIVOT TABLES'!$P$27-'PIVOT TABLES'!$P$26</f>
        <v>31.320000000000007</v>
      </c>
      <c r="S1031" s="14">
        <f>'PIVOT TABLES'!$P$28-'PIVOT TABLES'!$P$27</f>
        <v>31.319999999999993</v>
      </c>
      <c r="T1031" s="14">
        <f>200-SUM(Table3[[#This Row],[W - LIGHT]:[W - VIGOROUS]])</f>
        <v>74.72</v>
      </c>
      <c r="U1031" s="14">
        <f>'PIVOT TABLES'!$W$26</f>
        <v>55.895999999999994</v>
      </c>
      <c r="V1031" s="14">
        <f>'PIVOT TABLES'!$W$27-'PIVOT TABLES'!$W$26</f>
        <v>27.948</v>
      </c>
      <c r="W1031" s="14">
        <f>'PIVOT TABLES'!$W$28-'PIVOT TABLES'!$W$27</f>
        <v>27.947999999999993</v>
      </c>
      <c r="X1031" s="14">
        <f>200-SUM(Table3[[#This Row],[S - LIGHT]:[S - VIGOROUS]])</f>
        <v>88.208000000000013</v>
      </c>
    </row>
    <row r="1032" spans="1:24" x14ac:dyDescent="0.25">
      <c r="A1032" s="17" t="s">
        <v>66</v>
      </c>
      <c r="B1032" s="13" t="str">
        <f t="shared" si="16"/>
        <v>Striker</v>
      </c>
      <c r="C1032" s="7">
        <v>45358.420439814814</v>
      </c>
      <c r="D1032" s="14">
        <v>3014</v>
      </c>
      <c r="E1032" s="14">
        <v>0</v>
      </c>
      <c r="F1032" s="14">
        <v>9</v>
      </c>
      <c r="G1032" s="14">
        <v>10</v>
      </c>
      <c r="H1032" s="14">
        <v>30.7</v>
      </c>
      <c r="I1032" s="14">
        <f>'PIVOT TABLES'!$B$26</f>
        <v>60.283999999999999</v>
      </c>
      <c r="J1032" s="14">
        <f>'PIVOT TABLES'!$B$27-'PIVOT TABLES'!$B$26</f>
        <v>30.142000000000003</v>
      </c>
      <c r="K1032" s="14">
        <f>'PIVOT TABLES'!$B$28-'PIVOT TABLES'!$B$27</f>
        <v>30.141999999999996</v>
      </c>
      <c r="L1032" s="14">
        <f>200-SUM(Table3[[#This Row],[D - LIGHT]:[D - VIGOROUS]])</f>
        <v>79.432000000000002</v>
      </c>
      <c r="M1032" s="14">
        <f>'PIVOT TABLES'!$I$26</f>
        <v>65.603999999999999</v>
      </c>
      <c r="N1032" s="14">
        <f>'PIVOT TABLES'!$I$27-'PIVOT TABLES'!$I$26</f>
        <v>32.802000000000007</v>
      </c>
      <c r="O1032" s="14">
        <f>'PIVOT TABLES'!$I$28-'PIVOT TABLES'!$I$27</f>
        <v>32.801999999999992</v>
      </c>
      <c r="P1032" s="14">
        <f>200-SUM(Table3[[#This Row],[M - LIGHT]:[M - VIGOROUS]])</f>
        <v>68.792000000000002</v>
      </c>
      <c r="Q1032" s="14">
        <f>'PIVOT TABLES'!$P$26</f>
        <v>62.64</v>
      </c>
      <c r="R1032" s="14">
        <f>'PIVOT TABLES'!$P$27-'PIVOT TABLES'!$P$26</f>
        <v>31.320000000000007</v>
      </c>
      <c r="S1032" s="14">
        <f>'PIVOT TABLES'!$P$28-'PIVOT TABLES'!$P$27</f>
        <v>31.319999999999993</v>
      </c>
      <c r="T1032" s="14">
        <f>200-SUM(Table3[[#This Row],[W - LIGHT]:[W - VIGOROUS]])</f>
        <v>74.72</v>
      </c>
      <c r="U1032" s="14">
        <f>'PIVOT TABLES'!$W$26</f>
        <v>55.895999999999994</v>
      </c>
      <c r="V1032" s="14">
        <f>'PIVOT TABLES'!$W$27-'PIVOT TABLES'!$W$26</f>
        <v>27.948</v>
      </c>
      <c r="W1032" s="14">
        <f>'PIVOT TABLES'!$W$28-'PIVOT TABLES'!$W$27</f>
        <v>27.947999999999993</v>
      </c>
      <c r="X1032" s="14">
        <f>200-SUM(Table3[[#This Row],[S - LIGHT]:[S - VIGOROUS]])</f>
        <v>88.208000000000013</v>
      </c>
    </row>
    <row r="1033" spans="1:24" x14ac:dyDescent="0.25">
      <c r="A1033" s="17" t="s">
        <v>78</v>
      </c>
      <c r="B1033" s="13" t="str">
        <f t="shared" si="16"/>
        <v>Defender</v>
      </c>
      <c r="C1033" s="7">
        <v>45358.420439814814</v>
      </c>
      <c r="D1033" s="14">
        <v>3098</v>
      </c>
      <c r="E1033" s="14">
        <v>0</v>
      </c>
      <c r="F1033" s="14">
        <v>2</v>
      </c>
      <c r="G1033" s="14">
        <v>3</v>
      </c>
      <c r="H1033" s="14">
        <v>31.12</v>
      </c>
      <c r="I1033" s="14">
        <f>'PIVOT TABLES'!$B$26</f>
        <v>60.283999999999999</v>
      </c>
      <c r="J1033" s="14">
        <f>'PIVOT TABLES'!$B$27-'PIVOT TABLES'!$B$26</f>
        <v>30.142000000000003</v>
      </c>
      <c r="K1033" s="14">
        <f>'PIVOT TABLES'!$B$28-'PIVOT TABLES'!$B$27</f>
        <v>30.141999999999996</v>
      </c>
      <c r="L1033" s="14">
        <f>200-SUM(Table3[[#This Row],[D - LIGHT]:[D - VIGOROUS]])</f>
        <v>79.432000000000002</v>
      </c>
      <c r="M1033" s="14">
        <f>'PIVOT TABLES'!$I$26</f>
        <v>65.603999999999999</v>
      </c>
      <c r="N1033" s="14">
        <f>'PIVOT TABLES'!$I$27-'PIVOT TABLES'!$I$26</f>
        <v>32.802000000000007</v>
      </c>
      <c r="O1033" s="14">
        <f>'PIVOT TABLES'!$I$28-'PIVOT TABLES'!$I$27</f>
        <v>32.801999999999992</v>
      </c>
      <c r="P1033" s="14">
        <f>200-SUM(Table3[[#This Row],[M - LIGHT]:[M - VIGOROUS]])</f>
        <v>68.792000000000002</v>
      </c>
      <c r="Q1033" s="14">
        <f>'PIVOT TABLES'!$P$26</f>
        <v>62.64</v>
      </c>
      <c r="R1033" s="14">
        <f>'PIVOT TABLES'!$P$27-'PIVOT TABLES'!$P$26</f>
        <v>31.320000000000007</v>
      </c>
      <c r="S1033" s="14">
        <f>'PIVOT TABLES'!$P$28-'PIVOT TABLES'!$P$27</f>
        <v>31.319999999999993</v>
      </c>
      <c r="T1033" s="14">
        <f>200-SUM(Table3[[#This Row],[W - LIGHT]:[W - VIGOROUS]])</f>
        <v>74.72</v>
      </c>
      <c r="U1033" s="14">
        <f>'PIVOT TABLES'!$W$26</f>
        <v>55.895999999999994</v>
      </c>
      <c r="V1033" s="14">
        <f>'PIVOT TABLES'!$W$27-'PIVOT TABLES'!$W$26</f>
        <v>27.948</v>
      </c>
      <c r="W1033" s="14">
        <f>'PIVOT TABLES'!$W$28-'PIVOT TABLES'!$W$27</f>
        <v>27.947999999999993</v>
      </c>
      <c r="X1033" s="14">
        <f>200-SUM(Table3[[#This Row],[S - LIGHT]:[S - VIGOROUS]])</f>
        <v>88.208000000000013</v>
      </c>
    </row>
    <row r="1034" spans="1:24" x14ac:dyDescent="0.25">
      <c r="A1034" s="17" t="s">
        <v>95</v>
      </c>
      <c r="B1034" s="13" t="str">
        <f t="shared" si="16"/>
        <v>Winger</v>
      </c>
      <c r="C1034" s="7">
        <v>45358.420439814814</v>
      </c>
      <c r="D1034" s="14">
        <v>3106</v>
      </c>
      <c r="E1034" s="14">
        <v>11</v>
      </c>
      <c r="F1034" s="14">
        <v>5</v>
      </c>
      <c r="G1034" s="14">
        <v>4</v>
      </c>
      <c r="H1034" s="14">
        <v>31.67</v>
      </c>
      <c r="I1034" s="14">
        <f>'PIVOT TABLES'!$B$26</f>
        <v>60.283999999999999</v>
      </c>
      <c r="J1034" s="14">
        <f>'PIVOT TABLES'!$B$27-'PIVOT TABLES'!$B$26</f>
        <v>30.142000000000003</v>
      </c>
      <c r="K1034" s="14">
        <f>'PIVOT TABLES'!$B$28-'PIVOT TABLES'!$B$27</f>
        <v>30.141999999999996</v>
      </c>
      <c r="L1034" s="14">
        <f>200-SUM(Table3[[#This Row],[D - LIGHT]:[D - VIGOROUS]])</f>
        <v>79.432000000000002</v>
      </c>
      <c r="M1034" s="14">
        <f>'PIVOT TABLES'!$I$26</f>
        <v>65.603999999999999</v>
      </c>
      <c r="N1034" s="14">
        <f>'PIVOT TABLES'!$I$27-'PIVOT TABLES'!$I$26</f>
        <v>32.802000000000007</v>
      </c>
      <c r="O1034" s="14">
        <f>'PIVOT TABLES'!$I$28-'PIVOT TABLES'!$I$27</f>
        <v>32.801999999999992</v>
      </c>
      <c r="P1034" s="14">
        <f>200-SUM(Table3[[#This Row],[M - LIGHT]:[M - VIGOROUS]])</f>
        <v>68.792000000000002</v>
      </c>
      <c r="Q1034" s="14">
        <f>'PIVOT TABLES'!$P$26</f>
        <v>62.64</v>
      </c>
      <c r="R1034" s="14">
        <f>'PIVOT TABLES'!$P$27-'PIVOT TABLES'!$P$26</f>
        <v>31.320000000000007</v>
      </c>
      <c r="S1034" s="14">
        <f>'PIVOT TABLES'!$P$28-'PIVOT TABLES'!$P$27</f>
        <v>31.319999999999993</v>
      </c>
      <c r="T1034" s="14">
        <f>200-SUM(Table3[[#This Row],[W - LIGHT]:[W - VIGOROUS]])</f>
        <v>74.72</v>
      </c>
      <c r="U1034" s="14">
        <f>'PIVOT TABLES'!$W$26</f>
        <v>55.895999999999994</v>
      </c>
      <c r="V1034" s="14">
        <f>'PIVOT TABLES'!$W$27-'PIVOT TABLES'!$W$26</f>
        <v>27.948</v>
      </c>
      <c r="W1034" s="14">
        <f>'PIVOT TABLES'!$W$28-'PIVOT TABLES'!$W$27</f>
        <v>27.947999999999993</v>
      </c>
      <c r="X1034" s="14">
        <f>200-SUM(Table3[[#This Row],[S - LIGHT]:[S - VIGOROUS]])</f>
        <v>88.208000000000013</v>
      </c>
    </row>
    <row r="1035" spans="1:24" x14ac:dyDescent="0.25">
      <c r="A1035" s="17" t="s">
        <v>96</v>
      </c>
      <c r="B1035" s="13" t="str">
        <f t="shared" si="16"/>
        <v>Winger</v>
      </c>
      <c r="C1035" s="7">
        <v>45358.420439814814</v>
      </c>
      <c r="D1035" s="14">
        <v>2117</v>
      </c>
      <c r="E1035" s="14">
        <v>0</v>
      </c>
      <c r="F1035" s="14">
        <v>0</v>
      </c>
      <c r="G1035" s="14">
        <v>3</v>
      </c>
      <c r="H1035" s="14">
        <v>21.23</v>
      </c>
      <c r="I1035" s="14">
        <f>'PIVOT TABLES'!$B$26</f>
        <v>60.283999999999999</v>
      </c>
      <c r="J1035" s="14">
        <f>'PIVOT TABLES'!$B$27-'PIVOT TABLES'!$B$26</f>
        <v>30.142000000000003</v>
      </c>
      <c r="K1035" s="14">
        <f>'PIVOT TABLES'!$B$28-'PIVOT TABLES'!$B$27</f>
        <v>30.141999999999996</v>
      </c>
      <c r="L1035" s="14">
        <f>200-SUM(Table3[[#This Row],[D - LIGHT]:[D - VIGOROUS]])</f>
        <v>79.432000000000002</v>
      </c>
      <c r="M1035" s="14">
        <f>'PIVOT TABLES'!$I$26</f>
        <v>65.603999999999999</v>
      </c>
      <c r="N1035" s="14">
        <f>'PIVOT TABLES'!$I$27-'PIVOT TABLES'!$I$26</f>
        <v>32.802000000000007</v>
      </c>
      <c r="O1035" s="14">
        <f>'PIVOT TABLES'!$I$28-'PIVOT TABLES'!$I$27</f>
        <v>32.801999999999992</v>
      </c>
      <c r="P1035" s="14">
        <f>200-SUM(Table3[[#This Row],[M - LIGHT]:[M - VIGOROUS]])</f>
        <v>68.792000000000002</v>
      </c>
      <c r="Q1035" s="14">
        <f>'PIVOT TABLES'!$P$26</f>
        <v>62.64</v>
      </c>
      <c r="R1035" s="14">
        <f>'PIVOT TABLES'!$P$27-'PIVOT TABLES'!$P$26</f>
        <v>31.320000000000007</v>
      </c>
      <c r="S1035" s="14">
        <f>'PIVOT TABLES'!$P$28-'PIVOT TABLES'!$P$27</f>
        <v>31.319999999999993</v>
      </c>
      <c r="T1035" s="14">
        <f>200-SUM(Table3[[#This Row],[W - LIGHT]:[W - VIGOROUS]])</f>
        <v>74.72</v>
      </c>
      <c r="U1035" s="14">
        <f>'PIVOT TABLES'!$W$26</f>
        <v>55.895999999999994</v>
      </c>
      <c r="V1035" s="14">
        <f>'PIVOT TABLES'!$W$27-'PIVOT TABLES'!$W$26</f>
        <v>27.948</v>
      </c>
      <c r="W1035" s="14">
        <f>'PIVOT TABLES'!$W$28-'PIVOT TABLES'!$W$27</f>
        <v>27.947999999999993</v>
      </c>
      <c r="X1035" s="14">
        <f>200-SUM(Table3[[#This Row],[S - LIGHT]:[S - VIGOROUS]])</f>
        <v>88.208000000000013</v>
      </c>
    </row>
    <row r="1036" spans="1:24" x14ac:dyDescent="0.25">
      <c r="A1036" s="17" t="s">
        <v>8</v>
      </c>
      <c r="B1036" s="13" t="str">
        <f t="shared" si="16"/>
        <v>Striker</v>
      </c>
      <c r="C1036" s="7">
        <v>45358.420439814814</v>
      </c>
      <c r="D1036" s="14">
        <v>2982</v>
      </c>
      <c r="E1036" s="14">
        <v>0</v>
      </c>
      <c r="F1036" s="14">
        <v>4</v>
      </c>
      <c r="G1036" s="14">
        <v>18</v>
      </c>
      <c r="H1036" s="14">
        <v>30.34</v>
      </c>
      <c r="I1036" s="14">
        <f>'PIVOT TABLES'!$B$26</f>
        <v>60.283999999999999</v>
      </c>
      <c r="J1036" s="14">
        <f>'PIVOT TABLES'!$B$27-'PIVOT TABLES'!$B$26</f>
        <v>30.142000000000003</v>
      </c>
      <c r="K1036" s="14">
        <f>'PIVOT TABLES'!$B$28-'PIVOT TABLES'!$B$27</f>
        <v>30.141999999999996</v>
      </c>
      <c r="L1036" s="14">
        <f>200-SUM(Table3[[#This Row],[D - LIGHT]:[D - VIGOROUS]])</f>
        <v>79.432000000000002</v>
      </c>
      <c r="M1036" s="14">
        <f>'PIVOT TABLES'!$I$26</f>
        <v>65.603999999999999</v>
      </c>
      <c r="N1036" s="14">
        <f>'PIVOT TABLES'!$I$27-'PIVOT TABLES'!$I$26</f>
        <v>32.802000000000007</v>
      </c>
      <c r="O1036" s="14">
        <f>'PIVOT TABLES'!$I$28-'PIVOT TABLES'!$I$27</f>
        <v>32.801999999999992</v>
      </c>
      <c r="P1036" s="14">
        <f>200-SUM(Table3[[#This Row],[M - LIGHT]:[M - VIGOROUS]])</f>
        <v>68.792000000000002</v>
      </c>
      <c r="Q1036" s="14">
        <f>'PIVOT TABLES'!$P$26</f>
        <v>62.64</v>
      </c>
      <c r="R1036" s="14">
        <f>'PIVOT TABLES'!$P$27-'PIVOT TABLES'!$P$26</f>
        <v>31.320000000000007</v>
      </c>
      <c r="S1036" s="14">
        <f>'PIVOT TABLES'!$P$28-'PIVOT TABLES'!$P$27</f>
        <v>31.319999999999993</v>
      </c>
      <c r="T1036" s="14">
        <f>200-SUM(Table3[[#This Row],[W - LIGHT]:[W - VIGOROUS]])</f>
        <v>74.72</v>
      </c>
      <c r="U1036" s="14">
        <f>'PIVOT TABLES'!$W$26</f>
        <v>55.895999999999994</v>
      </c>
      <c r="V1036" s="14">
        <f>'PIVOT TABLES'!$W$27-'PIVOT TABLES'!$W$26</f>
        <v>27.948</v>
      </c>
      <c r="W1036" s="14">
        <f>'PIVOT TABLES'!$W$28-'PIVOT TABLES'!$W$27</f>
        <v>27.947999999999993</v>
      </c>
      <c r="X1036" s="14">
        <f>200-SUM(Table3[[#This Row],[S - LIGHT]:[S - VIGOROUS]])</f>
        <v>88.208000000000013</v>
      </c>
    </row>
    <row r="1037" spans="1:24" x14ac:dyDescent="0.25">
      <c r="A1037" s="17" t="s">
        <v>67</v>
      </c>
      <c r="B1037" s="13" t="str">
        <f t="shared" si="16"/>
        <v>Midfielder</v>
      </c>
      <c r="C1037" s="7">
        <v>45358.420439814814</v>
      </c>
      <c r="D1037" s="14">
        <v>2626</v>
      </c>
      <c r="E1037" s="14">
        <v>0</v>
      </c>
      <c r="F1037" s="14">
        <v>3</v>
      </c>
      <c r="G1037" s="14">
        <v>3</v>
      </c>
      <c r="H1037" s="14">
        <v>26.44</v>
      </c>
      <c r="I1037" s="14">
        <f>'PIVOT TABLES'!$B$26</f>
        <v>60.283999999999999</v>
      </c>
      <c r="J1037" s="14">
        <f>'PIVOT TABLES'!$B$27-'PIVOT TABLES'!$B$26</f>
        <v>30.142000000000003</v>
      </c>
      <c r="K1037" s="14">
        <f>'PIVOT TABLES'!$B$28-'PIVOT TABLES'!$B$27</f>
        <v>30.141999999999996</v>
      </c>
      <c r="L1037" s="14">
        <f>200-SUM(Table3[[#This Row],[D - LIGHT]:[D - VIGOROUS]])</f>
        <v>79.432000000000002</v>
      </c>
      <c r="M1037" s="14">
        <f>'PIVOT TABLES'!$I$26</f>
        <v>65.603999999999999</v>
      </c>
      <c r="N1037" s="14">
        <f>'PIVOT TABLES'!$I$27-'PIVOT TABLES'!$I$26</f>
        <v>32.802000000000007</v>
      </c>
      <c r="O1037" s="14">
        <f>'PIVOT TABLES'!$I$28-'PIVOT TABLES'!$I$27</f>
        <v>32.801999999999992</v>
      </c>
      <c r="P1037" s="14">
        <f>200-SUM(Table3[[#This Row],[M - LIGHT]:[M - VIGOROUS]])</f>
        <v>68.792000000000002</v>
      </c>
      <c r="Q1037" s="14">
        <f>'PIVOT TABLES'!$P$26</f>
        <v>62.64</v>
      </c>
      <c r="R1037" s="14">
        <f>'PIVOT TABLES'!$P$27-'PIVOT TABLES'!$P$26</f>
        <v>31.320000000000007</v>
      </c>
      <c r="S1037" s="14">
        <f>'PIVOT TABLES'!$P$28-'PIVOT TABLES'!$P$27</f>
        <v>31.319999999999993</v>
      </c>
      <c r="T1037" s="14">
        <f>200-SUM(Table3[[#This Row],[W - LIGHT]:[W - VIGOROUS]])</f>
        <v>74.72</v>
      </c>
      <c r="U1037" s="14">
        <f>'PIVOT TABLES'!$W$26</f>
        <v>55.895999999999994</v>
      </c>
      <c r="V1037" s="14">
        <f>'PIVOT TABLES'!$W$27-'PIVOT TABLES'!$W$26</f>
        <v>27.948</v>
      </c>
      <c r="W1037" s="14">
        <f>'PIVOT TABLES'!$W$28-'PIVOT TABLES'!$W$27</f>
        <v>27.947999999999993</v>
      </c>
      <c r="X1037" s="14">
        <f>200-SUM(Table3[[#This Row],[S - LIGHT]:[S - VIGOROUS]])</f>
        <v>88.208000000000013</v>
      </c>
    </row>
    <row r="1038" spans="1:24" x14ac:dyDescent="0.25">
      <c r="A1038" s="17" t="s">
        <v>9</v>
      </c>
      <c r="B1038" s="13" t="str">
        <f t="shared" si="16"/>
        <v>Striker</v>
      </c>
      <c r="C1038" s="7">
        <v>45358.420439814814</v>
      </c>
      <c r="D1038" s="14">
        <v>3601</v>
      </c>
      <c r="E1038" s="14">
        <v>105</v>
      </c>
      <c r="F1038" s="14">
        <v>5</v>
      </c>
      <c r="G1038" s="14">
        <v>4</v>
      </c>
      <c r="H1038" s="14">
        <v>39.44</v>
      </c>
      <c r="I1038" s="14">
        <f>'PIVOT TABLES'!$B$26</f>
        <v>60.283999999999999</v>
      </c>
      <c r="J1038" s="14">
        <f>'PIVOT TABLES'!$B$27-'PIVOT TABLES'!$B$26</f>
        <v>30.142000000000003</v>
      </c>
      <c r="K1038" s="14">
        <f>'PIVOT TABLES'!$B$28-'PIVOT TABLES'!$B$27</f>
        <v>30.141999999999996</v>
      </c>
      <c r="L1038" s="14">
        <f>200-SUM(Table3[[#This Row],[D - LIGHT]:[D - VIGOROUS]])</f>
        <v>79.432000000000002</v>
      </c>
      <c r="M1038" s="14">
        <f>'PIVOT TABLES'!$I$26</f>
        <v>65.603999999999999</v>
      </c>
      <c r="N1038" s="14">
        <f>'PIVOT TABLES'!$I$27-'PIVOT TABLES'!$I$26</f>
        <v>32.802000000000007</v>
      </c>
      <c r="O1038" s="14">
        <f>'PIVOT TABLES'!$I$28-'PIVOT TABLES'!$I$27</f>
        <v>32.801999999999992</v>
      </c>
      <c r="P1038" s="14">
        <f>200-SUM(Table3[[#This Row],[M - LIGHT]:[M - VIGOROUS]])</f>
        <v>68.792000000000002</v>
      </c>
      <c r="Q1038" s="14">
        <f>'PIVOT TABLES'!$P$26</f>
        <v>62.64</v>
      </c>
      <c r="R1038" s="14">
        <f>'PIVOT TABLES'!$P$27-'PIVOT TABLES'!$P$26</f>
        <v>31.320000000000007</v>
      </c>
      <c r="S1038" s="14">
        <f>'PIVOT TABLES'!$P$28-'PIVOT TABLES'!$P$27</f>
        <v>31.319999999999993</v>
      </c>
      <c r="T1038" s="14">
        <f>200-SUM(Table3[[#This Row],[W - LIGHT]:[W - VIGOROUS]])</f>
        <v>74.72</v>
      </c>
      <c r="U1038" s="14">
        <f>'PIVOT TABLES'!$W$26</f>
        <v>55.895999999999994</v>
      </c>
      <c r="V1038" s="14">
        <f>'PIVOT TABLES'!$W$27-'PIVOT TABLES'!$W$26</f>
        <v>27.948</v>
      </c>
      <c r="W1038" s="14">
        <f>'PIVOT TABLES'!$W$28-'PIVOT TABLES'!$W$27</f>
        <v>27.947999999999993</v>
      </c>
      <c r="X1038" s="14">
        <f>200-SUM(Table3[[#This Row],[S - LIGHT]:[S - VIGOROUS]])</f>
        <v>88.208000000000013</v>
      </c>
    </row>
    <row r="1039" spans="1:24" x14ac:dyDescent="0.25">
      <c r="A1039" s="17" t="s">
        <v>69</v>
      </c>
      <c r="B1039" s="13" t="str">
        <f t="shared" si="16"/>
        <v>Midfielder</v>
      </c>
      <c r="C1039" s="7">
        <v>45358.420439814814</v>
      </c>
      <c r="D1039" s="14">
        <v>3238</v>
      </c>
      <c r="E1039" s="14">
        <v>12</v>
      </c>
      <c r="F1039" s="14">
        <v>14</v>
      </c>
      <c r="G1039" s="14">
        <v>5</v>
      </c>
      <c r="H1039" s="14">
        <v>33.4</v>
      </c>
      <c r="I1039" s="14">
        <f>'PIVOT TABLES'!$B$26</f>
        <v>60.283999999999999</v>
      </c>
      <c r="J1039" s="14">
        <f>'PIVOT TABLES'!$B$27-'PIVOT TABLES'!$B$26</f>
        <v>30.142000000000003</v>
      </c>
      <c r="K1039" s="14">
        <f>'PIVOT TABLES'!$B$28-'PIVOT TABLES'!$B$27</f>
        <v>30.141999999999996</v>
      </c>
      <c r="L1039" s="14">
        <f>200-SUM(Table3[[#This Row],[D - LIGHT]:[D - VIGOROUS]])</f>
        <v>79.432000000000002</v>
      </c>
      <c r="M1039" s="14">
        <f>'PIVOT TABLES'!$I$26</f>
        <v>65.603999999999999</v>
      </c>
      <c r="N1039" s="14">
        <f>'PIVOT TABLES'!$I$27-'PIVOT TABLES'!$I$26</f>
        <v>32.802000000000007</v>
      </c>
      <c r="O1039" s="14">
        <f>'PIVOT TABLES'!$I$28-'PIVOT TABLES'!$I$27</f>
        <v>32.801999999999992</v>
      </c>
      <c r="P1039" s="14">
        <f>200-SUM(Table3[[#This Row],[M - LIGHT]:[M - VIGOROUS]])</f>
        <v>68.792000000000002</v>
      </c>
      <c r="Q1039" s="14">
        <f>'PIVOT TABLES'!$P$26</f>
        <v>62.64</v>
      </c>
      <c r="R1039" s="14">
        <f>'PIVOT TABLES'!$P$27-'PIVOT TABLES'!$P$26</f>
        <v>31.320000000000007</v>
      </c>
      <c r="S1039" s="14">
        <f>'PIVOT TABLES'!$P$28-'PIVOT TABLES'!$P$27</f>
        <v>31.319999999999993</v>
      </c>
      <c r="T1039" s="14">
        <f>200-SUM(Table3[[#This Row],[W - LIGHT]:[W - VIGOROUS]])</f>
        <v>74.72</v>
      </c>
      <c r="U1039" s="14">
        <f>'PIVOT TABLES'!$W$26</f>
        <v>55.895999999999994</v>
      </c>
      <c r="V1039" s="14">
        <f>'PIVOT TABLES'!$W$27-'PIVOT TABLES'!$W$26</f>
        <v>27.948</v>
      </c>
      <c r="W1039" s="14">
        <f>'PIVOT TABLES'!$W$28-'PIVOT TABLES'!$W$27</f>
        <v>27.947999999999993</v>
      </c>
      <c r="X1039" s="14">
        <f>200-SUM(Table3[[#This Row],[S - LIGHT]:[S - VIGOROUS]])</f>
        <v>88.208000000000013</v>
      </c>
    </row>
    <row r="1040" spans="1:24" x14ac:dyDescent="0.25">
      <c r="A1040" s="44" t="s">
        <v>70</v>
      </c>
      <c r="B1040" s="13" t="str">
        <f t="shared" si="16"/>
        <v>Winger</v>
      </c>
      <c r="C1040" s="7">
        <v>45359.618796296294</v>
      </c>
      <c r="D1040" s="14">
        <v>4108</v>
      </c>
      <c r="E1040" s="14">
        <v>0</v>
      </c>
      <c r="F1040" s="14">
        <v>13</v>
      </c>
      <c r="G1040" s="14">
        <v>11</v>
      </c>
      <c r="H1040" s="14">
        <v>58.68</v>
      </c>
      <c r="I1040" s="14">
        <f>'PIVOT TABLES'!$B$26</f>
        <v>60.283999999999999</v>
      </c>
      <c r="J1040" s="14">
        <f>'PIVOT TABLES'!$B$27-'PIVOT TABLES'!$B$26</f>
        <v>30.142000000000003</v>
      </c>
      <c r="K1040" s="14">
        <f>'PIVOT TABLES'!$B$28-'PIVOT TABLES'!$B$27</f>
        <v>30.141999999999996</v>
      </c>
      <c r="L1040" s="14">
        <f>200-SUM(Table3[[#This Row],[D - LIGHT]:[D - VIGOROUS]])</f>
        <v>79.432000000000002</v>
      </c>
      <c r="M1040" s="14">
        <f>'PIVOT TABLES'!$I$26</f>
        <v>65.603999999999999</v>
      </c>
      <c r="N1040" s="14">
        <f>'PIVOT TABLES'!$I$27-'PIVOT TABLES'!$I$26</f>
        <v>32.802000000000007</v>
      </c>
      <c r="O1040" s="14">
        <f>'PIVOT TABLES'!$I$28-'PIVOT TABLES'!$I$27</f>
        <v>32.801999999999992</v>
      </c>
      <c r="P1040" s="14">
        <f>200-SUM(Table3[[#This Row],[M - LIGHT]:[M - VIGOROUS]])</f>
        <v>68.792000000000002</v>
      </c>
      <c r="Q1040" s="14">
        <f>'PIVOT TABLES'!$P$26</f>
        <v>62.64</v>
      </c>
      <c r="R1040" s="14">
        <f>'PIVOT TABLES'!$P$27-'PIVOT TABLES'!$P$26</f>
        <v>31.320000000000007</v>
      </c>
      <c r="S1040" s="14">
        <f>'PIVOT TABLES'!$P$28-'PIVOT TABLES'!$P$27</f>
        <v>31.319999999999993</v>
      </c>
      <c r="T1040" s="14">
        <f>200-SUM(Table3[[#This Row],[W - LIGHT]:[W - VIGOROUS]])</f>
        <v>74.72</v>
      </c>
      <c r="U1040" s="14">
        <f>'PIVOT TABLES'!$W$26</f>
        <v>55.895999999999994</v>
      </c>
      <c r="V1040" s="14">
        <f>'PIVOT TABLES'!$W$27-'PIVOT TABLES'!$W$26</f>
        <v>27.948</v>
      </c>
      <c r="W1040" s="14">
        <f>'PIVOT TABLES'!$W$28-'PIVOT TABLES'!$W$27</f>
        <v>27.947999999999993</v>
      </c>
      <c r="X1040" s="14">
        <f>200-SUM(Table3[[#This Row],[S - LIGHT]:[S - VIGOROUS]])</f>
        <v>88.208000000000013</v>
      </c>
    </row>
    <row r="1041" spans="1:24" x14ac:dyDescent="0.25">
      <c r="A1041" s="44" t="s">
        <v>53</v>
      </c>
      <c r="B1041" s="13" t="str">
        <f t="shared" si="16"/>
        <v>Midfielder</v>
      </c>
      <c r="C1041" s="7">
        <v>45359.618796296294</v>
      </c>
      <c r="D1041" s="14">
        <v>6723</v>
      </c>
      <c r="E1041" s="14">
        <v>61</v>
      </c>
      <c r="F1041" s="14">
        <v>26</v>
      </c>
      <c r="G1041" s="14">
        <v>20</v>
      </c>
      <c r="H1041" s="14">
        <v>87.57</v>
      </c>
      <c r="I1041" s="14">
        <f>'PIVOT TABLES'!$B$26</f>
        <v>60.283999999999999</v>
      </c>
      <c r="J1041" s="14">
        <f>'PIVOT TABLES'!$B$27-'PIVOT TABLES'!$B$26</f>
        <v>30.142000000000003</v>
      </c>
      <c r="K1041" s="14">
        <f>'PIVOT TABLES'!$B$28-'PIVOT TABLES'!$B$27</f>
        <v>30.141999999999996</v>
      </c>
      <c r="L1041" s="14">
        <f>200-SUM(Table3[[#This Row],[D - LIGHT]:[D - VIGOROUS]])</f>
        <v>79.432000000000002</v>
      </c>
      <c r="M1041" s="14">
        <f>'PIVOT TABLES'!$I$26</f>
        <v>65.603999999999999</v>
      </c>
      <c r="N1041" s="14">
        <f>'PIVOT TABLES'!$I$27-'PIVOT TABLES'!$I$26</f>
        <v>32.802000000000007</v>
      </c>
      <c r="O1041" s="14">
        <f>'PIVOT TABLES'!$I$28-'PIVOT TABLES'!$I$27</f>
        <v>32.801999999999992</v>
      </c>
      <c r="P1041" s="14">
        <f>200-SUM(Table3[[#This Row],[M - LIGHT]:[M - VIGOROUS]])</f>
        <v>68.792000000000002</v>
      </c>
      <c r="Q1041" s="14">
        <f>'PIVOT TABLES'!$P$26</f>
        <v>62.64</v>
      </c>
      <c r="R1041" s="14">
        <f>'PIVOT TABLES'!$P$27-'PIVOT TABLES'!$P$26</f>
        <v>31.320000000000007</v>
      </c>
      <c r="S1041" s="14">
        <f>'PIVOT TABLES'!$P$28-'PIVOT TABLES'!$P$27</f>
        <v>31.319999999999993</v>
      </c>
      <c r="T1041" s="14">
        <f>200-SUM(Table3[[#This Row],[W - LIGHT]:[W - VIGOROUS]])</f>
        <v>74.72</v>
      </c>
      <c r="U1041" s="14">
        <f>'PIVOT TABLES'!$W$26</f>
        <v>55.895999999999994</v>
      </c>
      <c r="V1041" s="14">
        <f>'PIVOT TABLES'!$W$27-'PIVOT TABLES'!$W$26</f>
        <v>27.948</v>
      </c>
      <c r="W1041" s="14">
        <f>'PIVOT TABLES'!$W$28-'PIVOT TABLES'!$W$27</f>
        <v>27.947999999999993</v>
      </c>
      <c r="X1041" s="14">
        <f>200-SUM(Table3[[#This Row],[S - LIGHT]:[S - VIGOROUS]])</f>
        <v>88.208000000000013</v>
      </c>
    </row>
    <row r="1042" spans="1:24" x14ac:dyDescent="0.25">
      <c r="A1042" s="44" t="s">
        <v>1</v>
      </c>
      <c r="B1042" s="13" t="str">
        <f t="shared" si="16"/>
        <v>Defender</v>
      </c>
      <c r="C1042" s="7">
        <v>45359.618796296294</v>
      </c>
      <c r="D1042" s="14">
        <v>2910</v>
      </c>
      <c r="E1042" s="14">
        <v>38</v>
      </c>
      <c r="F1042" s="14">
        <v>5</v>
      </c>
      <c r="G1042" s="14">
        <v>5</v>
      </c>
      <c r="H1042" s="14">
        <v>46.879999999999995</v>
      </c>
      <c r="I1042" s="14">
        <f>'PIVOT TABLES'!$B$26</f>
        <v>60.283999999999999</v>
      </c>
      <c r="J1042" s="14">
        <f>'PIVOT TABLES'!$B$27-'PIVOT TABLES'!$B$26</f>
        <v>30.142000000000003</v>
      </c>
      <c r="K1042" s="14">
        <f>'PIVOT TABLES'!$B$28-'PIVOT TABLES'!$B$27</f>
        <v>30.141999999999996</v>
      </c>
      <c r="L1042" s="14">
        <f>200-SUM(Table3[[#This Row],[D - LIGHT]:[D - VIGOROUS]])</f>
        <v>79.432000000000002</v>
      </c>
      <c r="M1042" s="14">
        <f>'PIVOT TABLES'!$I$26</f>
        <v>65.603999999999999</v>
      </c>
      <c r="N1042" s="14">
        <f>'PIVOT TABLES'!$I$27-'PIVOT TABLES'!$I$26</f>
        <v>32.802000000000007</v>
      </c>
      <c r="O1042" s="14">
        <f>'PIVOT TABLES'!$I$28-'PIVOT TABLES'!$I$27</f>
        <v>32.801999999999992</v>
      </c>
      <c r="P1042" s="14">
        <f>200-SUM(Table3[[#This Row],[M - LIGHT]:[M - VIGOROUS]])</f>
        <v>68.792000000000002</v>
      </c>
      <c r="Q1042" s="14">
        <f>'PIVOT TABLES'!$P$26</f>
        <v>62.64</v>
      </c>
      <c r="R1042" s="14">
        <f>'PIVOT TABLES'!$P$27-'PIVOT TABLES'!$P$26</f>
        <v>31.320000000000007</v>
      </c>
      <c r="S1042" s="14">
        <f>'PIVOT TABLES'!$P$28-'PIVOT TABLES'!$P$27</f>
        <v>31.319999999999993</v>
      </c>
      <c r="T1042" s="14">
        <f>200-SUM(Table3[[#This Row],[W - LIGHT]:[W - VIGOROUS]])</f>
        <v>74.72</v>
      </c>
      <c r="U1042" s="14">
        <f>'PIVOT TABLES'!$W$26</f>
        <v>55.895999999999994</v>
      </c>
      <c r="V1042" s="14">
        <f>'PIVOT TABLES'!$W$27-'PIVOT TABLES'!$W$26</f>
        <v>27.948</v>
      </c>
      <c r="W1042" s="14">
        <f>'PIVOT TABLES'!$W$28-'PIVOT TABLES'!$W$27</f>
        <v>27.947999999999993</v>
      </c>
      <c r="X1042" s="14">
        <f>200-SUM(Table3[[#This Row],[S - LIGHT]:[S - VIGOROUS]])</f>
        <v>88.208000000000013</v>
      </c>
    </row>
    <row r="1043" spans="1:24" x14ac:dyDescent="0.25">
      <c r="A1043" s="44" t="s">
        <v>56</v>
      </c>
      <c r="B1043" s="13" t="str">
        <f t="shared" si="16"/>
        <v>Midfielder</v>
      </c>
      <c r="C1043" s="7">
        <v>45359.618796296294</v>
      </c>
      <c r="D1043" s="14">
        <v>14035</v>
      </c>
      <c r="E1043" s="14">
        <v>52</v>
      </c>
      <c r="F1043" s="14">
        <v>35</v>
      </c>
      <c r="G1043" s="14">
        <v>20</v>
      </c>
      <c r="H1043" s="14">
        <v>143.71</v>
      </c>
      <c r="I1043" s="14">
        <f>'PIVOT TABLES'!$B$26</f>
        <v>60.283999999999999</v>
      </c>
      <c r="J1043" s="14">
        <f>'PIVOT TABLES'!$B$27-'PIVOT TABLES'!$B$26</f>
        <v>30.142000000000003</v>
      </c>
      <c r="K1043" s="14">
        <f>'PIVOT TABLES'!$B$28-'PIVOT TABLES'!$B$27</f>
        <v>30.141999999999996</v>
      </c>
      <c r="L1043" s="14">
        <f>200-SUM(Table3[[#This Row],[D - LIGHT]:[D - VIGOROUS]])</f>
        <v>79.432000000000002</v>
      </c>
      <c r="M1043" s="14">
        <f>'PIVOT TABLES'!$I$26</f>
        <v>65.603999999999999</v>
      </c>
      <c r="N1043" s="14">
        <f>'PIVOT TABLES'!$I$27-'PIVOT TABLES'!$I$26</f>
        <v>32.802000000000007</v>
      </c>
      <c r="O1043" s="14">
        <f>'PIVOT TABLES'!$I$28-'PIVOT TABLES'!$I$27</f>
        <v>32.801999999999992</v>
      </c>
      <c r="P1043" s="14">
        <f>200-SUM(Table3[[#This Row],[M - LIGHT]:[M - VIGOROUS]])</f>
        <v>68.792000000000002</v>
      </c>
      <c r="Q1043" s="14">
        <f>'PIVOT TABLES'!$P$26</f>
        <v>62.64</v>
      </c>
      <c r="R1043" s="14">
        <f>'PIVOT TABLES'!$P$27-'PIVOT TABLES'!$P$26</f>
        <v>31.320000000000007</v>
      </c>
      <c r="S1043" s="14">
        <f>'PIVOT TABLES'!$P$28-'PIVOT TABLES'!$P$27</f>
        <v>31.319999999999993</v>
      </c>
      <c r="T1043" s="14">
        <f>200-SUM(Table3[[#This Row],[W - LIGHT]:[W - VIGOROUS]])</f>
        <v>74.72</v>
      </c>
      <c r="U1043" s="14">
        <f>'PIVOT TABLES'!$W$26</f>
        <v>55.895999999999994</v>
      </c>
      <c r="V1043" s="14">
        <f>'PIVOT TABLES'!$W$27-'PIVOT TABLES'!$W$26</f>
        <v>27.948</v>
      </c>
      <c r="W1043" s="14">
        <f>'PIVOT TABLES'!$W$28-'PIVOT TABLES'!$W$27</f>
        <v>27.947999999999993</v>
      </c>
      <c r="X1043" s="14">
        <f>200-SUM(Table3[[#This Row],[S - LIGHT]:[S - VIGOROUS]])</f>
        <v>88.208000000000013</v>
      </c>
    </row>
    <row r="1044" spans="1:24" x14ac:dyDescent="0.25">
      <c r="A1044" s="44" t="s">
        <v>94</v>
      </c>
      <c r="B1044" s="13" t="str">
        <f t="shared" si="16"/>
        <v>Defender</v>
      </c>
      <c r="C1044" s="7">
        <v>45359.618796296294</v>
      </c>
      <c r="D1044" s="14">
        <v>11998</v>
      </c>
      <c r="E1044" s="14">
        <v>171</v>
      </c>
      <c r="F1044" s="14">
        <v>28</v>
      </c>
      <c r="G1044" s="14">
        <v>20</v>
      </c>
      <c r="H1044" s="14">
        <v>126.63</v>
      </c>
      <c r="I1044" s="14">
        <f>'PIVOT TABLES'!$B$26</f>
        <v>60.283999999999999</v>
      </c>
      <c r="J1044" s="14">
        <f>'PIVOT TABLES'!$B$27-'PIVOT TABLES'!$B$26</f>
        <v>30.142000000000003</v>
      </c>
      <c r="K1044" s="14">
        <f>'PIVOT TABLES'!$B$28-'PIVOT TABLES'!$B$27</f>
        <v>30.141999999999996</v>
      </c>
      <c r="L1044" s="14">
        <f>200-SUM(Table3[[#This Row],[D - LIGHT]:[D - VIGOROUS]])</f>
        <v>79.432000000000002</v>
      </c>
      <c r="M1044" s="14">
        <f>'PIVOT TABLES'!$I$26</f>
        <v>65.603999999999999</v>
      </c>
      <c r="N1044" s="14">
        <f>'PIVOT TABLES'!$I$27-'PIVOT TABLES'!$I$26</f>
        <v>32.802000000000007</v>
      </c>
      <c r="O1044" s="14">
        <f>'PIVOT TABLES'!$I$28-'PIVOT TABLES'!$I$27</f>
        <v>32.801999999999992</v>
      </c>
      <c r="P1044" s="14">
        <f>200-SUM(Table3[[#This Row],[M - LIGHT]:[M - VIGOROUS]])</f>
        <v>68.792000000000002</v>
      </c>
      <c r="Q1044" s="14">
        <f>'PIVOT TABLES'!$P$26</f>
        <v>62.64</v>
      </c>
      <c r="R1044" s="14">
        <f>'PIVOT TABLES'!$P$27-'PIVOT TABLES'!$P$26</f>
        <v>31.320000000000007</v>
      </c>
      <c r="S1044" s="14">
        <f>'PIVOT TABLES'!$P$28-'PIVOT TABLES'!$P$27</f>
        <v>31.319999999999993</v>
      </c>
      <c r="T1044" s="14">
        <f>200-SUM(Table3[[#This Row],[W - LIGHT]:[W - VIGOROUS]])</f>
        <v>74.72</v>
      </c>
      <c r="U1044" s="14">
        <f>'PIVOT TABLES'!$W$26</f>
        <v>55.895999999999994</v>
      </c>
      <c r="V1044" s="14">
        <f>'PIVOT TABLES'!$W$27-'PIVOT TABLES'!$W$26</f>
        <v>27.948</v>
      </c>
      <c r="W1044" s="14">
        <f>'PIVOT TABLES'!$W$28-'PIVOT TABLES'!$W$27</f>
        <v>27.947999999999993</v>
      </c>
      <c r="X1044" s="14">
        <f>200-SUM(Table3[[#This Row],[S - LIGHT]:[S - VIGOROUS]])</f>
        <v>88.208000000000013</v>
      </c>
    </row>
    <row r="1045" spans="1:24" x14ac:dyDescent="0.25">
      <c r="A1045" s="44" t="s">
        <v>3</v>
      </c>
      <c r="B1045" s="13" t="str">
        <f t="shared" si="16"/>
        <v>Defender</v>
      </c>
      <c r="C1045" s="7">
        <v>45359.618796296294</v>
      </c>
      <c r="D1045" s="14">
        <v>12086</v>
      </c>
      <c r="E1045" s="14">
        <v>175</v>
      </c>
      <c r="F1045" s="14">
        <v>39</v>
      </c>
      <c r="G1045" s="14">
        <v>35</v>
      </c>
      <c r="H1045" s="14">
        <v>128.37</v>
      </c>
      <c r="I1045" s="14">
        <f>'PIVOT TABLES'!$B$26</f>
        <v>60.283999999999999</v>
      </c>
      <c r="J1045" s="14">
        <f>'PIVOT TABLES'!$B$27-'PIVOT TABLES'!$B$26</f>
        <v>30.142000000000003</v>
      </c>
      <c r="K1045" s="14">
        <f>'PIVOT TABLES'!$B$28-'PIVOT TABLES'!$B$27</f>
        <v>30.141999999999996</v>
      </c>
      <c r="L1045" s="14">
        <f>200-SUM(Table3[[#This Row],[D - LIGHT]:[D - VIGOROUS]])</f>
        <v>79.432000000000002</v>
      </c>
      <c r="M1045" s="14">
        <f>'PIVOT TABLES'!$I$26</f>
        <v>65.603999999999999</v>
      </c>
      <c r="N1045" s="14">
        <f>'PIVOT TABLES'!$I$27-'PIVOT TABLES'!$I$26</f>
        <v>32.802000000000007</v>
      </c>
      <c r="O1045" s="14">
        <f>'PIVOT TABLES'!$I$28-'PIVOT TABLES'!$I$27</f>
        <v>32.801999999999992</v>
      </c>
      <c r="P1045" s="14">
        <f>200-SUM(Table3[[#This Row],[M - LIGHT]:[M - VIGOROUS]])</f>
        <v>68.792000000000002</v>
      </c>
      <c r="Q1045" s="14">
        <f>'PIVOT TABLES'!$P$26</f>
        <v>62.64</v>
      </c>
      <c r="R1045" s="14">
        <f>'PIVOT TABLES'!$P$27-'PIVOT TABLES'!$P$26</f>
        <v>31.320000000000007</v>
      </c>
      <c r="S1045" s="14">
        <f>'PIVOT TABLES'!$P$28-'PIVOT TABLES'!$P$27</f>
        <v>31.319999999999993</v>
      </c>
      <c r="T1045" s="14">
        <f>200-SUM(Table3[[#This Row],[W - LIGHT]:[W - VIGOROUS]])</f>
        <v>74.72</v>
      </c>
      <c r="U1045" s="14">
        <f>'PIVOT TABLES'!$W$26</f>
        <v>55.895999999999994</v>
      </c>
      <c r="V1045" s="14">
        <f>'PIVOT TABLES'!$W$27-'PIVOT TABLES'!$W$26</f>
        <v>27.948</v>
      </c>
      <c r="W1045" s="14">
        <f>'PIVOT TABLES'!$W$28-'PIVOT TABLES'!$W$27</f>
        <v>27.947999999999993</v>
      </c>
      <c r="X1045" s="14">
        <f>200-SUM(Table3[[#This Row],[S - LIGHT]:[S - VIGOROUS]])</f>
        <v>88.208000000000013</v>
      </c>
    </row>
    <row r="1046" spans="1:24" x14ac:dyDescent="0.25">
      <c r="A1046" s="44" t="s">
        <v>4</v>
      </c>
      <c r="B1046" s="13" t="str">
        <f t="shared" si="16"/>
        <v>Midfielder</v>
      </c>
      <c r="C1046" s="7">
        <v>45359.618796296294</v>
      </c>
      <c r="D1046" s="14">
        <v>2883</v>
      </c>
      <c r="E1046" s="14">
        <v>17</v>
      </c>
      <c r="F1046" s="14">
        <v>3</v>
      </c>
      <c r="G1046" s="14">
        <v>8</v>
      </c>
      <c r="H1046" s="14">
        <v>46.400000000000006</v>
      </c>
      <c r="I1046" s="14">
        <f>'PIVOT TABLES'!$B$26</f>
        <v>60.283999999999999</v>
      </c>
      <c r="J1046" s="14">
        <f>'PIVOT TABLES'!$B$27-'PIVOT TABLES'!$B$26</f>
        <v>30.142000000000003</v>
      </c>
      <c r="K1046" s="14">
        <f>'PIVOT TABLES'!$B$28-'PIVOT TABLES'!$B$27</f>
        <v>30.141999999999996</v>
      </c>
      <c r="L1046" s="14">
        <f>200-SUM(Table3[[#This Row],[D - LIGHT]:[D - VIGOROUS]])</f>
        <v>79.432000000000002</v>
      </c>
      <c r="M1046" s="14">
        <f>'PIVOT TABLES'!$I$26</f>
        <v>65.603999999999999</v>
      </c>
      <c r="N1046" s="14">
        <f>'PIVOT TABLES'!$I$27-'PIVOT TABLES'!$I$26</f>
        <v>32.802000000000007</v>
      </c>
      <c r="O1046" s="14">
        <f>'PIVOT TABLES'!$I$28-'PIVOT TABLES'!$I$27</f>
        <v>32.801999999999992</v>
      </c>
      <c r="P1046" s="14">
        <f>200-SUM(Table3[[#This Row],[M - LIGHT]:[M - VIGOROUS]])</f>
        <v>68.792000000000002</v>
      </c>
      <c r="Q1046" s="14">
        <f>'PIVOT TABLES'!$P$26</f>
        <v>62.64</v>
      </c>
      <c r="R1046" s="14">
        <f>'PIVOT TABLES'!$P$27-'PIVOT TABLES'!$P$26</f>
        <v>31.320000000000007</v>
      </c>
      <c r="S1046" s="14">
        <f>'PIVOT TABLES'!$P$28-'PIVOT TABLES'!$P$27</f>
        <v>31.319999999999993</v>
      </c>
      <c r="T1046" s="14">
        <f>200-SUM(Table3[[#This Row],[W - LIGHT]:[W - VIGOROUS]])</f>
        <v>74.72</v>
      </c>
      <c r="U1046" s="14">
        <f>'PIVOT TABLES'!$W$26</f>
        <v>55.895999999999994</v>
      </c>
      <c r="V1046" s="14">
        <f>'PIVOT TABLES'!$W$27-'PIVOT TABLES'!$W$26</f>
        <v>27.948</v>
      </c>
      <c r="W1046" s="14">
        <f>'PIVOT TABLES'!$W$28-'PIVOT TABLES'!$W$27</f>
        <v>27.947999999999993</v>
      </c>
      <c r="X1046" s="14">
        <f>200-SUM(Table3[[#This Row],[S - LIGHT]:[S - VIGOROUS]])</f>
        <v>88.208000000000013</v>
      </c>
    </row>
    <row r="1047" spans="1:24" x14ac:dyDescent="0.25">
      <c r="A1047" s="44" t="s">
        <v>60</v>
      </c>
      <c r="B1047" s="13" t="str">
        <f t="shared" si="16"/>
        <v>Winger</v>
      </c>
      <c r="C1047" s="7">
        <v>45359.618796296294</v>
      </c>
      <c r="D1047" s="14">
        <v>9498</v>
      </c>
      <c r="E1047" s="14">
        <v>173</v>
      </c>
      <c r="F1047" s="14">
        <v>40</v>
      </c>
      <c r="G1047" s="14">
        <v>32</v>
      </c>
      <c r="H1047" s="14">
        <v>102.41</v>
      </c>
      <c r="I1047" s="14">
        <f>'PIVOT TABLES'!$B$26</f>
        <v>60.283999999999999</v>
      </c>
      <c r="J1047" s="14">
        <f>'PIVOT TABLES'!$B$27-'PIVOT TABLES'!$B$26</f>
        <v>30.142000000000003</v>
      </c>
      <c r="K1047" s="14">
        <f>'PIVOT TABLES'!$B$28-'PIVOT TABLES'!$B$27</f>
        <v>30.141999999999996</v>
      </c>
      <c r="L1047" s="14">
        <f>200-SUM(Table3[[#This Row],[D - LIGHT]:[D - VIGOROUS]])</f>
        <v>79.432000000000002</v>
      </c>
      <c r="M1047" s="14">
        <f>'PIVOT TABLES'!$I$26</f>
        <v>65.603999999999999</v>
      </c>
      <c r="N1047" s="14">
        <f>'PIVOT TABLES'!$I$27-'PIVOT TABLES'!$I$26</f>
        <v>32.802000000000007</v>
      </c>
      <c r="O1047" s="14">
        <f>'PIVOT TABLES'!$I$28-'PIVOT TABLES'!$I$27</f>
        <v>32.801999999999992</v>
      </c>
      <c r="P1047" s="14">
        <f>200-SUM(Table3[[#This Row],[M - LIGHT]:[M - VIGOROUS]])</f>
        <v>68.792000000000002</v>
      </c>
      <c r="Q1047" s="14">
        <f>'PIVOT TABLES'!$P$26</f>
        <v>62.64</v>
      </c>
      <c r="R1047" s="14">
        <f>'PIVOT TABLES'!$P$27-'PIVOT TABLES'!$P$26</f>
        <v>31.320000000000007</v>
      </c>
      <c r="S1047" s="14">
        <f>'PIVOT TABLES'!$P$28-'PIVOT TABLES'!$P$27</f>
        <v>31.319999999999993</v>
      </c>
      <c r="T1047" s="14">
        <f>200-SUM(Table3[[#This Row],[W - LIGHT]:[W - VIGOROUS]])</f>
        <v>74.72</v>
      </c>
      <c r="U1047" s="14">
        <f>'PIVOT TABLES'!$W$26</f>
        <v>55.895999999999994</v>
      </c>
      <c r="V1047" s="14">
        <f>'PIVOT TABLES'!$W$27-'PIVOT TABLES'!$W$26</f>
        <v>27.948</v>
      </c>
      <c r="W1047" s="14">
        <f>'PIVOT TABLES'!$W$28-'PIVOT TABLES'!$W$27</f>
        <v>27.947999999999993</v>
      </c>
      <c r="X1047" s="14">
        <f>200-SUM(Table3[[#This Row],[S - LIGHT]:[S - VIGOROUS]])</f>
        <v>88.208000000000013</v>
      </c>
    </row>
    <row r="1048" spans="1:24" x14ac:dyDescent="0.25">
      <c r="A1048" s="44" t="s">
        <v>5</v>
      </c>
      <c r="B1048" s="13" t="str">
        <f t="shared" si="16"/>
        <v>Midfielder</v>
      </c>
      <c r="C1048" s="7">
        <v>45359.618796296294</v>
      </c>
      <c r="D1048" s="14">
        <v>8568</v>
      </c>
      <c r="E1048" s="14">
        <v>68</v>
      </c>
      <c r="F1048" s="14">
        <v>26</v>
      </c>
      <c r="G1048" s="14">
        <v>28</v>
      </c>
      <c r="H1048" s="14">
        <v>89.32</v>
      </c>
      <c r="I1048" s="14">
        <f>'PIVOT TABLES'!$B$26</f>
        <v>60.283999999999999</v>
      </c>
      <c r="J1048" s="14">
        <f>'PIVOT TABLES'!$B$27-'PIVOT TABLES'!$B$26</f>
        <v>30.142000000000003</v>
      </c>
      <c r="K1048" s="14">
        <f>'PIVOT TABLES'!$B$28-'PIVOT TABLES'!$B$27</f>
        <v>30.141999999999996</v>
      </c>
      <c r="L1048" s="14">
        <f>200-SUM(Table3[[#This Row],[D - LIGHT]:[D - VIGOROUS]])</f>
        <v>79.432000000000002</v>
      </c>
      <c r="M1048" s="14">
        <f>'PIVOT TABLES'!$I$26</f>
        <v>65.603999999999999</v>
      </c>
      <c r="N1048" s="14">
        <f>'PIVOT TABLES'!$I$27-'PIVOT TABLES'!$I$26</f>
        <v>32.802000000000007</v>
      </c>
      <c r="O1048" s="14">
        <f>'PIVOT TABLES'!$I$28-'PIVOT TABLES'!$I$27</f>
        <v>32.801999999999992</v>
      </c>
      <c r="P1048" s="14">
        <f>200-SUM(Table3[[#This Row],[M - LIGHT]:[M - VIGOROUS]])</f>
        <v>68.792000000000002</v>
      </c>
      <c r="Q1048" s="14">
        <f>'PIVOT TABLES'!$P$26</f>
        <v>62.64</v>
      </c>
      <c r="R1048" s="14">
        <f>'PIVOT TABLES'!$P$27-'PIVOT TABLES'!$P$26</f>
        <v>31.320000000000007</v>
      </c>
      <c r="S1048" s="14">
        <f>'PIVOT TABLES'!$P$28-'PIVOT TABLES'!$P$27</f>
        <v>31.319999999999993</v>
      </c>
      <c r="T1048" s="14">
        <f>200-SUM(Table3[[#This Row],[W - LIGHT]:[W - VIGOROUS]])</f>
        <v>74.72</v>
      </c>
      <c r="U1048" s="14">
        <f>'PIVOT TABLES'!$W$26</f>
        <v>55.895999999999994</v>
      </c>
      <c r="V1048" s="14">
        <f>'PIVOT TABLES'!$W$27-'PIVOT TABLES'!$W$26</f>
        <v>27.948</v>
      </c>
      <c r="W1048" s="14">
        <f>'PIVOT TABLES'!$W$28-'PIVOT TABLES'!$W$27</f>
        <v>27.947999999999993</v>
      </c>
      <c r="X1048" s="14">
        <f>200-SUM(Table3[[#This Row],[S - LIGHT]:[S - VIGOROUS]])</f>
        <v>88.208000000000013</v>
      </c>
    </row>
    <row r="1049" spans="1:24" x14ac:dyDescent="0.25">
      <c r="A1049" s="44" t="s">
        <v>6</v>
      </c>
      <c r="B1049" s="13" t="str">
        <f t="shared" si="16"/>
        <v>Midfielder</v>
      </c>
      <c r="C1049" s="7">
        <v>45359.618796296294</v>
      </c>
      <c r="D1049" s="14">
        <v>14187</v>
      </c>
      <c r="E1049" s="14">
        <v>400</v>
      </c>
      <c r="F1049" s="14">
        <v>56</v>
      </c>
      <c r="G1049" s="14">
        <v>45</v>
      </c>
      <c r="H1049" s="14">
        <v>157.01</v>
      </c>
      <c r="I1049" s="14">
        <f>'PIVOT TABLES'!$B$26</f>
        <v>60.283999999999999</v>
      </c>
      <c r="J1049" s="14">
        <f>'PIVOT TABLES'!$B$27-'PIVOT TABLES'!$B$26</f>
        <v>30.142000000000003</v>
      </c>
      <c r="K1049" s="14">
        <f>'PIVOT TABLES'!$B$28-'PIVOT TABLES'!$B$27</f>
        <v>30.141999999999996</v>
      </c>
      <c r="L1049" s="14">
        <f>200-SUM(Table3[[#This Row],[D - LIGHT]:[D - VIGOROUS]])</f>
        <v>79.432000000000002</v>
      </c>
      <c r="M1049" s="14">
        <f>'PIVOT TABLES'!$I$26</f>
        <v>65.603999999999999</v>
      </c>
      <c r="N1049" s="14">
        <f>'PIVOT TABLES'!$I$27-'PIVOT TABLES'!$I$26</f>
        <v>32.802000000000007</v>
      </c>
      <c r="O1049" s="14">
        <f>'PIVOT TABLES'!$I$28-'PIVOT TABLES'!$I$27</f>
        <v>32.801999999999992</v>
      </c>
      <c r="P1049" s="14">
        <f>200-SUM(Table3[[#This Row],[M - LIGHT]:[M - VIGOROUS]])</f>
        <v>68.792000000000002</v>
      </c>
      <c r="Q1049" s="14">
        <f>'PIVOT TABLES'!$P$26</f>
        <v>62.64</v>
      </c>
      <c r="R1049" s="14">
        <f>'PIVOT TABLES'!$P$27-'PIVOT TABLES'!$P$26</f>
        <v>31.320000000000007</v>
      </c>
      <c r="S1049" s="14">
        <f>'PIVOT TABLES'!$P$28-'PIVOT TABLES'!$P$27</f>
        <v>31.319999999999993</v>
      </c>
      <c r="T1049" s="14">
        <f>200-SUM(Table3[[#This Row],[W - LIGHT]:[W - VIGOROUS]])</f>
        <v>74.72</v>
      </c>
      <c r="U1049" s="14">
        <f>'PIVOT TABLES'!$W$26</f>
        <v>55.895999999999994</v>
      </c>
      <c r="V1049" s="14">
        <f>'PIVOT TABLES'!$W$27-'PIVOT TABLES'!$W$26</f>
        <v>27.948</v>
      </c>
      <c r="W1049" s="14">
        <f>'PIVOT TABLES'!$W$28-'PIVOT TABLES'!$W$27</f>
        <v>27.947999999999993</v>
      </c>
      <c r="X1049" s="14">
        <f>200-SUM(Table3[[#This Row],[S - LIGHT]:[S - VIGOROUS]])</f>
        <v>88.208000000000013</v>
      </c>
    </row>
    <row r="1050" spans="1:24" x14ac:dyDescent="0.25">
      <c r="A1050" s="44" t="s">
        <v>62</v>
      </c>
      <c r="B1050" s="13" t="str">
        <f t="shared" si="16"/>
        <v>Midfielder</v>
      </c>
      <c r="C1050" s="7">
        <v>45359.618796296294</v>
      </c>
      <c r="D1050" s="14">
        <v>8106</v>
      </c>
      <c r="E1050" s="14">
        <v>85</v>
      </c>
      <c r="F1050" s="14">
        <v>27</v>
      </c>
      <c r="G1050" s="14">
        <v>17</v>
      </c>
      <c r="H1050" s="14">
        <v>85.03</v>
      </c>
      <c r="I1050" s="14">
        <f>'PIVOT TABLES'!$B$26</f>
        <v>60.283999999999999</v>
      </c>
      <c r="J1050" s="14">
        <f>'PIVOT TABLES'!$B$27-'PIVOT TABLES'!$B$26</f>
        <v>30.142000000000003</v>
      </c>
      <c r="K1050" s="14">
        <f>'PIVOT TABLES'!$B$28-'PIVOT TABLES'!$B$27</f>
        <v>30.141999999999996</v>
      </c>
      <c r="L1050" s="14">
        <f>200-SUM(Table3[[#This Row],[D - LIGHT]:[D - VIGOROUS]])</f>
        <v>79.432000000000002</v>
      </c>
      <c r="M1050" s="14">
        <f>'PIVOT TABLES'!$I$26</f>
        <v>65.603999999999999</v>
      </c>
      <c r="N1050" s="14">
        <f>'PIVOT TABLES'!$I$27-'PIVOT TABLES'!$I$26</f>
        <v>32.802000000000007</v>
      </c>
      <c r="O1050" s="14">
        <f>'PIVOT TABLES'!$I$28-'PIVOT TABLES'!$I$27</f>
        <v>32.801999999999992</v>
      </c>
      <c r="P1050" s="14">
        <f>200-SUM(Table3[[#This Row],[M - LIGHT]:[M - VIGOROUS]])</f>
        <v>68.792000000000002</v>
      </c>
      <c r="Q1050" s="14">
        <f>'PIVOT TABLES'!$P$26</f>
        <v>62.64</v>
      </c>
      <c r="R1050" s="14">
        <f>'PIVOT TABLES'!$P$27-'PIVOT TABLES'!$P$26</f>
        <v>31.320000000000007</v>
      </c>
      <c r="S1050" s="14">
        <f>'PIVOT TABLES'!$P$28-'PIVOT TABLES'!$P$27</f>
        <v>31.319999999999993</v>
      </c>
      <c r="T1050" s="14">
        <f>200-SUM(Table3[[#This Row],[W - LIGHT]:[W - VIGOROUS]])</f>
        <v>74.72</v>
      </c>
      <c r="U1050" s="14">
        <f>'PIVOT TABLES'!$W$26</f>
        <v>55.895999999999994</v>
      </c>
      <c r="V1050" s="14">
        <f>'PIVOT TABLES'!$W$27-'PIVOT TABLES'!$W$26</f>
        <v>27.948</v>
      </c>
      <c r="W1050" s="14">
        <f>'PIVOT TABLES'!$W$28-'PIVOT TABLES'!$W$27</f>
        <v>27.947999999999993</v>
      </c>
      <c r="X1050" s="14">
        <f>200-SUM(Table3[[#This Row],[S - LIGHT]:[S - VIGOROUS]])</f>
        <v>88.208000000000013</v>
      </c>
    </row>
    <row r="1051" spans="1:24" x14ac:dyDescent="0.25">
      <c r="A1051" s="44" t="s">
        <v>64</v>
      </c>
      <c r="B1051" s="13" t="str">
        <f t="shared" si="16"/>
        <v>Midfielder</v>
      </c>
      <c r="C1051" s="7">
        <v>45359.618796296294</v>
      </c>
      <c r="D1051" s="14">
        <v>12799</v>
      </c>
      <c r="E1051" s="14">
        <v>263</v>
      </c>
      <c r="F1051" s="14">
        <v>47</v>
      </c>
      <c r="G1051" s="14">
        <v>35</v>
      </c>
      <c r="H1051" s="14">
        <v>138.46</v>
      </c>
      <c r="I1051" s="14">
        <f>'PIVOT TABLES'!$B$26</f>
        <v>60.283999999999999</v>
      </c>
      <c r="J1051" s="14">
        <f>'PIVOT TABLES'!$B$27-'PIVOT TABLES'!$B$26</f>
        <v>30.142000000000003</v>
      </c>
      <c r="K1051" s="14">
        <f>'PIVOT TABLES'!$B$28-'PIVOT TABLES'!$B$27</f>
        <v>30.141999999999996</v>
      </c>
      <c r="L1051" s="14">
        <f>200-SUM(Table3[[#This Row],[D - LIGHT]:[D - VIGOROUS]])</f>
        <v>79.432000000000002</v>
      </c>
      <c r="M1051" s="14">
        <f>'PIVOT TABLES'!$I$26</f>
        <v>65.603999999999999</v>
      </c>
      <c r="N1051" s="14">
        <f>'PIVOT TABLES'!$I$27-'PIVOT TABLES'!$I$26</f>
        <v>32.802000000000007</v>
      </c>
      <c r="O1051" s="14">
        <f>'PIVOT TABLES'!$I$28-'PIVOT TABLES'!$I$27</f>
        <v>32.801999999999992</v>
      </c>
      <c r="P1051" s="14">
        <f>200-SUM(Table3[[#This Row],[M - LIGHT]:[M - VIGOROUS]])</f>
        <v>68.792000000000002</v>
      </c>
      <c r="Q1051" s="14">
        <f>'PIVOT TABLES'!$P$26</f>
        <v>62.64</v>
      </c>
      <c r="R1051" s="14">
        <f>'PIVOT TABLES'!$P$27-'PIVOT TABLES'!$P$26</f>
        <v>31.320000000000007</v>
      </c>
      <c r="S1051" s="14">
        <f>'PIVOT TABLES'!$P$28-'PIVOT TABLES'!$P$27</f>
        <v>31.319999999999993</v>
      </c>
      <c r="T1051" s="14">
        <f>200-SUM(Table3[[#This Row],[W - LIGHT]:[W - VIGOROUS]])</f>
        <v>74.72</v>
      </c>
      <c r="U1051" s="14">
        <f>'PIVOT TABLES'!$W$26</f>
        <v>55.895999999999994</v>
      </c>
      <c r="V1051" s="14">
        <f>'PIVOT TABLES'!$W$27-'PIVOT TABLES'!$W$26</f>
        <v>27.948</v>
      </c>
      <c r="W1051" s="14">
        <f>'PIVOT TABLES'!$W$28-'PIVOT TABLES'!$W$27</f>
        <v>27.947999999999993</v>
      </c>
      <c r="X1051" s="14">
        <f>200-SUM(Table3[[#This Row],[S - LIGHT]:[S - VIGOROUS]])</f>
        <v>88.208000000000013</v>
      </c>
    </row>
    <row r="1052" spans="1:24" x14ac:dyDescent="0.25">
      <c r="A1052" s="44" t="s">
        <v>66</v>
      </c>
      <c r="B1052" s="13" t="str">
        <f t="shared" si="16"/>
        <v>Striker</v>
      </c>
      <c r="C1052" s="7">
        <v>45359.618796296294</v>
      </c>
      <c r="D1052" s="14">
        <v>7905</v>
      </c>
      <c r="E1052" s="14">
        <v>43</v>
      </c>
      <c r="F1052" s="14">
        <v>39</v>
      </c>
      <c r="G1052" s="14">
        <v>29</v>
      </c>
      <c r="H1052" s="14">
        <v>99.94</v>
      </c>
      <c r="I1052" s="14">
        <f>'PIVOT TABLES'!$B$26</f>
        <v>60.283999999999999</v>
      </c>
      <c r="J1052" s="14">
        <f>'PIVOT TABLES'!$B$27-'PIVOT TABLES'!$B$26</f>
        <v>30.142000000000003</v>
      </c>
      <c r="K1052" s="14">
        <f>'PIVOT TABLES'!$B$28-'PIVOT TABLES'!$B$27</f>
        <v>30.141999999999996</v>
      </c>
      <c r="L1052" s="14">
        <f>200-SUM(Table3[[#This Row],[D - LIGHT]:[D - VIGOROUS]])</f>
        <v>79.432000000000002</v>
      </c>
      <c r="M1052" s="14">
        <f>'PIVOT TABLES'!$I$26</f>
        <v>65.603999999999999</v>
      </c>
      <c r="N1052" s="14">
        <f>'PIVOT TABLES'!$I$27-'PIVOT TABLES'!$I$26</f>
        <v>32.802000000000007</v>
      </c>
      <c r="O1052" s="14">
        <f>'PIVOT TABLES'!$I$28-'PIVOT TABLES'!$I$27</f>
        <v>32.801999999999992</v>
      </c>
      <c r="P1052" s="14">
        <f>200-SUM(Table3[[#This Row],[M - LIGHT]:[M - VIGOROUS]])</f>
        <v>68.792000000000002</v>
      </c>
      <c r="Q1052" s="14">
        <f>'PIVOT TABLES'!$P$26</f>
        <v>62.64</v>
      </c>
      <c r="R1052" s="14">
        <f>'PIVOT TABLES'!$P$27-'PIVOT TABLES'!$P$26</f>
        <v>31.320000000000007</v>
      </c>
      <c r="S1052" s="14">
        <f>'PIVOT TABLES'!$P$28-'PIVOT TABLES'!$P$27</f>
        <v>31.319999999999993</v>
      </c>
      <c r="T1052" s="14">
        <f>200-SUM(Table3[[#This Row],[W - LIGHT]:[W - VIGOROUS]])</f>
        <v>74.72</v>
      </c>
      <c r="U1052" s="14">
        <f>'PIVOT TABLES'!$W$26</f>
        <v>55.895999999999994</v>
      </c>
      <c r="V1052" s="14">
        <f>'PIVOT TABLES'!$W$27-'PIVOT TABLES'!$W$26</f>
        <v>27.948</v>
      </c>
      <c r="W1052" s="14">
        <f>'PIVOT TABLES'!$W$28-'PIVOT TABLES'!$W$27</f>
        <v>27.947999999999993</v>
      </c>
      <c r="X1052" s="14">
        <f>200-SUM(Table3[[#This Row],[S - LIGHT]:[S - VIGOROUS]])</f>
        <v>88.208000000000013</v>
      </c>
    </row>
    <row r="1053" spans="1:24" x14ac:dyDescent="0.25">
      <c r="A1053" s="44" t="s">
        <v>78</v>
      </c>
      <c r="B1053" s="13" t="str">
        <f t="shared" si="16"/>
        <v>Defender</v>
      </c>
      <c r="C1053" s="7">
        <v>45359.618796296294</v>
      </c>
      <c r="D1053" s="14">
        <v>6775</v>
      </c>
      <c r="E1053" s="14">
        <v>152</v>
      </c>
      <c r="F1053" s="14">
        <v>14</v>
      </c>
      <c r="G1053" s="14">
        <v>21</v>
      </c>
      <c r="H1053" s="14">
        <v>89.890000000000015</v>
      </c>
      <c r="I1053" s="14">
        <f>'PIVOT TABLES'!$B$26</f>
        <v>60.283999999999999</v>
      </c>
      <c r="J1053" s="14">
        <f>'PIVOT TABLES'!$B$27-'PIVOT TABLES'!$B$26</f>
        <v>30.142000000000003</v>
      </c>
      <c r="K1053" s="14">
        <f>'PIVOT TABLES'!$B$28-'PIVOT TABLES'!$B$27</f>
        <v>30.141999999999996</v>
      </c>
      <c r="L1053" s="14">
        <f>200-SUM(Table3[[#This Row],[D - LIGHT]:[D - VIGOROUS]])</f>
        <v>79.432000000000002</v>
      </c>
      <c r="M1053" s="14">
        <f>'PIVOT TABLES'!$I$26</f>
        <v>65.603999999999999</v>
      </c>
      <c r="N1053" s="14">
        <f>'PIVOT TABLES'!$I$27-'PIVOT TABLES'!$I$26</f>
        <v>32.802000000000007</v>
      </c>
      <c r="O1053" s="14">
        <f>'PIVOT TABLES'!$I$28-'PIVOT TABLES'!$I$27</f>
        <v>32.801999999999992</v>
      </c>
      <c r="P1053" s="14">
        <f>200-SUM(Table3[[#This Row],[M - LIGHT]:[M - VIGOROUS]])</f>
        <v>68.792000000000002</v>
      </c>
      <c r="Q1053" s="14">
        <f>'PIVOT TABLES'!$P$26</f>
        <v>62.64</v>
      </c>
      <c r="R1053" s="14">
        <f>'PIVOT TABLES'!$P$27-'PIVOT TABLES'!$P$26</f>
        <v>31.320000000000007</v>
      </c>
      <c r="S1053" s="14">
        <f>'PIVOT TABLES'!$P$28-'PIVOT TABLES'!$P$27</f>
        <v>31.319999999999993</v>
      </c>
      <c r="T1053" s="14">
        <f>200-SUM(Table3[[#This Row],[W - LIGHT]:[W - VIGOROUS]])</f>
        <v>74.72</v>
      </c>
      <c r="U1053" s="14">
        <f>'PIVOT TABLES'!$W$26</f>
        <v>55.895999999999994</v>
      </c>
      <c r="V1053" s="14">
        <f>'PIVOT TABLES'!$W$27-'PIVOT TABLES'!$W$26</f>
        <v>27.948</v>
      </c>
      <c r="W1053" s="14">
        <f>'PIVOT TABLES'!$W$28-'PIVOT TABLES'!$W$27</f>
        <v>27.947999999999993</v>
      </c>
      <c r="X1053" s="14">
        <f>200-SUM(Table3[[#This Row],[S - LIGHT]:[S - VIGOROUS]])</f>
        <v>88.208000000000013</v>
      </c>
    </row>
    <row r="1054" spans="1:24" x14ac:dyDescent="0.25">
      <c r="A1054" s="44" t="s">
        <v>95</v>
      </c>
      <c r="B1054" s="13" t="str">
        <f t="shared" si="16"/>
        <v>Winger</v>
      </c>
      <c r="C1054" s="7">
        <v>45359.618796296294</v>
      </c>
      <c r="D1054" s="14">
        <v>3045</v>
      </c>
      <c r="E1054" s="14">
        <v>0</v>
      </c>
      <c r="F1054" s="14">
        <v>1</v>
      </c>
      <c r="G1054" s="14">
        <v>1</v>
      </c>
      <c r="H1054" s="14">
        <v>47.900000000000006</v>
      </c>
      <c r="I1054" s="14">
        <f>'PIVOT TABLES'!$B$26</f>
        <v>60.283999999999999</v>
      </c>
      <c r="J1054" s="14">
        <f>'PIVOT TABLES'!$B$27-'PIVOT TABLES'!$B$26</f>
        <v>30.142000000000003</v>
      </c>
      <c r="K1054" s="14">
        <f>'PIVOT TABLES'!$B$28-'PIVOT TABLES'!$B$27</f>
        <v>30.141999999999996</v>
      </c>
      <c r="L1054" s="14">
        <f>200-SUM(Table3[[#This Row],[D - LIGHT]:[D - VIGOROUS]])</f>
        <v>79.432000000000002</v>
      </c>
      <c r="M1054" s="14">
        <f>'PIVOT TABLES'!$I$26</f>
        <v>65.603999999999999</v>
      </c>
      <c r="N1054" s="14">
        <f>'PIVOT TABLES'!$I$27-'PIVOT TABLES'!$I$26</f>
        <v>32.802000000000007</v>
      </c>
      <c r="O1054" s="14">
        <f>'PIVOT TABLES'!$I$28-'PIVOT TABLES'!$I$27</f>
        <v>32.801999999999992</v>
      </c>
      <c r="P1054" s="14">
        <f>200-SUM(Table3[[#This Row],[M - LIGHT]:[M - VIGOROUS]])</f>
        <v>68.792000000000002</v>
      </c>
      <c r="Q1054" s="14">
        <f>'PIVOT TABLES'!$P$26</f>
        <v>62.64</v>
      </c>
      <c r="R1054" s="14">
        <f>'PIVOT TABLES'!$P$27-'PIVOT TABLES'!$P$26</f>
        <v>31.320000000000007</v>
      </c>
      <c r="S1054" s="14">
        <f>'PIVOT TABLES'!$P$28-'PIVOT TABLES'!$P$27</f>
        <v>31.319999999999993</v>
      </c>
      <c r="T1054" s="14">
        <f>200-SUM(Table3[[#This Row],[W - LIGHT]:[W - VIGOROUS]])</f>
        <v>74.72</v>
      </c>
      <c r="U1054" s="14">
        <f>'PIVOT TABLES'!$W$26</f>
        <v>55.895999999999994</v>
      </c>
      <c r="V1054" s="14">
        <f>'PIVOT TABLES'!$W$27-'PIVOT TABLES'!$W$26</f>
        <v>27.948</v>
      </c>
      <c r="W1054" s="14">
        <f>'PIVOT TABLES'!$W$28-'PIVOT TABLES'!$W$27</f>
        <v>27.947999999999993</v>
      </c>
      <c r="X1054" s="14">
        <f>200-SUM(Table3[[#This Row],[S - LIGHT]:[S - VIGOROUS]])</f>
        <v>88.208000000000013</v>
      </c>
    </row>
    <row r="1055" spans="1:24" x14ac:dyDescent="0.25">
      <c r="A1055" s="44" t="s">
        <v>8</v>
      </c>
      <c r="B1055" s="13" t="str">
        <f t="shared" si="16"/>
        <v>Striker</v>
      </c>
      <c r="C1055" s="7">
        <v>45359.618796296294</v>
      </c>
      <c r="D1055" s="14">
        <v>11552</v>
      </c>
      <c r="E1055" s="14">
        <v>156</v>
      </c>
      <c r="F1055" s="14">
        <v>44</v>
      </c>
      <c r="G1055" s="14">
        <v>35</v>
      </c>
      <c r="H1055" s="14">
        <v>139.74</v>
      </c>
      <c r="I1055" s="14">
        <f>'PIVOT TABLES'!$B$26</f>
        <v>60.283999999999999</v>
      </c>
      <c r="J1055" s="14">
        <f>'PIVOT TABLES'!$B$27-'PIVOT TABLES'!$B$26</f>
        <v>30.142000000000003</v>
      </c>
      <c r="K1055" s="14">
        <f>'PIVOT TABLES'!$B$28-'PIVOT TABLES'!$B$27</f>
        <v>30.141999999999996</v>
      </c>
      <c r="L1055" s="14">
        <f>200-SUM(Table3[[#This Row],[D - LIGHT]:[D - VIGOROUS]])</f>
        <v>79.432000000000002</v>
      </c>
      <c r="M1055" s="14">
        <f>'PIVOT TABLES'!$I$26</f>
        <v>65.603999999999999</v>
      </c>
      <c r="N1055" s="14">
        <f>'PIVOT TABLES'!$I$27-'PIVOT TABLES'!$I$26</f>
        <v>32.802000000000007</v>
      </c>
      <c r="O1055" s="14">
        <f>'PIVOT TABLES'!$I$28-'PIVOT TABLES'!$I$27</f>
        <v>32.801999999999992</v>
      </c>
      <c r="P1055" s="14">
        <f>200-SUM(Table3[[#This Row],[M - LIGHT]:[M - VIGOROUS]])</f>
        <v>68.792000000000002</v>
      </c>
      <c r="Q1055" s="14">
        <f>'PIVOT TABLES'!$P$26</f>
        <v>62.64</v>
      </c>
      <c r="R1055" s="14">
        <f>'PIVOT TABLES'!$P$27-'PIVOT TABLES'!$P$26</f>
        <v>31.320000000000007</v>
      </c>
      <c r="S1055" s="14">
        <f>'PIVOT TABLES'!$P$28-'PIVOT TABLES'!$P$27</f>
        <v>31.319999999999993</v>
      </c>
      <c r="T1055" s="14">
        <f>200-SUM(Table3[[#This Row],[W - LIGHT]:[W - VIGOROUS]])</f>
        <v>74.72</v>
      </c>
      <c r="U1055" s="14">
        <f>'PIVOT TABLES'!$W$26</f>
        <v>55.895999999999994</v>
      </c>
      <c r="V1055" s="14">
        <f>'PIVOT TABLES'!$W$27-'PIVOT TABLES'!$W$26</f>
        <v>27.948</v>
      </c>
      <c r="W1055" s="14">
        <f>'PIVOT TABLES'!$W$28-'PIVOT TABLES'!$W$27</f>
        <v>27.947999999999993</v>
      </c>
      <c r="X1055" s="14">
        <f>200-SUM(Table3[[#This Row],[S - LIGHT]:[S - VIGOROUS]])</f>
        <v>88.208000000000013</v>
      </c>
    </row>
    <row r="1056" spans="1:24" x14ac:dyDescent="0.25">
      <c r="A1056" s="44" t="s">
        <v>67</v>
      </c>
      <c r="B1056" s="13" t="str">
        <f t="shared" si="16"/>
        <v>Midfielder</v>
      </c>
      <c r="C1056" s="7">
        <v>45359.618796296294</v>
      </c>
      <c r="D1056" s="14">
        <v>2938</v>
      </c>
      <c r="E1056" s="14">
        <v>0</v>
      </c>
      <c r="F1056" s="14">
        <v>7</v>
      </c>
      <c r="G1056" s="14">
        <v>9</v>
      </c>
      <c r="H1056" s="14">
        <v>29.84</v>
      </c>
      <c r="I1056" s="14">
        <f>'PIVOT TABLES'!$B$26</f>
        <v>60.283999999999999</v>
      </c>
      <c r="J1056" s="14">
        <f>'PIVOT TABLES'!$B$27-'PIVOT TABLES'!$B$26</f>
        <v>30.142000000000003</v>
      </c>
      <c r="K1056" s="14">
        <f>'PIVOT TABLES'!$B$28-'PIVOT TABLES'!$B$27</f>
        <v>30.141999999999996</v>
      </c>
      <c r="L1056" s="14">
        <f>200-SUM(Table3[[#This Row],[D - LIGHT]:[D - VIGOROUS]])</f>
        <v>79.432000000000002</v>
      </c>
      <c r="M1056" s="14">
        <f>'PIVOT TABLES'!$I$26</f>
        <v>65.603999999999999</v>
      </c>
      <c r="N1056" s="14">
        <f>'PIVOT TABLES'!$I$27-'PIVOT TABLES'!$I$26</f>
        <v>32.802000000000007</v>
      </c>
      <c r="O1056" s="14">
        <f>'PIVOT TABLES'!$I$28-'PIVOT TABLES'!$I$27</f>
        <v>32.801999999999992</v>
      </c>
      <c r="P1056" s="14">
        <f>200-SUM(Table3[[#This Row],[M - LIGHT]:[M - VIGOROUS]])</f>
        <v>68.792000000000002</v>
      </c>
      <c r="Q1056" s="14">
        <f>'PIVOT TABLES'!$P$26</f>
        <v>62.64</v>
      </c>
      <c r="R1056" s="14">
        <f>'PIVOT TABLES'!$P$27-'PIVOT TABLES'!$P$26</f>
        <v>31.320000000000007</v>
      </c>
      <c r="S1056" s="14">
        <f>'PIVOT TABLES'!$P$28-'PIVOT TABLES'!$P$27</f>
        <v>31.319999999999993</v>
      </c>
      <c r="T1056" s="14">
        <f>200-SUM(Table3[[#This Row],[W - LIGHT]:[W - VIGOROUS]])</f>
        <v>74.72</v>
      </c>
      <c r="U1056" s="14">
        <f>'PIVOT TABLES'!$W$26</f>
        <v>55.895999999999994</v>
      </c>
      <c r="V1056" s="14">
        <f>'PIVOT TABLES'!$W$27-'PIVOT TABLES'!$W$26</f>
        <v>27.948</v>
      </c>
      <c r="W1056" s="14">
        <f>'PIVOT TABLES'!$W$28-'PIVOT TABLES'!$W$27</f>
        <v>27.947999999999993</v>
      </c>
      <c r="X1056" s="14">
        <f>200-SUM(Table3[[#This Row],[S - LIGHT]:[S - VIGOROUS]])</f>
        <v>88.208000000000013</v>
      </c>
    </row>
    <row r="1057" spans="1:24" x14ac:dyDescent="0.25">
      <c r="A1057" s="44" t="s">
        <v>69</v>
      </c>
      <c r="B1057" s="13" t="str">
        <f t="shared" si="16"/>
        <v>Midfielder</v>
      </c>
      <c r="C1057" s="7">
        <v>45359.618796296294</v>
      </c>
      <c r="D1057" s="14">
        <v>10708</v>
      </c>
      <c r="E1057" s="14">
        <v>159</v>
      </c>
      <c r="F1057" s="14">
        <v>37</v>
      </c>
      <c r="G1057" s="14">
        <v>32</v>
      </c>
      <c r="H1057" s="14">
        <v>113.97</v>
      </c>
      <c r="I1057" s="14">
        <f>'PIVOT TABLES'!$B$26</f>
        <v>60.283999999999999</v>
      </c>
      <c r="J1057" s="14">
        <f>'PIVOT TABLES'!$B$27-'PIVOT TABLES'!$B$26</f>
        <v>30.142000000000003</v>
      </c>
      <c r="K1057" s="14">
        <f>'PIVOT TABLES'!$B$28-'PIVOT TABLES'!$B$27</f>
        <v>30.141999999999996</v>
      </c>
      <c r="L1057" s="14">
        <f>200-SUM(Table3[[#This Row],[D - LIGHT]:[D - VIGOROUS]])</f>
        <v>79.432000000000002</v>
      </c>
      <c r="M1057" s="14">
        <f>'PIVOT TABLES'!$I$26</f>
        <v>65.603999999999999</v>
      </c>
      <c r="N1057" s="14">
        <f>'PIVOT TABLES'!$I$27-'PIVOT TABLES'!$I$26</f>
        <v>32.802000000000007</v>
      </c>
      <c r="O1057" s="14">
        <f>'PIVOT TABLES'!$I$28-'PIVOT TABLES'!$I$27</f>
        <v>32.801999999999992</v>
      </c>
      <c r="P1057" s="14">
        <f>200-SUM(Table3[[#This Row],[M - LIGHT]:[M - VIGOROUS]])</f>
        <v>68.792000000000002</v>
      </c>
      <c r="Q1057" s="14">
        <f>'PIVOT TABLES'!$P$26</f>
        <v>62.64</v>
      </c>
      <c r="R1057" s="14">
        <f>'PIVOT TABLES'!$P$27-'PIVOT TABLES'!$P$26</f>
        <v>31.320000000000007</v>
      </c>
      <c r="S1057" s="14">
        <f>'PIVOT TABLES'!$P$28-'PIVOT TABLES'!$P$27</f>
        <v>31.319999999999993</v>
      </c>
      <c r="T1057" s="14">
        <f>200-SUM(Table3[[#This Row],[W - LIGHT]:[W - VIGOROUS]])</f>
        <v>74.72</v>
      </c>
      <c r="U1057" s="14">
        <f>'PIVOT TABLES'!$W$26</f>
        <v>55.895999999999994</v>
      </c>
      <c r="V1057" s="14">
        <f>'PIVOT TABLES'!$W$27-'PIVOT TABLES'!$W$26</f>
        <v>27.948</v>
      </c>
      <c r="W1057" s="14">
        <f>'PIVOT TABLES'!$W$28-'PIVOT TABLES'!$W$27</f>
        <v>27.947999999999993</v>
      </c>
      <c r="X1057" s="14">
        <f>200-SUM(Table3[[#This Row],[S - LIGHT]:[S - VIGOROUS]])</f>
        <v>88.208000000000013</v>
      </c>
    </row>
    <row r="1058" spans="1:24" x14ac:dyDescent="0.25">
      <c r="A1058" s="44" t="s">
        <v>70</v>
      </c>
      <c r="B1058" s="13" t="str">
        <f t="shared" si="16"/>
        <v>Winger</v>
      </c>
      <c r="C1058" s="7">
        <v>45360.366631944446</v>
      </c>
      <c r="D1058" s="14">
        <v>10687</v>
      </c>
      <c r="E1058" s="14">
        <v>247</v>
      </c>
      <c r="F1058" s="14">
        <v>47</v>
      </c>
      <c r="G1058" s="14">
        <v>38</v>
      </c>
      <c r="H1058" s="14">
        <v>116.92</v>
      </c>
      <c r="I1058" s="14">
        <f>'PIVOT TABLES'!$B$26</f>
        <v>60.283999999999999</v>
      </c>
      <c r="J1058" s="14">
        <f>'PIVOT TABLES'!$B$27-'PIVOT TABLES'!$B$26</f>
        <v>30.142000000000003</v>
      </c>
      <c r="K1058" s="14">
        <f>'PIVOT TABLES'!$B$28-'PIVOT TABLES'!$B$27</f>
        <v>30.141999999999996</v>
      </c>
      <c r="L1058" s="14">
        <f>200-SUM(Table3[[#This Row],[D - LIGHT]:[D - VIGOROUS]])</f>
        <v>79.432000000000002</v>
      </c>
      <c r="M1058" s="14">
        <f>'PIVOT TABLES'!$I$26</f>
        <v>65.603999999999999</v>
      </c>
      <c r="N1058" s="14">
        <f>'PIVOT TABLES'!$I$27-'PIVOT TABLES'!$I$26</f>
        <v>32.802000000000007</v>
      </c>
      <c r="O1058" s="14">
        <f>'PIVOT TABLES'!$I$28-'PIVOT TABLES'!$I$27</f>
        <v>32.801999999999992</v>
      </c>
      <c r="P1058" s="14">
        <f>200-SUM(Table3[[#This Row],[M - LIGHT]:[M - VIGOROUS]])</f>
        <v>68.792000000000002</v>
      </c>
      <c r="Q1058" s="14">
        <f>'PIVOT TABLES'!$P$26</f>
        <v>62.64</v>
      </c>
      <c r="R1058" s="14">
        <f>'PIVOT TABLES'!$P$27-'PIVOT TABLES'!$P$26</f>
        <v>31.320000000000007</v>
      </c>
      <c r="S1058" s="14">
        <f>'PIVOT TABLES'!$P$28-'PIVOT TABLES'!$P$27</f>
        <v>31.319999999999993</v>
      </c>
      <c r="T1058" s="14">
        <f>200-SUM(Table3[[#This Row],[W - LIGHT]:[W - VIGOROUS]])</f>
        <v>74.72</v>
      </c>
      <c r="U1058" s="14">
        <f>'PIVOT TABLES'!$W$26</f>
        <v>55.895999999999994</v>
      </c>
      <c r="V1058" s="14">
        <f>'PIVOT TABLES'!$W$27-'PIVOT TABLES'!$W$26</f>
        <v>27.948</v>
      </c>
      <c r="W1058" s="14">
        <f>'PIVOT TABLES'!$W$28-'PIVOT TABLES'!$W$27</f>
        <v>27.947999999999993</v>
      </c>
      <c r="X1058" s="14">
        <f>200-SUM(Table3[[#This Row],[S - LIGHT]:[S - VIGOROUS]])</f>
        <v>88.208000000000013</v>
      </c>
    </row>
    <row r="1059" spans="1:24" x14ac:dyDescent="0.25">
      <c r="A1059" s="44" t="s">
        <v>53</v>
      </c>
      <c r="B1059" s="13" t="str">
        <f t="shared" si="16"/>
        <v>Midfielder</v>
      </c>
      <c r="C1059" s="7">
        <v>45360.366631944446</v>
      </c>
      <c r="D1059" s="14">
        <v>12289</v>
      </c>
      <c r="E1059" s="14">
        <v>78</v>
      </c>
      <c r="F1059" s="14">
        <v>43</v>
      </c>
      <c r="G1059" s="14">
        <v>31</v>
      </c>
      <c r="H1059" s="14">
        <v>127.57</v>
      </c>
      <c r="I1059" s="14">
        <f>'PIVOT TABLES'!$B$26</f>
        <v>60.283999999999999</v>
      </c>
      <c r="J1059" s="14">
        <f>'PIVOT TABLES'!$B$27-'PIVOT TABLES'!$B$26</f>
        <v>30.142000000000003</v>
      </c>
      <c r="K1059" s="14">
        <f>'PIVOT TABLES'!$B$28-'PIVOT TABLES'!$B$27</f>
        <v>30.141999999999996</v>
      </c>
      <c r="L1059" s="14">
        <f>200-SUM(Table3[[#This Row],[D - LIGHT]:[D - VIGOROUS]])</f>
        <v>79.432000000000002</v>
      </c>
      <c r="M1059" s="14">
        <f>'PIVOT TABLES'!$I$26</f>
        <v>65.603999999999999</v>
      </c>
      <c r="N1059" s="14">
        <f>'PIVOT TABLES'!$I$27-'PIVOT TABLES'!$I$26</f>
        <v>32.802000000000007</v>
      </c>
      <c r="O1059" s="14">
        <f>'PIVOT TABLES'!$I$28-'PIVOT TABLES'!$I$27</f>
        <v>32.801999999999992</v>
      </c>
      <c r="P1059" s="14">
        <f>200-SUM(Table3[[#This Row],[M - LIGHT]:[M - VIGOROUS]])</f>
        <v>68.792000000000002</v>
      </c>
      <c r="Q1059" s="14">
        <f>'PIVOT TABLES'!$P$26</f>
        <v>62.64</v>
      </c>
      <c r="R1059" s="14">
        <f>'PIVOT TABLES'!$P$27-'PIVOT TABLES'!$P$26</f>
        <v>31.320000000000007</v>
      </c>
      <c r="S1059" s="14">
        <f>'PIVOT TABLES'!$P$28-'PIVOT TABLES'!$P$27</f>
        <v>31.319999999999993</v>
      </c>
      <c r="T1059" s="14">
        <f>200-SUM(Table3[[#This Row],[W - LIGHT]:[W - VIGOROUS]])</f>
        <v>74.72</v>
      </c>
      <c r="U1059" s="14">
        <f>'PIVOT TABLES'!$W$26</f>
        <v>55.895999999999994</v>
      </c>
      <c r="V1059" s="14">
        <f>'PIVOT TABLES'!$W$27-'PIVOT TABLES'!$W$26</f>
        <v>27.948</v>
      </c>
      <c r="W1059" s="14">
        <f>'PIVOT TABLES'!$W$28-'PIVOT TABLES'!$W$27</f>
        <v>27.947999999999993</v>
      </c>
      <c r="X1059" s="14">
        <f>200-SUM(Table3[[#This Row],[S - LIGHT]:[S - VIGOROUS]])</f>
        <v>88.208000000000013</v>
      </c>
    </row>
    <row r="1060" spans="1:24" x14ac:dyDescent="0.25">
      <c r="A1060" s="44" t="s">
        <v>55</v>
      </c>
      <c r="B1060" s="13" t="str">
        <f t="shared" si="16"/>
        <v>Striker</v>
      </c>
      <c r="C1060" s="7">
        <v>45360.366631944446</v>
      </c>
      <c r="D1060" s="14">
        <v>4852</v>
      </c>
      <c r="E1060" s="14">
        <v>56</v>
      </c>
      <c r="F1060" s="14">
        <v>15</v>
      </c>
      <c r="G1060" s="14">
        <v>7</v>
      </c>
      <c r="H1060" s="14">
        <v>50.94</v>
      </c>
      <c r="I1060" s="14">
        <f>'PIVOT TABLES'!$B$26</f>
        <v>60.283999999999999</v>
      </c>
      <c r="J1060" s="14">
        <f>'PIVOT TABLES'!$B$27-'PIVOT TABLES'!$B$26</f>
        <v>30.142000000000003</v>
      </c>
      <c r="K1060" s="14">
        <f>'PIVOT TABLES'!$B$28-'PIVOT TABLES'!$B$27</f>
        <v>30.141999999999996</v>
      </c>
      <c r="L1060" s="14">
        <f>200-SUM(Table3[[#This Row],[D - LIGHT]:[D - VIGOROUS]])</f>
        <v>79.432000000000002</v>
      </c>
      <c r="M1060" s="14">
        <f>'PIVOT TABLES'!$I$26</f>
        <v>65.603999999999999</v>
      </c>
      <c r="N1060" s="14">
        <f>'PIVOT TABLES'!$I$27-'PIVOT TABLES'!$I$26</f>
        <v>32.802000000000007</v>
      </c>
      <c r="O1060" s="14">
        <f>'PIVOT TABLES'!$I$28-'PIVOT TABLES'!$I$27</f>
        <v>32.801999999999992</v>
      </c>
      <c r="P1060" s="14">
        <f>200-SUM(Table3[[#This Row],[M - LIGHT]:[M - VIGOROUS]])</f>
        <v>68.792000000000002</v>
      </c>
      <c r="Q1060" s="14">
        <f>'PIVOT TABLES'!$P$26</f>
        <v>62.64</v>
      </c>
      <c r="R1060" s="14">
        <f>'PIVOT TABLES'!$P$27-'PIVOT TABLES'!$P$26</f>
        <v>31.320000000000007</v>
      </c>
      <c r="S1060" s="14">
        <f>'PIVOT TABLES'!$P$28-'PIVOT TABLES'!$P$27</f>
        <v>31.319999999999993</v>
      </c>
      <c r="T1060" s="14">
        <f>200-SUM(Table3[[#This Row],[W - LIGHT]:[W - VIGOROUS]])</f>
        <v>74.72</v>
      </c>
      <c r="U1060" s="14">
        <f>'PIVOT TABLES'!$W$26</f>
        <v>55.895999999999994</v>
      </c>
      <c r="V1060" s="14">
        <f>'PIVOT TABLES'!$W$27-'PIVOT TABLES'!$W$26</f>
        <v>27.948</v>
      </c>
      <c r="W1060" s="14">
        <f>'PIVOT TABLES'!$W$28-'PIVOT TABLES'!$W$27</f>
        <v>27.947999999999993</v>
      </c>
      <c r="X1060" s="14">
        <f>200-SUM(Table3[[#This Row],[S - LIGHT]:[S - VIGOROUS]])</f>
        <v>88.208000000000013</v>
      </c>
    </row>
    <row r="1061" spans="1:24" x14ac:dyDescent="0.25">
      <c r="A1061" s="44" t="s">
        <v>1</v>
      </c>
      <c r="B1061" s="13" t="str">
        <f t="shared" si="16"/>
        <v>Defender</v>
      </c>
      <c r="C1061" s="7">
        <v>45360.366631944446</v>
      </c>
      <c r="D1061" s="14">
        <v>9564</v>
      </c>
      <c r="E1061" s="14">
        <v>0</v>
      </c>
      <c r="F1061" s="14">
        <v>21</v>
      </c>
      <c r="G1061" s="14">
        <v>23</v>
      </c>
      <c r="H1061" s="14">
        <v>96.94</v>
      </c>
      <c r="I1061" s="14">
        <f>'PIVOT TABLES'!$B$26</f>
        <v>60.283999999999999</v>
      </c>
      <c r="J1061" s="14">
        <f>'PIVOT TABLES'!$B$27-'PIVOT TABLES'!$B$26</f>
        <v>30.142000000000003</v>
      </c>
      <c r="K1061" s="14">
        <f>'PIVOT TABLES'!$B$28-'PIVOT TABLES'!$B$27</f>
        <v>30.141999999999996</v>
      </c>
      <c r="L1061" s="14">
        <f>200-SUM(Table3[[#This Row],[D - LIGHT]:[D - VIGOROUS]])</f>
        <v>79.432000000000002</v>
      </c>
      <c r="M1061" s="14">
        <f>'PIVOT TABLES'!$I$26</f>
        <v>65.603999999999999</v>
      </c>
      <c r="N1061" s="14">
        <f>'PIVOT TABLES'!$I$27-'PIVOT TABLES'!$I$26</f>
        <v>32.802000000000007</v>
      </c>
      <c r="O1061" s="14">
        <f>'PIVOT TABLES'!$I$28-'PIVOT TABLES'!$I$27</f>
        <v>32.801999999999992</v>
      </c>
      <c r="P1061" s="14">
        <f>200-SUM(Table3[[#This Row],[M - LIGHT]:[M - VIGOROUS]])</f>
        <v>68.792000000000002</v>
      </c>
      <c r="Q1061" s="14">
        <f>'PIVOT TABLES'!$P$26</f>
        <v>62.64</v>
      </c>
      <c r="R1061" s="14">
        <f>'PIVOT TABLES'!$P$27-'PIVOT TABLES'!$P$26</f>
        <v>31.320000000000007</v>
      </c>
      <c r="S1061" s="14">
        <f>'PIVOT TABLES'!$P$28-'PIVOT TABLES'!$P$27</f>
        <v>31.319999999999993</v>
      </c>
      <c r="T1061" s="14">
        <f>200-SUM(Table3[[#This Row],[W - LIGHT]:[W - VIGOROUS]])</f>
        <v>74.72</v>
      </c>
      <c r="U1061" s="14">
        <f>'PIVOT TABLES'!$W$26</f>
        <v>55.895999999999994</v>
      </c>
      <c r="V1061" s="14">
        <f>'PIVOT TABLES'!$W$27-'PIVOT TABLES'!$W$26</f>
        <v>27.948</v>
      </c>
      <c r="W1061" s="14">
        <f>'PIVOT TABLES'!$W$28-'PIVOT TABLES'!$W$27</f>
        <v>27.947999999999993</v>
      </c>
      <c r="X1061" s="14">
        <f>200-SUM(Table3[[#This Row],[S - LIGHT]:[S - VIGOROUS]])</f>
        <v>88.208000000000013</v>
      </c>
    </row>
    <row r="1062" spans="1:24" x14ac:dyDescent="0.25">
      <c r="A1062" s="44" t="s">
        <v>56</v>
      </c>
      <c r="B1062" s="13" t="str">
        <f t="shared" si="16"/>
        <v>Midfielder</v>
      </c>
      <c r="C1062" s="7">
        <v>45360.366631944446</v>
      </c>
      <c r="D1062" s="14">
        <v>1749</v>
      </c>
      <c r="E1062" s="14">
        <v>0</v>
      </c>
      <c r="F1062" s="14">
        <v>0</v>
      </c>
      <c r="G1062" s="14">
        <v>2</v>
      </c>
      <c r="H1062" s="14">
        <v>17.53</v>
      </c>
      <c r="I1062" s="14">
        <f>'PIVOT TABLES'!$B$26</f>
        <v>60.283999999999999</v>
      </c>
      <c r="J1062" s="14">
        <f>'PIVOT TABLES'!$B$27-'PIVOT TABLES'!$B$26</f>
        <v>30.142000000000003</v>
      </c>
      <c r="K1062" s="14">
        <f>'PIVOT TABLES'!$B$28-'PIVOT TABLES'!$B$27</f>
        <v>30.141999999999996</v>
      </c>
      <c r="L1062" s="14">
        <f>200-SUM(Table3[[#This Row],[D - LIGHT]:[D - VIGOROUS]])</f>
        <v>79.432000000000002</v>
      </c>
      <c r="M1062" s="14">
        <f>'PIVOT TABLES'!$I$26</f>
        <v>65.603999999999999</v>
      </c>
      <c r="N1062" s="14">
        <f>'PIVOT TABLES'!$I$27-'PIVOT TABLES'!$I$26</f>
        <v>32.802000000000007</v>
      </c>
      <c r="O1062" s="14">
        <f>'PIVOT TABLES'!$I$28-'PIVOT TABLES'!$I$27</f>
        <v>32.801999999999992</v>
      </c>
      <c r="P1062" s="14">
        <f>200-SUM(Table3[[#This Row],[M - LIGHT]:[M - VIGOROUS]])</f>
        <v>68.792000000000002</v>
      </c>
      <c r="Q1062" s="14">
        <f>'PIVOT TABLES'!$P$26</f>
        <v>62.64</v>
      </c>
      <c r="R1062" s="14">
        <f>'PIVOT TABLES'!$P$27-'PIVOT TABLES'!$P$26</f>
        <v>31.320000000000007</v>
      </c>
      <c r="S1062" s="14">
        <f>'PIVOT TABLES'!$P$28-'PIVOT TABLES'!$P$27</f>
        <v>31.319999999999993</v>
      </c>
      <c r="T1062" s="14">
        <f>200-SUM(Table3[[#This Row],[W - LIGHT]:[W - VIGOROUS]])</f>
        <v>74.72</v>
      </c>
      <c r="U1062" s="14">
        <f>'PIVOT TABLES'!$W$26</f>
        <v>55.895999999999994</v>
      </c>
      <c r="V1062" s="14">
        <f>'PIVOT TABLES'!$W$27-'PIVOT TABLES'!$W$26</f>
        <v>27.948</v>
      </c>
      <c r="W1062" s="14">
        <f>'PIVOT TABLES'!$W$28-'PIVOT TABLES'!$W$27</f>
        <v>27.947999999999993</v>
      </c>
      <c r="X1062" s="14">
        <f>200-SUM(Table3[[#This Row],[S - LIGHT]:[S - VIGOROUS]])</f>
        <v>88.208000000000013</v>
      </c>
    </row>
    <row r="1063" spans="1:24" x14ac:dyDescent="0.25">
      <c r="A1063" s="44" t="s">
        <v>59</v>
      </c>
      <c r="B1063" s="13" t="str">
        <f t="shared" si="16"/>
        <v>Striker</v>
      </c>
      <c r="C1063" s="7">
        <v>45360.366631944446</v>
      </c>
      <c r="D1063" s="14">
        <v>8328</v>
      </c>
      <c r="E1063" s="14">
        <v>146</v>
      </c>
      <c r="F1063" s="14">
        <v>37</v>
      </c>
      <c r="G1063" s="14">
        <v>37</v>
      </c>
      <c r="H1063" s="14">
        <v>89.88</v>
      </c>
      <c r="I1063" s="14">
        <f>'PIVOT TABLES'!$B$26</f>
        <v>60.283999999999999</v>
      </c>
      <c r="J1063" s="14">
        <f>'PIVOT TABLES'!$B$27-'PIVOT TABLES'!$B$26</f>
        <v>30.142000000000003</v>
      </c>
      <c r="K1063" s="14">
        <f>'PIVOT TABLES'!$B$28-'PIVOT TABLES'!$B$27</f>
        <v>30.141999999999996</v>
      </c>
      <c r="L1063" s="14">
        <f>200-SUM(Table3[[#This Row],[D - LIGHT]:[D - VIGOROUS]])</f>
        <v>79.432000000000002</v>
      </c>
      <c r="M1063" s="14">
        <f>'PIVOT TABLES'!$I$26</f>
        <v>65.603999999999999</v>
      </c>
      <c r="N1063" s="14">
        <f>'PIVOT TABLES'!$I$27-'PIVOT TABLES'!$I$26</f>
        <v>32.802000000000007</v>
      </c>
      <c r="O1063" s="14">
        <f>'PIVOT TABLES'!$I$28-'PIVOT TABLES'!$I$27</f>
        <v>32.801999999999992</v>
      </c>
      <c r="P1063" s="14">
        <f>200-SUM(Table3[[#This Row],[M - LIGHT]:[M - VIGOROUS]])</f>
        <v>68.792000000000002</v>
      </c>
      <c r="Q1063" s="14">
        <f>'PIVOT TABLES'!$P$26</f>
        <v>62.64</v>
      </c>
      <c r="R1063" s="14">
        <f>'PIVOT TABLES'!$P$27-'PIVOT TABLES'!$P$26</f>
        <v>31.320000000000007</v>
      </c>
      <c r="S1063" s="14">
        <f>'PIVOT TABLES'!$P$28-'PIVOT TABLES'!$P$27</f>
        <v>31.319999999999993</v>
      </c>
      <c r="T1063" s="14">
        <f>200-SUM(Table3[[#This Row],[W - LIGHT]:[W - VIGOROUS]])</f>
        <v>74.72</v>
      </c>
      <c r="U1063" s="14">
        <f>'PIVOT TABLES'!$W$26</f>
        <v>55.895999999999994</v>
      </c>
      <c r="V1063" s="14">
        <f>'PIVOT TABLES'!$W$27-'PIVOT TABLES'!$W$26</f>
        <v>27.948</v>
      </c>
      <c r="W1063" s="14">
        <f>'PIVOT TABLES'!$W$28-'PIVOT TABLES'!$W$27</f>
        <v>27.947999999999993</v>
      </c>
      <c r="X1063" s="14">
        <f>200-SUM(Table3[[#This Row],[S - LIGHT]:[S - VIGOROUS]])</f>
        <v>88.208000000000013</v>
      </c>
    </row>
    <row r="1064" spans="1:24" x14ac:dyDescent="0.25">
      <c r="A1064" s="44" t="s">
        <v>4</v>
      </c>
      <c r="B1064" s="13" t="str">
        <f t="shared" si="16"/>
        <v>Midfielder</v>
      </c>
      <c r="C1064" s="7">
        <v>45360.366631944446</v>
      </c>
      <c r="D1064" s="14">
        <v>10104</v>
      </c>
      <c r="E1064" s="14">
        <v>121</v>
      </c>
      <c r="F1064" s="14">
        <v>17</v>
      </c>
      <c r="G1064" s="14">
        <v>24</v>
      </c>
      <c r="H1064" s="14">
        <v>105.83</v>
      </c>
      <c r="I1064" s="14">
        <f>'PIVOT TABLES'!$B$26</f>
        <v>60.283999999999999</v>
      </c>
      <c r="J1064" s="14">
        <f>'PIVOT TABLES'!$B$27-'PIVOT TABLES'!$B$26</f>
        <v>30.142000000000003</v>
      </c>
      <c r="K1064" s="14">
        <f>'PIVOT TABLES'!$B$28-'PIVOT TABLES'!$B$27</f>
        <v>30.141999999999996</v>
      </c>
      <c r="L1064" s="14">
        <f>200-SUM(Table3[[#This Row],[D - LIGHT]:[D - VIGOROUS]])</f>
        <v>79.432000000000002</v>
      </c>
      <c r="M1064" s="14">
        <f>'PIVOT TABLES'!$I$26</f>
        <v>65.603999999999999</v>
      </c>
      <c r="N1064" s="14">
        <f>'PIVOT TABLES'!$I$27-'PIVOT TABLES'!$I$26</f>
        <v>32.802000000000007</v>
      </c>
      <c r="O1064" s="14">
        <f>'PIVOT TABLES'!$I$28-'PIVOT TABLES'!$I$27</f>
        <v>32.801999999999992</v>
      </c>
      <c r="P1064" s="14">
        <f>200-SUM(Table3[[#This Row],[M - LIGHT]:[M - VIGOROUS]])</f>
        <v>68.792000000000002</v>
      </c>
      <c r="Q1064" s="14">
        <f>'PIVOT TABLES'!$P$26</f>
        <v>62.64</v>
      </c>
      <c r="R1064" s="14">
        <f>'PIVOT TABLES'!$P$27-'PIVOT TABLES'!$P$26</f>
        <v>31.320000000000007</v>
      </c>
      <c r="S1064" s="14">
        <f>'PIVOT TABLES'!$P$28-'PIVOT TABLES'!$P$27</f>
        <v>31.319999999999993</v>
      </c>
      <c r="T1064" s="14">
        <f>200-SUM(Table3[[#This Row],[W - LIGHT]:[W - VIGOROUS]])</f>
        <v>74.72</v>
      </c>
      <c r="U1064" s="14">
        <f>'PIVOT TABLES'!$W$26</f>
        <v>55.895999999999994</v>
      </c>
      <c r="V1064" s="14">
        <f>'PIVOT TABLES'!$W$27-'PIVOT TABLES'!$W$26</f>
        <v>27.948</v>
      </c>
      <c r="W1064" s="14">
        <f>'PIVOT TABLES'!$W$28-'PIVOT TABLES'!$W$27</f>
        <v>27.947999999999993</v>
      </c>
      <c r="X1064" s="14">
        <f>200-SUM(Table3[[#This Row],[S - LIGHT]:[S - VIGOROUS]])</f>
        <v>88.208000000000013</v>
      </c>
    </row>
    <row r="1065" spans="1:24" x14ac:dyDescent="0.25">
      <c r="A1065" s="44" t="s">
        <v>71</v>
      </c>
      <c r="B1065" s="13" t="str">
        <f t="shared" si="16"/>
        <v>Midfielder</v>
      </c>
      <c r="C1065" s="7">
        <v>45360.366631944446</v>
      </c>
      <c r="D1065" s="14">
        <v>6307</v>
      </c>
      <c r="E1065" s="14">
        <v>60</v>
      </c>
      <c r="F1065" s="14">
        <v>13</v>
      </c>
      <c r="G1065" s="14">
        <v>20</v>
      </c>
      <c r="H1065" s="14">
        <v>65.790000000000006</v>
      </c>
      <c r="I1065" s="14">
        <f>'PIVOT TABLES'!$B$26</f>
        <v>60.283999999999999</v>
      </c>
      <c r="J1065" s="14">
        <f>'PIVOT TABLES'!$B$27-'PIVOT TABLES'!$B$26</f>
        <v>30.142000000000003</v>
      </c>
      <c r="K1065" s="14">
        <f>'PIVOT TABLES'!$B$28-'PIVOT TABLES'!$B$27</f>
        <v>30.141999999999996</v>
      </c>
      <c r="L1065" s="14">
        <f>200-SUM(Table3[[#This Row],[D - LIGHT]:[D - VIGOROUS]])</f>
        <v>79.432000000000002</v>
      </c>
      <c r="M1065" s="14">
        <f>'PIVOT TABLES'!$I$26</f>
        <v>65.603999999999999</v>
      </c>
      <c r="N1065" s="14">
        <f>'PIVOT TABLES'!$I$27-'PIVOT TABLES'!$I$26</f>
        <v>32.802000000000007</v>
      </c>
      <c r="O1065" s="14">
        <f>'PIVOT TABLES'!$I$28-'PIVOT TABLES'!$I$27</f>
        <v>32.801999999999992</v>
      </c>
      <c r="P1065" s="14">
        <f>200-SUM(Table3[[#This Row],[M - LIGHT]:[M - VIGOROUS]])</f>
        <v>68.792000000000002</v>
      </c>
      <c r="Q1065" s="14">
        <f>'PIVOT TABLES'!$P$26</f>
        <v>62.64</v>
      </c>
      <c r="R1065" s="14">
        <f>'PIVOT TABLES'!$P$27-'PIVOT TABLES'!$P$26</f>
        <v>31.320000000000007</v>
      </c>
      <c r="S1065" s="14">
        <f>'PIVOT TABLES'!$P$28-'PIVOT TABLES'!$P$27</f>
        <v>31.319999999999993</v>
      </c>
      <c r="T1065" s="14">
        <f>200-SUM(Table3[[#This Row],[W - LIGHT]:[W - VIGOROUS]])</f>
        <v>74.72</v>
      </c>
      <c r="U1065" s="14">
        <f>'PIVOT TABLES'!$W$26</f>
        <v>55.895999999999994</v>
      </c>
      <c r="V1065" s="14">
        <f>'PIVOT TABLES'!$W$27-'PIVOT TABLES'!$W$26</f>
        <v>27.948</v>
      </c>
      <c r="W1065" s="14">
        <f>'PIVOT TABLES'!$W$28-'PIVOT TABLES'!$W$27</f>
        <v>27.947999999999993</v>
      </c>
      <c r="X1065" s="14">
        <f>200-SUM(Table3[[#This Row],[S - LIGHT]:[S - VIGOROUS]])</f>
        <v>88.208000000000013</v>
      </c>
    </row>
    <row r="1066" spans="1:24" x14ac:dyDescent="0.25">
      <c r="A1066" s="44" t="s">
        <v>64</v>
      </c>
      <c r="B1066" s="13" t="str">
        <f t="shared" si="16"/>
        <v>Midfielder</v>
      </c>
      <c r="C1066" s="7">
        <v>45360.366631944446</v>
      </c>
      <c r="D1066" s="14">
        <v>1739</v>
      </c>
      <c r="E1066" s="14">
        <v>0</v>
      </c>
      <c r="F1066" s="14">
        <v>0</v>
      </c>
      <c r="G1066" s="14">
        <v>0</v>
      </c>
      <c r="H1066" s="14">
        <v>17.39</v>
      </c>
      <c r="I1066" s="14">
        <f>'PIVOT TABLES'!$B$26</f>
        <v>60.283999999999999</v>
      </c>
      <c r="J1066" s="14">
        <f>'PIVOT TABLES'!$B$27-'PIVOT TABLES'!$B$26</f>
        <v>30.142000000000003</v>
      </c>
      <c r="K1066" s="14">
        <f>'PIVOT TABLES'!$B$28-'PIVOT TABLES'!$B$27</f>
        <v>30.141999999999996</v>
      </c>
      <c r="L1066" s="14">
        <f>200-SUM(Table3[[#This Row],[D - LIGHT]:[D - VIGOROUS]])</f>
        <v>79.432000000000002</v>
      </c>
      <c r="M1066" s="14">
        <f>'PIVOT TABLES'!$I$26</f>
        <v>65.603999999999999</v>
      </c>
      <c r="N1066" s="14">
        <f>'PIVOT TABLES'!$I$27-'PIVOT TABLES'!$I$26</f>
        <v>32.802000000000007</v>
      </c>
      <c r="O1066" s="14">
        <f>'PIVOT TABLES'!$I$28-'PIVOT TABLES'!$I$27</f>
        <v>32.801999999999992</v>
      </c>
      <c r="P1066" s="14">
        <f>200-SUM(Table3[[#This Row],[M - LIGHT]:[M - VIGOROUS]])</f>
        <v>68.792000000000002</v>
      </c>
      <c r="Q1066" s="14">
        <f>'PIVOT TABLES'!$P$26</f>
        <v>62.64</v>
      </c>
      <c r="R1066" s="14">
        <f>'PIVOT TABLES'!$P$27-'PIVOT TABLES'!$P$26</f>
        <v>31.320000000000007</v>
      </c>
      <c r="S1066" s="14">
        <f>'PIVOT TABLES'!$P$28-'PIVOT TABLES'!$P$27</f>
        <v>31.319999999999993</v>
      </c>
      <c r="T1066" s="14">
        <f>200-SUM(Table3[[#This Row],[W - LIGHT]:[W - VIGOROUS]])</f>
        <v>74.72</v>
      </c>
      <c r="U1066" s="14">
        <f>'PIVOT TABLES'!$W$26</f>
        <v>55.895999999999994</v>
      </c>
      <c r="V1066" s="14">
        <f>'PIVOT TABLES'!$W$27-'PIVOT TABLES'!$W$26</f>
        <v>27.948</v>
      </c>
      <c r="W1066" s="14">
        <f>'PIVOT TABLES'!$W$28-'PIVOT TABLES'!$W$27</f>
        <v>27.947999999999993</v>
      </c>
      <c r="X1066" s="14">
        <f>200-SUM(Table3[[#This Row],[S - LIGHT]:[S - VIGOROUS]])</f>
        <v>88.208000000000013</v>
      </c>
    </row>
    <row r="1067" spans="1:24" x14ac:dyDescent="0.25">
      <c r="A1067" s="44" t="s">
        <v>65</v>
      </c>
      <c r="B1067" s="13" t="str">
        <f t="shared" si="16"/>
        <v>Winger</v>
      </c>
      <c r="C1067" s="7">
        <v>45360.366631944446</v>
      </c>
      <c r="D1067" s="14">
        <v>7187</v>
      </c>
      <c r="E1067" s="14">
        <v>271</v>
      </c>
      <c r="F1067" s="14">
        <v>47</v>
      </c>
      <c r="G1067" s="14">
        <v>17</v>
      </c>
      <c r="H1067" s="14">
        <v>82.22</v>
      </c>
      <c r="I1067" s="14">
        <f>'PIVOT TABLES'!$B$26</f>
        <v>60.283999999999999</v>
      </c>
      <c r="J1067" s="14">
        <f>'PIVOT TABLES'!$B$27-'PIVOT TABLES'!$B$26</f>
        <v>30.142000000000003</v>
      </c>
      <c r="K1067" s="14">
        <f>'PIVOT TABLES'!$B$28-'PIVOT TABLES'!$B$27</f>
        <v>30.141999999999996</v>
      </c>
      <c r="L1067" s="14">
        <f>200-SUM(Table3[[#This Row],[D - LIGHT]:[D - VIGOROUS]])</f>
        <v>79.432000000000002</v>
      </c>
      <c r="M1067" s="14">
        <f>'PIVOT TABLES'!$I$26</f>
        <v>65.603999999999999</v>
      </c>
      <c r="N1067" s="14">
        <f>'PIVOT TABLES'!$I$27-'PIVOT TABLES'!$I$26</f>
        <v>32.802000000000007</v>
      </c>
      <c r="O1067" s="14">
        <f>'PIVOT TABLES'!$I$28-'PIVOT TABLES'!$I$27</f>
        <v>32.801999999999992</v>
      </c>
      <c r="P1067" s="14">
        <f>200-SUM(Table3[[#This Row],[M - LIGHT]:[M - VIGOROUS]])</f>
        <v>68.792000000000002</v>
      </c>
      <c r="Q1067" s="14">
        <f>'PIVOT TABLES'!$P$26</f>
        <v>62.64</v>
      </c>
      <c r="R1067" s="14">
        <f>'PIVOT TABLES'!$P$27-'PIVOT TABLES'!$P$26</f>
        <v>31.320000000000007</v>
      </c>
      <c r="S1067" s="14">
        <f>'PIVOT TABLES'!$P$28-'PIVOT TABLES'!$P$27</f>
        <v>31.319999999999993</v>
      </c>
      <c r="T1067" s="14">
        <f>200-SUM(Table3[[#This Row],[W - LIGHT]:[W - VIGOROUS]])</f>
        <v>74.72</v>
      </c>
      <c r="U1067" s="14">
        <f>'PIVOT TABLES'!$W$26</f>
        <v>55.895999999999994</v>
      </c>
      <c r="V1067" s="14">
        <f>'PIVOT TABLES'!$W$27-'PIVOT TABLES'!$W$26</f>
        <v>27.948</v>
      </c>
      <c r="W1067" s="14">
        <f>'PIVOT TABLES'!$W$28-'PIVOT TABLES'!$W$27</f>
        <v>27.947999999999993</v>
      </c>
      <c r="X1067" s="14">
        <f>200-SUM(Table3[[#This Row],[S - LIGHT]:[S - VIGOROUS]])</f>
        <v>88.208000000000013</v>
      </c>
    </row>
    <row r="1068" spans="1:24" x14ac:dyDescent="0.25">
      <c r="A1068" s="44" t="s">
        <v>77</v>
      </c>
      <c r="B1068" s="13" t="str">
        <f t="shared" si="16"/>
        <v>Defender</v>
      </c>
      <c r="C1068" s="7">
        <v>45360.366631944446</v>
      </c>
      <c r="D1068" s="14">
        <v>11029</v>
      </c>
      <c r="E1068" s="14">
        <v>324</v>
      </c>
      <c r="F1068" s="14">
        <v>33</v>
      </c>
      <c r="G1068" s="14">
        <v>28</v>
      </c>
      <c r="H1068" s="14">
        <v>121.89</v>
      </c>
      <c r="I1068" s="14">
        <f>'PIVOT TABLES'!$B$26</f>
        <v>60.283999999999999</v>
      </c>
      <c r="J1068" s="14">
        <f>'PIVOT TABLES'!$B$27-'PIVOT TABLES'!$B$26</f>
        <v>30.142000000000003</v>
      </c>
      <c r="K1068" s="14">
        <f>'PIVOT TABLES'!$B$28-'PIVOT TABLES'!$B$27</f>
        <v>30.141999999999996</v>
      </c>
      <c r="L1068" s="14">
        <f>200-SUM(Table3[[#This Row],[D - LIGHT]:[D - VIGOROUS]])</f>
        <v>79.432000000000002</v>
      </c>
      <c r="M1068" s="14">
        <f>'PIVOT TABLES'!$I$26</f>
        <v>65.603999999999999</v>
      </c>
      <c r="N1068" s="14">
        <f>'PIVOT TABLES'!$I$27-'PIVOT TABLES'!$I$26</f>
        <v>32.802000000000007</v>
      </c>
      <c r="O1068" s="14">
        <f>'PIVOT TABLES'!$I$28-'PIVOT TABLES'!$I$27</f>
        <v>32.801999999999992</v>
      </c>
      <c r="P1068" s="14">
        <f>200-SUM(Table3[[#This Row],[M - LIGHT]:[M - VIGOROUS]])</f>
        <v>68.792000000000002</v>
      </c>
      <c r="Q1068" s="14">
        <f>'PIVOT TABLES'!$P$26</f>
        <v>62.64</v>
      </c>
      <c r="R1068" s="14">
        <f>'PIVOT TABLES'!$P$27-'PIVOT TABLES'!$P$26</f>
        <v>31.320000000000007</v>
      </c>
      <c r="S1068" s="14">
        <f>'PIVOT TABLES'!$P$28-'PIVOT TABLES'!$P$27</f>
        <v>31.319999999999993</v>
      </c>
      <c r="T1068" s="14">
        <f>200-SUM(Table3[[#This Row],[W - LIGHT]:[W - VIGOROUS]])</f>
        <v>74.72</v>
      </c>
      <c r="U1068" s="14">
        <f>'PIVOT TABLES'!$W$26</f>
        <v>55.895999999999994</v>
      </c>
      <c r="V1068" s="14">
        <f>'PIVOT TABLES'!$W$27-'PIVOT TABLES'!$W$26</f>
        <v>27.948</v>
      </c>
      <c r="W1068" s="14">
        <f>'PIVOT TABLES'!$W$28-'PIVOT TABLES'!$W$27</f>
        <v>27.947999999999993</v>
      </c>
      <c r="X1068" s="14">
        <f>200-SUM(Table3[[#This Row],[S - LIGHT]:[S - VIGOROUS]])</f>
        <v>88.208000000000013</v>
      </c>
    </row>
    <row r="1069" spans="1:24" x14ac:dyDescent="0.25">
      <c r="A1069" s="44" t="s">
        <v>66</v>
      </c>
      <c r="B1069" s="13" t="str">
        <f t="shared" si="16"/>
        <v>Striker</v>
      </c>
      <c r="C1069" s="7">
        <v>45360.366631944446</v>
      </c>
      <c r="D1069" s="14">
        <v>1835</v>
      </c>
      <c r="E1069" s="14">
        <v>0</v>
      </c>
      <c r="F1069" s="14">
        <v>1</v>
      </c>
      <c r="G1069" s="14">
        <v>2</v>
      </c>
      <c r="H1069" s="14">
        <v>18.43</v>
      </c>
      <c r="I1069" s="14">
        <f>'PIVOT TABLES'!$B$26</f>
        <v>60.283999999999999</v>
      </c>
      <c r="J1069" s="14">
        <f>'PIVOT TABLES'!$B$27-'PIVOT TABLES'!$B$26</f>
        <v>30.142000000000003</v>
      </c>
      <c r="K1069" s="14">
        <f>'PIVOT TABLES'!$B$28-'PIVOT TABLES'!$B$27</f>
        <v>30.141999999999996</v>
      </c>
      <c r="L1069" s="14">
        <f>200-SUM(Table3[[#This Row],[D - LIGHT]:[D - VIGOROUS]])</f>
        <v>79.432000000000002</v>
      </c>
      <c r="M1069" s="14">
        <f>'PIVOT TABLES'!$I$26</f>
        <v>65.603999999999999</v>
      </c>
      <c r="N1069" s="14">
        <f>'PIVOT TABLES'!$I$27-'PIVOT TABLES'!$I$26</f>
        <v>32.802000000000007</v>
      </c>
      <c r="O1069" s="14">
        <f>'PIVOT TABLES'!$I$28-'PIVOT TABLES'!$I$27</f>
        <v>32.801999999999992</v>
      </c>
      <c r="P1069" s="14">
        <f>200-SUM(Table3[[#This Row],[M - LIGHT]:[M - VIGOROUS]])</f>
        <v>68.792000000000002</v>
      </c>
      <c r="Q1069" s="14">
        <f>'PIVOT TABLES'!$P$26</f>
        <v>62.64</v>
      </c>
      <c r="R1069" s="14">
        <f>'PIVOT TABLES'!$P$27-'PIVOT TABLES'!$P$26</f>
        <v>31.320000000000007</v>
      </c>
      <c r="S1069" s="14">
        <f>'PIVOT TABLES'!$P$28-'PIVOT TABLES'!$P$27</f>
        <v>31.319999999999993</v>
      </c>
      <c r="T1069" s="14">
        <f>200-SUM(Table3[[#This Row],[W - LIGHT]:[W - VIGOROUS]])</f>
        <v>74.72</v>
      </c>
      <c r="U1069" s="14">
        <f>'PIVOT TABLES'!$W$26</f>
        <v>55.895999999999994</v>
      </c>
      <c r="V1069" s="14">
        <f>'PIVOT TABLES'!$W$27-'PIVOT TABLES'!$W$26</f>
        <v>27.948</v>
      </c>
      <c r="W1069" s="14">
        <f>'PIVOT TABLES'!$W$28-'PIVOT TABLES'!$W$27</f>
        <v>27.947999999999993</v>
      </c>
      <c r="X1069" s="14">
        <f>200-SUM(Table3[[#This Row],[S - LIGHT]:[S - VIGOROUS]])</f>
        <v>88.208000000000013</v>
      </c>
    </row>
    <row r="1070" spans="1:24" x14ac:dyDescent="0.25">
      <c r="A1070" s="44" t="s">
        <v>95</v>
      </c>
      <c r="B1070" s="13" t="str">
        <f t="shared" si="16"/>
        <v>Winger</v>
      </c>
      <c r="C1070" s="7">
        <v>45360.366631944446</v>
      </c>
      <c r="D1070" s="14">
        <v>6329</v>
      </c>
      <c r="E1070" s="14">
        <v>224</v>
      </c>
      <c r="F1070" s="14">
        <v>20</v>
      </c>
      <c r="G1070" s="14">
        <v>27</v>
      </c>
      <c r="H1070" s="14">
        <v>71.349999999999994</v>
      </c>
      <c r="I1070" s="14">
        <f>'PIVOT TABLES'!$B$26</f>
        <v>60.283999999999999</v>
      </c>
      <c r="J1070" s="14">
        <f>'PIVOT TABLES'!$B$27-'PIVOT TABLES'!$B$26</f>
        <v>30.142000000000003</v>
      </c>
      <c r="K1070" s="14">
        <f>'PIVOT TABLES'!$B$28-'PIVOT TABLES'!$B$27</f>
        <v>30.141999999999996</v>
      </c>
      <c r="L1070" s="14">
        <f>200-SUM(Table3[[#This Row],[D - LIGHT]:[D - VIGOROUS]])</f>
        <v>79.432000000000002</v>
      </c>
      <c r="M1070" s="14">
        <f>'PIVOT TABLES'!$I$26</f>
        <v>65.603999999999999</v>
      </c>
      <c r="N1070" s="14">
        <f>'PIVOT TABLES'!$I$27-'PIVOT TABLES'!$I$26</f>
        <v>32.802000000000007</v>
      </c>
      <c r="O1070" s="14">
        <f>'PIVOT TABLES'!$I$28-'PIVOT TABLES'!$I$27</f>
        <v>32.801999999999992</v>
      </c>
      <c r="P1070" s="14">
        <f>200-SUM(Table3[[#This Row],[M - LIGHT]:[M - VIGOROUS]])</f>
        <v>68.792000000000002</v>
      </c>
      <c r="Q1070" s="14">
        <f>'PIVOT TABLES'!$P$26</f>
        <v>62.64</v>
      </c>
      <c r="R1070" s="14">
        <f>'PIVOT TABLES'!$P$27-'PIVOT TABLES'!$P$26</f>
        <v>31.320000000000007</v>
      </c>
      <c r="S1070" s="14">
        <f>'PIVOT TABLES'!$P$28-'PIVOT TABLES'!$P$27</f>
        <v>31.319999999999993</v>
      </c>
      <c r="T1070" s="14">
        <f>200-SUM(Table3[[#This Row],[W - LIGHT]:[W - VIGOROUS]])</f>
        <v>74.72</v>
      </c>
      <c r="U1070" s="14">
        <f>'PIVOT TABLES'!$W$26</f>
        <v>55.895999999999994</v>
      </c>
      <c r="V1070" s="14">
        <f>'PIVOT TABLES'!$W$27-'PIVOT TABLES'!$W$26</f>
        <v>27.948</v>
      </c>
      <c r="W1070" s="14">
        <f>'PIVOT TABLES'!$W$28-'PIVOT TABLES'!$W$27</f>
        <v>27.947999999999993</v>
      </c>
      <c r="X1070" s="14">
        <f>200-SUM(Table3[[#This Row],[S - LIGHT]:[S - VIGOROUS]])</f>
        <v>88.208000000000013</v>
      </c>
    </row>
    <row r="1071" spans="1:24" x14ac:dyDescent="0.25">
      <c r="A1071" s="44" t="s">
        <v>96</v>
      </c>
      <c r="B1071" s="13" t="str">
        <f t="shared" si="16"/>
        <v>Winger</v>
      </c>
      <c r="C1071" s="7">
        <v>45360.366631944446</v>
      </c>
      <c r="D1071" s="14">
        <v>11920</v>
      </c>
      <c r="E1071" s="14">
        <v>231</v>
      </c>
      <c r="F1071" s="14">
        <v>59</v>
      </c>
      <c r="G1071" s="14">
        <v>38</v>
      </c>
      <c r="H1071" s="14">
        <v>129.25</v>
      </c>
      <c r="I1071" s="14">
        <f>'PIVOT TABLES'!$B$26</f>
        <v>60.283999999999999</v>
      </c>
      <c r="J1071" s="14">
        <f>'PIVOT TABLES'!$B$27-'PIVOT TABLES'!$B$26</f>
        <v>30.142000000000003</v>
      </c>
      <c r="K1071" s="14">
        <f>'PIVOT TABLES'!$B$28-'PIVOT TABLES'!$B$27</f>
        <v>30.141999999999996</v>
      </c>
      <c r="L1071" s="14">
        <f>200-SUM(Table3[[#This Row],[D - LIGHT]:[D - VIGOROUS]])</f>
        <v>79.432000000000002</v>
      </c>
      <c r="M1071" s="14">
        <f>'PIVOT TABLES'!$I$26</f>
        <v>65.603999999999999</v>
      </c>
      <c r="N1071" s="14">
        <f>'PIVOT TABLES'!$I$27-'PIVOT TABLES'!$I$26</f>
        <v>32.802000000000007</v>
      </c>
      <c r="O1071" s="14">
        <f>'PIVOT TABLES'!$I$28-'PIVOT TABLES'!$I$27</f>
        <v>32.801999999999992</v>
      </c>
      <c r="P1071" s="14">
        <f>200-SUM(Table3[[#This Row],[M - LIGHT]:[M - VIGOROUS]])</f>
        <v>68.792000000000002</v>
      </c>
      <c r="Q1071" s="14">
        <f>'PIVOT TABLES'!$P$26</f>
        <v>62.64</v>
      </c>
      <c r="R1071" s="14">
        <f>'PIVOT TABLES'!$P$27-'PIVOT TABLES'!$P$26</f>
        <v>31.320000000000007</v>
      </c>
      <c r="S1071" s="14">
        <f>'PIVOT TABLES'!$P$28-'PIVOT TABLES'!$P$27</f>
        <v>31.319999999999993</v>
      </c>
      <c r="T1071" s="14">
        <f>200-SUM(Table3[[#This Row],[W - LIGHT]:[W - VIGOROUS]])</f>
        <v>74.72</v>
      </c>
      <c r="U1071" s="14">
        <f>'PIVOT TABLES'!$W$26</f>
        <v>55.895999999999994</v>
      </c>
      <c r="V1071" s="14">
        <f>'PIVOT TABLES'!$W$27-'PIVOT TABLES'!$W$26</f>
        <v>27.948</v>
      </c>
      <c r="W1071" s="14">
        <f>'PIVOT TABLES'!$W$28-'PIVOT TABLES'!$W$27</f>
        <v>27.947999999999993</v>
      </c>
      <c r="X1071" s="14">
        <f>200-SUM(Table3[[#This Row],[S - LIGHT]:[S - VIGOROUS]])</f>
        <v>88.208000000000013</v>
      </c>
    </row>
    <row r="1072" spans="1:24" x14ac:dyDescent="0.25">
      <c r="A1072" s="44" t="s">
        <v>67</v>
      </c>
      <c r="B1072" s="13" t="str">
        <f t="shared" si="16"/>
        <v>Midfielder</v>
      </c>
      <c r="C1072" s="7">
        <v>45360.366631944446</v>
      </c>
      <c r="D1072" s="14">
        <v>7965</v>
      </c>
      <c r="E1072" s="14">
        <v>88</v>
      </c>
      <c r="F1072" s="14">
        <v>34</v>
      </c>
      <c r="G1072" s="14">
        <v>27</v>
      </c>
      <c r="H1072" s="14">
        <v>84.19</v>
      </c>
      <c r="I1072" s="14">
        <f>'PIVOT TABLES'!$B$26</f>
        <v>60.283999999999999</v>
      </c>
      <c r="J1072" s="14">
        <f>'PIVOT TABLES'!$B$27-'PIVOT TABLES'!$B$26</f>
        <v>30.142000000000003</v>
      </c>
      <c r="K1072" s="14">
        <f>'PIVOT TABLES'!$B$28-'PIVOT TABLES'!$B$27</f>
        <v>30.141999999999996</v>
      </c>
      <c r="L1072" s="14">
        <f>200-SUM(Table3[[#This Row],[D - LIGHT]:[D - VIGOROUS]])</f>
        <v>79.432000000000002</v>
      </c>
      <c r="M1072" s="14">
        <f>'PIVOT TABLES'!$I$26</f>
        <v>65.603999999999999</v>
      </c>
      <c r="N1072" s="14">
        <f>'PIVOT TABLES'!$I$27-'PIVOT TABLES'!$I$26</f>
        <v>32.802000000000007</v>
      </c>
      <c r="O1072" s="14">
        <f>'PIVOT TABLES'!$I$28-'PIVOT TABLES'!$I$27</f>
        <v>32.801999999999992</v>
      </c>
      <c r="P1072" s="14">
        <f>200-SUM(Table3[[#This Row],[M - LIGHT]:[M - VIGOROUS]])</f>
        <v>68.792000000000002</v>
      </c>
      <c r="Q1072" s="14">
        <f>'PIVOT TABLES'!$P$26</f>
        <v>62.64</v>
      </c>
      <c r="R1072" s="14">
        <f>'PIVOT TABLES'!$P$27-'PIVOT TABLES'!$P$26</f>
        <v>31.320000000000007</v>
      </c>
      <c r="S1072" s="14">
        <f>'PIVOT TABLES'!$P$28-'PIVOT TABLES'!$P$27</f>
        <v>31.319999999999993</v>
      </c>
      <c r="T1072" s="14">
        <f>200-SUM(Table3[[#This Row],[W - LIGHT]:[W - VIGOROUS]])</f>
        <v>74.72</v>
      </c>
      <c r="U1072" s="14">
        <f>'PIVOT TABLES'!$W$26</f>
        <v>55.895999999999994</v>
      </c>
      <c r="V1072" s="14">
        <f>'PIVOT TABLES'!$W$27-'PIVOT TABLES'!$W$26</f>
        <v>27.948</v>
      </c>
      <c r="W1072" s="14">
        <f>'PIVOT TABLES'!$W$28-'PIVOT TABLES'!$W$27</f>
        <v>27.947999999999993</v>
      </c>
      <c r="X1072" s="14">
        <f>200-SUM(Table3[[#This Row],[S - LIGHT]:[S - VIGOROUS]])</f>
        <v>88.208000000000013</v>
      </c>
    </row>
    <row r="1073" spans="1:24" x14ac:dyDescent="0.25">
      <c r="A1073" s="44" t="s">
        <v>9</v>
      </c>
      <c r="B1073" s="13" t="str">
        <f t="shared" si="16"/>
        <v>Striker</v>
      </c>
      <c r="C1073" s="7">
        <v>45360.366631944446</v>
      </c>
      <c r="D1073" s="14">
        <v>1409</v>
      </c>
      <c r="E1073" s="14">
        <v>0</v>
      </c>
      <c r="F1073" s="14">
        <v>2</v>
      </c>
      <c r="G1073" s="14">
        <v>4</v>
      </c>
      <c r="H1073" s="14">
        <v>14.25</v>
      </c>
      <c r="I1073" s="14">
        <f>'PIVOT TABLES'!$B$26</f>
        <v>60.283999999999999</v>
      </c>
      <c r="J1073" s="14">
        <f>'PIVOT TABLES'!$B$27-'PIVOT TABLES'!$B$26</f>
        <v>30.142000000000003</v>
      </c>
      <c r="K1073" s="14">
        <f>'PIVOT TABLES'!$B$28-'PIVOT TABLES'!$B$27</f>
        <v>30.141999999999996</v>
      </c>
      <c r="L1073" s="14">
        <f>200-SUM(Table3[[#This Row],[D - LIGHT]:[D - VIGOROUS]])</f>
        <v>79.432000000000002</v>
      </c>
      <c r="M1073" s="14">
        <f>'PIVOT TABLES'!$I$26</f>
        <v>65.603999999999999</v>
      </c>
      <c r="N1073" s="14">
        <f>'PIVOT TABLES'!$I$27-'PIVOT TABLES'!$I$26</f>
        <v>32.802000000000007</v>
      </c>
      <c r="O1073" s="14">
        <f>'PIVOT TABLES'!$I$28-'PIVOT TABLES'!$I$27</f>
        <v>32.801999999999992</v>
      </c>
      <c r="P1073" s="14">
        <f>200-SUM(Table3[[#This Row],[M - LIGHT]:[M - VIGOROUS]])</f>
        <v>68.792000000000002</v>
      </c>
      <c r="Q1073" s="14">
        <f>'PIVOT TABLES'!$P$26</f>
        <v>62.64</v>
      </c>
      <c r="R1073" s="14">
        <f>'PIVOT TABLES'!$P$27-'PIVOT TABLES'!$P$26</f>
        <v>31.320000000000007</v>
      </c>
      <c r="S1073" s="14">
        <f>'PIVOT TABLES'!$P$28-'PIVOT TABLES'!$P$27</f>
        <v>31.319999999999993</v>
      </c>
      <c r="T1073" s="14">
        <f>200-SUM(Table3[[#This Row],[W - LIGHT]:[W - VIGOROUS]])</f>
        <v>74.72</v>
      </c>
      <c r="U1073" s="14">
        <f>'PIVOT TABLES'!$W$26</f>
        <v>55.895999999999994</v>
      </c>
      <c r="V1073" s="14">
        <f>'PIVOT TABLES'!$W$27-'PIVOT TABLES'!$W$26</f>
        <v>27.948</v>
      </c>
      <c r="W1073" s="14">
        <f>'PIVOT TABLES'!$W$28-'PIVOT TABLES'!$W$27</f>
        <v>27.947999999999993</v>
      </c>
      <c r="X1073" s="14">
        <f>200-SUM(Table3[[#This Row],[S - LIGHT]:[S - VIGOROUS]])</f>
        <v>88.208000000000013</v>
      </c>
    </row>
    <row r="1074" spans="1:24" x14ac:dyDescent="0.25">
      <c r="A1074" s="44" t="s">
        <v>69</v>
      </c>
      <c r="B1074" s="13" t="str">
        <f t="shared" si="16"/>
        <v>Midfielder</v>
      </c>
      <c r="C1074" s="7">
        <v>45360.366631944446</v>
      </c>
      <c r="D1074" s="14">
        <v>1001</v>
      </c>
      <c r="E1074" s="14">
        <v>0</v>
      </c>
      <c r="F1074" s="14">
        <v>0</v>
      </c>
      <c r="G1074" s="14">
        <v>2</v>
      </c>
      <c r="H1074" s="14">
        <v>10.050000000000001</v>
      </c>
      <c r="I1074" s="14">
        <f>'PIVOT TABLES'!$B$26</f>
        <v>60.283999999999999</v>
      </c>
      <c r="J1074" s="14">
        <f>'PIVOT TABLES'!$B$27-'PIVOT TABLES'!$B$26</f>
        <v>30.142000000000003</v>
      </c>
      <c r="K1074" s="14">
        <f>'PIVOT TABLES'!$B$28-'PIVOT TABLES'!$B$27</f>
        <v>30.141999999999996</v>
      </c>
      <c r="L1074" s="14">
        <f>200-SUM(Table3[[#This Row],[D - LIGHT]:[D - VIGOROUS]])</f>
        <v>79.432000000000002</v>
      </c>
      <c r="M1074" s="14">
        <f>'PIVOT TABLES'!$I$26</f>
        <v>65.603999999999999</v>
      </c>
      <c r="N1074" s="14">
        <f>'PIVOT TABLES'!$I$27-'PIVOT TABLES'!$I$26</f>
        <v>32.802000000000007</v>
      </c>
      <c r="O1074" s="14">
        <f>'PIVOT TABLES'!$I$28-'PIVOT TABLES'!$I$27</f>
        <v>32.801999999999992</v>
      </c>
      <c r="P1074" s="14">
        <f>200-SUM(Table3[[#This Row],[M - LIGHT]:[M - VIGOROUS]])</f>
        <v>68.792000000000002</v>
      </c>
      <c r="Q1074" s="14">
        <f>'PIVOT TABLES'!$P$26</f>
        <v>62.64</v>
      </c>
      <c r="R1074" s="14">
        <f>'PIVOT TABLES'!$P$27-'PIVOT TABLES'!$P$26</f>
        <v>31.320000000000007</v>
      </c>
      <c r="S1074" s="14">
        <f>'PIVOT TABLES'!$P$28-'PIVOT TABLES'!$P$27</f>
        <v>31.319999999999993</v>
      </c>
      <c r="T1074" s="14">
        <f>200-SUM(Table3[[#This Row],[W - LIGHT]:[W - VIGOROUS]])</f>
        <v>74.72</v>
      </c>
      <c r="U1074" s="14">
        <f>'PIVOT TABLES'!$W$26</f>
        <v>55.895999999999994</v>
      </c>
      <c r="V1074" s="14">
        <f>'PIVOT TABLES'!$W$27-'PIVOT TABLES'!$W$26</f>
        <v>27.948</v>
      </c>
      <c r="W1074" s="14">
        <f>'PIVOT TABLES'!$W$28-'PIVOT TABLES'!$W$27</f>
        <v>27.947999999999993</v>
      </c>
      <c r="X1074" s="14">
        <f>200-SUM(Table3[[#This Row],[S - LIGHT]:[S - VIGOROUS]])</f>
        <v>88.208000000000013</v>
      </c>
    </row>
    <row r="1075" spans="1:24" x14ac:dyDescent="0.25">
      <c r="A1075" s="44" t="s">
        <v>70</v>
      </c>
      <c r="B1075" s="13" t="str">
        <f t="shared" si="16"/>
        <v>Winger</v>
      </c>
      <c r="C1075" s="7">
        <v>45362.786770833336</v>
      </c>
      <c r="D1075" s="14">
        <v>6857</v>
      </c>
      <c r="E1075" s="14">
        <v>143</v>
      </c>
      <c r="F1075" s="14">
        <v>18</v>
      </c>
      <c r="G1075" s="14">
        <v>10</v>
      </c>
      <c r="H1075" s="14">
        <v>73.78</v>
      </c>
      <c r="I1075" s="14">
        <f>'PIVOT TABLES'!$B$26</f>
        <v>60.283999999999999</v>
      </c>
      <c r="J1075" s="14">
        <f>'PIVOT TABLES'!$B$27-'PIVOT TABLES'!$B$26</f>
        <v>30.142000000000003</v>
      </c>
      <c r="K1075" s="14">
        <f>'PIVOT TABLES'!$B$28-'PIVOT TABLES'!$B$27</f>
        <v>30.141999999999996</v>
      </c>
      <c r="L1075" s="14">
        <f>200-SUM(Table3[[#This Row],[D - LIGHT]:[D - VIGOROUS]])</f>
        <v>79.432000000000002</v>
      </c>
      <c r="M1075" s="14">
        <f>'PIVOT TABLES'!$I$26</f>
        <v>65.603999999999999</v>
      </c>
      <c r="N1075" s="14">
        <f>'PIVOT TABLES'!$I$27-'PIVOT TABLES'!$I$26</f>
        <v>32.802000000000007</v>
      </c>
      <c r="O1075" s="14">
        <f>'PIVOT TABLES'!$I$28-'PIVOT TABLES'!$I$27</f>
        <v>32.801999999999992</v>
      </c>
      <c r="P1075" s="14">
        <f>200-SUM(Table3[[#This Row],[M - LIGHT]:[M - VIGOROUS]])</f>
        <v>68.792000000000002</v>
      </c>
      <c r="Q1075" s="14">
        <f>'PIVOT TABLES'!$P$26</f>
        <v>62.64</v>
      </c>
      <c r="R1075" s="14">
        <f>'PIVOT TABLES'!$P$27-'PIVOT TABLES'!$P$26</f>
        <v>31.320000000000007</v>
      </c>
      <c r="S1075" s="14">
        <f>'PIVOT TABLES'!$P$28-'PIVOT TABLES'!$P$27</f>
        <v>31.319999999999993</v>
      </c>
      <c r="T1075" s="14">
        <f>200-SUM(Table3[[#This Row],[W - LIGHT]:[W - VIGOROUS]])</f>
        <v>74.72</v>
      </c>
      <c r="U1075" s="14">
        <f>'PIVOT TABLES'!$W$26</f>
        <v>55.895999999999994</v>
      </c>
      <c r="V1075" s="14">
        <f>'PIVOT TABLES'!$W$27-'PIVOT TABLES'!$W$26</f>
        <v>27.948</v>
      </c>
      <c r="W1075" s="14">
        <f>'PIVOT TABLES'!$W$28-'PIVOT TABLES'!$W$27</f>
        <v>27.947999999999993</v>
      </c>
      <c r="X1075" s="14">
        <f>200-SUM(Table3[[#This Row],[S - LIGHT]:[S - VIGOROUS]])</f>
        <v>88.208000000000013</v>
      </c>
    </row>
    <row r="1076" spans="1:24" x14ac:dyDescent="0.25">
      <c r="A1076" s="44" t="s">
        <v>53</v>
      </c>
      <c r="B1076" s="13" t="str">
        <f t="shared" si="16"/>
        <v>Midfielder</v>
      </c>
      <c r="C1076" s="7">
        <v>45362.786770833336</v>
      </c>
      <c r="D1076" s="14">
        <v>6965</v>
      </c>
      <c r="E1076" s="14">
        <v>6</v>
      </c>
      <c r="F1076" s="14">
        <v>18</v>
      </c>
      <c r="G1076" s="14">
        <v>16</v>
      </c>
      <c r="H1076" s="14">
        <v>70.87</v>
      </c>
      <c r="I1076" s="14">
        <f>'PIVOT TABLES'!$B$26</f>
        <v>60.283999999999999</v>
      </c>
      <c r="J1076" s="14">
        <f>'PIVOT TABLES'!$B$27-'PIVOT TABLES'!$B$26</f>
        <v>30.142000000000003</v>
      </c>
      <c r="K1076" s="14">
        <f>'PIVOT TABLES'!$B$28-'PIVOT TABLES'!$B$27</f>
        <v>30.141999999999996</v>
      </c>
      <c r="L1076" s="14">
        <f>200-SUM(Table3[[#This Row],[D - LIGHT]:[D - VIGOROUS]])</f>
        <v>79.432000000000002</v>
      </c>
      <c r="M1076" s="14">
        <f>'PIVOT TABLES'!$I$26</f>
        <v>65.603999999999999</v>
      </c>
      <c r="N1076" s="14">
        <f>'PIVOT TABLES'!$I$27-'PIVOT TABLES'!$I$26</f>
        <v>32.802000000000007</v>
      </c>
      <c r="O1076" s="14">
        <f>'PIVOT TABLES'!$I$28-'PIVOT TABLES'!$I$27</f>
        <v>32.801999999999992</v>
      </c>
      <c r="P1076" s="14">
        <f>200-SUM(Table3[[#This Row],[M - LIGHT]:[M - VIGOROUS]])</f>
        <v>68.792000000000002</v>
      </c>
      <c r="Q1076" s="14">
        <f>'PIVOT TABLES'!$P$26</f>
        <v>62.64</v>
      </c>
      <c r="R1076" s="14">
        <f>'PIVOT TABLES'!$P$27-'PIVOT TABLES'!$P$26</f>
        <v>31.320000000000007</v>
      </c>
      <c r="S1076" s="14">
        <f>'PIVOT TABLES'!$P$28-'PIVOT TABLES'!$P$27</f>
        <v>31.319999999999993</v>
      </c>
      <c r="T1076" s="14">
        <f>200-SUM(Table3[[#This Row],[W - LIGHT]:[W - VIGOROUS]])</f>
        <v>74.72</v>
      </c>
      <c r="U1076" s="14">
        <f>'PIVOT TABLES'!$W$26</f>
        <v>55.895999999999994</v>
      </c>
      <c r="V1076" s="14">
        <f>'PIVOT TABLES'!$W$27-'PIVOT TABLES'!$W$26</f>
        <v>27.948</v>
      </c>
      <c r="W1076" s="14">
        <f>'PIVOT TABLES'!$W$28-'PIVOT TABLES'!$W$27</f>
        <v>27.947999999999993</v>
      </c>
      <c r="X1076" s="14">
        <f>200-SUM(Table3[[#This Row],[S - LIGHT]:[S - VIGOROUS]])</f>
        <v>88.208000000000013</v>
      </c>
    </row>
    <row r="1077" spans="1:24" x14ac:dyDescent="0.25">
      <c r="A1077" s="44" t="s">
        <v>54</v>
      </c>
      <c r="B1077" s="13" t="str">
        <f t="shared" si="16"/>
        <v>Striker</v>
      </c>
      <c r="C1077" s="7">
        <v>45362.786770833336</v>
      </c>
      <c r="D1077" s="14">
        <v>7408</v>
      </c>
      <c r="E1077" s="14">
        <v>124</v>
      </c>
      <c r="F1077" s="14">
        <v>17</v>
      </c>
      <c r="G1077" s="14">
        <v>11</v>
      </c>
      <c r="H1077" s="14">
        <v>78.7</v>
      </c>
      <c r="I1077" s="14">
        <f>'PIVOT TABLES'!$B$26</f>
        <v>60.283999999999999</v>
      </c>
      <c r="J1077" s="14">
        <f>'PIVOT TABLES'!$B$27-'PIVOT TABLES'!$B$26</f>
        <v>30.142000000000003</v>
      </c>
      <c r="K1077" s="14">
        <f>'PIVOT TABLES'!$B$28-'PIVOT TABLES'!$B$27</f>
        <v>30.141999999999996</v>
      </c>
      <c r="L1077" s="14">
        <f>200-SUM(Table3[[#This Row],[D - LIGHT]:[D - VIGOROUS]])</f>
        <v>79.432000000000002</v>
      </c>
      <c r="M1077" s="14">
        <f>'PIVOT TABLES'!$I$26</f>
        <v>65.603999999999999</v>
      </c>
      <c r="N1077" s="14">
        <f>'PIVOT TABLES'!$I$27-'PIVOT TABLES'!$I$26</f>
        <v>32.802000000000007</v>
      </c>
      <c r="O1077" s="14">
        <f>'PIVOT TABLES'!$I$28-'PIVOT TABLES'!$I$27</f>
        <v>32.801999999999992</v>
      </c>
      <c r="P1077" s="14">
        <f>200-SUM(Table3[[#This Row],[M - LIGHT]:[M - VIGOROUS]])</f>
        <v>68.792000000000002</v>
      </c>
      <c r="Q1077" s="14">
        <f>'PIVOT TABLES'!$P$26</f>
        <v>62.64</v>
      </c>
      <c r="R1077" s="14">
        <f>'PIVOT TABLES'!$P$27-'PIVOT TABLES'!$P$26</f>
        <v>31.320000000000007</v>
      </c>
      <c r="S1077" s="14">
        <f>'PIVOT TABLES'!$P$28-'PIVOT TABLES'!$P$27</f>
        <v>31.319999999999993</v>
      </c>
      <c r="T1077" s="14">
        <f>200-SUM(Table3[[#This Row],[W - LIGHT]:[W - VIGOROUS]])</f>
        <v>74.72</v>
      </c>
      <c r="U1077" s="14">
        <f>'PIVOT TABLES'!$W$26</f>
        <v>55.895999999999994</v>
      </c>
      <c r="V1077" s="14">
        <f>'PIVOT TABLES'!$W$27-'PIVOT TABLES'!$W$26</f>
        <v>27.948</v>
      </c>
      <c r="W1077" s="14">
        <f>'PIVOT TABLES'!$W$28-'PIVOT TABLES'!$W$27</f>
        <v>27.947999999999993</v>
      </c>
      <c r="X1077" s="14">
        <f>200-SUM(Table3[[#This Row],[S - LIGHT]:[S - VIGOROUS]])</f>
        <v>88.208000000000013</v>
      </c>
    </row>
    <row r="1078" spans="1:24" x14ac:dyDescent="0.25">
      <c r="A1078" s="44" t="s">
        <v>55</v>
      </c>
      <c r="B1078" s="13" t="str">
        <f t="shared" si="16"/>
        <v>Striker</v>
      </c>
      <c r="C1078" s="7">
        <v>45362.786770833336</v>
      </c>
      <c r="D1078" s="14">
        <v>4925</v>
      </c>
      <c r="E1078" s="14">
        <v>85</v>
      </c>
      <c r="F1078" s="14">
        <v>15</v>
      </c>
      <c r="G1078" s="14">
        <v>14</v>
      </c>
      <c r="H1078" s="14">
        <v>52.68</v>
      </c>
      <c r="I1078" s="14">
        <f>'PIVOT TABLES'!$B$26</f>
        <v>60.283999999999999</v>
      </c>
      <c r="J1078" s="14">
        <f>'PIVOT TABLES'!$B$27-'PIVOT TABLES'!$B$26</f>
        <v>30.142000000000003</v>
      </c>
      <c r="K1078" s="14">
        <f>'PIVOT TABLES'!$B$28-'PIVOT TABLES'!$B$27</f>
        <v>30.141999999999996</v>
      </c>
      <c r="L1078" s="14">
        <f>200-SUM(Table3[[#This Row],[D - LIGHT]:[D - VIGOROUS]])</f>
        <v>79.432000000000002</v>
      </c>
      <c r="M1078" s="14">
        <f>'PIVOT TABLES'!$I$26</f>
        <v>65.603999999999999</v>
      </c>
      <c r="N1078" s="14">
        <f>'PIVOT TABLES'!$I$27-'PIVOT TABLES'!$I$26</f>
        <v>32.802000000000007</v>
      </c>
      <c r="O1078" s="14">
        <f>'PIVOT TABLES'!$I$28-'PIVOT TABLES'!$I$27</f>
        <v>32.801999999999992</v>
      </c>
      <c r="P1078" s="14">
        <f>200-SUM(Table3[[#This Row],[M - LIGHT]:[M - VIGOROUS]])</f>
        <v>68.792000000000002</v>
      </c>
      <c r="Q1078" s="14">
        <f>'PIVOT TABLES'!$P$26</f>
        <v>62.64</v>
      </c>
      <c r="R1078" s="14">
        <f>'PIVOT TABLES'!$P$27-'PIVOT TABLES'!$P$26</f>
        <v>31.320000000000007</v>
      </c>
      <c r="S1078" s="14">
        <f>'PIVOT TABLES'!$P$28-'PIVOT TABLES'!$P$27</f>
        <v>31.319999999999993</v>
      </c>
      <c r="T1078" s="14">
        <f>200-SUM(Table3[[#This Row],[W - LIGHT]:[W - VIGOROUS]])</f>
        <v>74.72</v>
      </c>
      <c r="U1078" s="14">
        <f>'PIVOT TABLES'!$W$26</f>
        <v>55.895999999999994</v>
      </c>
      <c r="V1078" s="14">
        <f>'PIVOT TABLES'!$W$27-'PIVOT TABLES'!$W$26</f>
        <v>27.948</v>
      </c>
      <c r="W1078" s="14">
        <f>'PIVOT TABLES'!$W$28-'PIVOT TABLES'!$W$27</f>
        <v>27.947999999999993</v>
      </c>
      <c r="X1078" s="14">
        <f>200-SUM(Table3[[#This Row],[S - LIGHT]:[S - VIGOROUS]])</f>
        <v>88.208000000000013</v>
      </c>
    </row>
    <row r="1079" spans="1:24" x14ac:dyDescent="0.25">
      <c r="A1079" s="44" t="s">
        <v>1</v>
      </c>
      <c r="B1079" s="13" t="str">
        <f t="shared" si="16"/>
        <v>Defender</v>
      </c>
      <c r="C1079" s="7">
        <v>45362.786770833336</v>
      </c>
      <c r="D1079" s="14">
        <v>5810</v>
      </c>
      <c r="E1079" s="14">
        <v>101</v>
      </c>
      <c r="F1079" s="14">
        <v>24</v>
      </c>
      <c r="G1079" s="14">
        <v>20</v>
      </c>
      <c r="H1079" s="14">
        <v>62.49</v>
      </c>
      <c r="I1079" s="14">
        <f>'PIVOT TABLES'!$B$26</f>
        <v>60.283999999999999</v>
      </c>
      <c r="J1079" s="14">
        <f>'PIVOT TABLES'!$B$27-'PIVOT TABLES'!$B$26</f>
        <v>30.142000000000003</v>
      </c>
      <c r="K1079" s="14">
        <f>'PIVOT TABLES'!$B$28-'PIVOT TABLES'!$B$27</f>
        <v>30.141999999999996</v>
      </c>
      <c r="L1079" s="14">
        <f>200-SUM(Table3[[#This Row],[D - LIGHT]:[D - VIGOROUS]])</f>
        <v>79.432000000000002</v>
      </c>
      <c r="M1079" s="14">
        <f>'PIVOT TABLES'!$I$26</f>
        <v>65.603999999999999</v>
      </c>
      <c r="N1079" s="14">
        <f>'PIVOT TABLES'!$I$27-'PIVOT TABLES'!$I$26</f>
        <v>32.802000000000007</v>
      </c>
      <c r="O1079" s="14">
        <f>'PIVOT TABLES'!$I$28-'PIVOT TABLES'!$I$27</f>
        <v>32.801999999999992</v>
      </c>
      <c r="P1079" s="14">
        <f>200-SUM(Table3[[#This Row],[M - LIGHT]:[M - VIGOROUS]])</f>
        <v>68.792000000000002</v>
      </c>
      <c r="Q1079" s="14">
        <f>'PIVOT TABLES'!$P$26</f>
        <v>62.64</v>
      </c>
      <c r="R1079" s="14">
        <f>'PIVOT TABLES'!$P$27-'PIVOT TABLES'!$P$26</f>
        <v>31.320000000000007</v>
      </c>
      <c r="S1079" s="14">
        <f>'PIVOT TABLES'!$P$28-'PIVOT TABLES'!$P$27</f>
        <v>31.319999999999993</v>
      </c>
      <c r="T1079" s="14">
        <f>200-SUM(Table3[[#This Row],[W - LIGHT]:[W - VIGOROUS]])</f>
        <v>74.72</v>
      </c>
      <c r="U1079" s="14">
        <f>'PIVOT TABLES'!$W$26</f>
        <v>55.895999999999994</v>
      </c>
      <c r="V1079" s="14">
        <f>'PIVOT TABLES'!$W$27-'PIVOT TABLES'!$W$26</f>
        <v>27.948</v>
      </c>
      <c r="W1079" s="14">
        <f>'PIVOT TABLES'!$W$28-'PIVOT TABLES'!$W$27</f>
        <v>27.947999999999993</v>
      </c>
      <c r="X1079" s="14">
        <f>200-SUM(Table3[[#This Row],[S - LIGHT]:[S - VIGOROUS]])</f>
        <v>88.208000000000013</v>
      </c>
    </row>
    <row r="1080" spans="1:24" x14ac:dyDescent="0.25">
      <c r="A1080" s="44" t="s">
        <v>56</v>
      </c>
      <c r="B1080" s="13" t="str">
        <f t="shared" si="16"/>
        <v>Midfielder</v>
      </c>
      <c r="C1080" s="7">
        <v>45362.786770833336</v>
      </c>
      <c r="D1080" s="14">
        <v>6654</v>
      </c>
      <c r="E1080" s="14">
        <v>12</v>
      </c>
      <c r="F1080" s="14">
        <v>8</v>
      </c>
      <c r="G1080" s="14">
        <v>8</v>
      </c>
      <c r="H1080" s="14">
        <v>67.38</v>
      </c>
      <c r="I1080" s="14">
        <f>'PIVOT TABLES'!$B$26</f>
        <v>60.283999999999999</v>
      </c>
      <c r="J1080" s="14">
        <f>'PIVOT TABLES'!$B$27-'PIVOT TABLES'!$B$26</f>
        <v>30.142000000000003</v>
      </c>
      <c r="K1080" s="14">
        <f>'PIVOT TABLES'!$B$28-'PIVOT TABLES'!$B$27</f>
        <v>30.141999999999996</v>
      </c>
      <c r="L1080" s="14">
        <f>200-SUM(Table3[[#This Row],[D - LIGHT]:[D - VIGOROUS]])</f>
        <v>79.432000000000002</v>
      </c>
      <c r="M1080" s="14">
        <f>'PIVOT TABLES'!$I$26</f>
        <v>65.603999999999999</v>
      </c>
      <c r="N1080" s="14">
        <f>'PIVOT TABLES'!$I$27-'PIVOT TABLES'!$I$26</f>
        <v>32.802000000000007</v>
      </c>
      <c r="O1080" s="14">
        <f>'PIVOT TABLES'!$I$28-'PIVOT TABLES'!$I$27</f>
        <v>32.801999999999992</v>
      </c>
      <c r="P1080" s="14">
        <f>200-SUM(Table3[[#This Row],[M - LIGHT]:[M - VIGOROUS]])</f>
        <v>68.792000000000002</v>
      </c>
      <c r="Q1080" s="14">
        <f>'PIVOT TABLES'!$P$26</f>
        <v>62.64</v>
      </c>
      <c r="R1080" s="14">
        <f>'PIVOT TABLES'!$P$27-'PIVOT TABLES'!$P$26</f>
        <v>31.320000000000007</v>
      </c>
      <c r="S1080" s="14">
        <f>'PIVOT TABLES'!$P$28-'PIVOT TABLES'!$P$27</f>
        <v>31.319999999999993</v>
      </c>
      <c r="T1080" s="14">
        <f>200-SUM(Table3[[#This Row],[W - LIGHT]:[W - VIGOROUS]])</f>
        <v>74.72</v>
      </c>
      <c r="U1080" s="14">
        <f>'PIVOT TABLES'!$W$26</f>
        <v>55.895999999999994</v>
      </c>
      <c r="V1080" s="14">
        <f>'PIVOT TABLES'!$W$27-'PIVOT TABLES'!$W$26</f>
        <v>27.948</v>
      </c>
      <c r="W1080" s="14">
        <f>'PIVOT TABLES'!$W$28-'PIVOT TABLES'!$W$27</f>
        <v>27.947999999999993</v>
      </c>
      <c r="X1080" s="14">
        <f>200-SUM(Table3[[#This Row],[S - LIGHT]:[S - VIGOROUS]])</f>
        <v>88.208000000000013</v>
      </c>
    </row>
    <row r="1081" spans="1:24" x14ac:dyDescent="0.25">
      <c r="A1081" s="44" t="s">
        <v>2</v>
      </c>
      <c r="B1081" s="13" t="str">
        <f t="shared" si="16"/>
        <v>Defender</v>
      </c>
      <c r="C1081" s="7">
        <v>45362.786770833336</v>
      </c>
      <c r="D1081" s="14">
        <v>6705</v>
      </c>
      <c r="E1081" s="14">
        <v>199</v>
      </c>
      <c r="F1081" s="14">
        <v>27</v>
      </c>
      <c r="G1081" s="14">
        <v>26</v>
      </c>
      <c r="H1081" s="14">
        <v>74.62</v>
      </c>
      <c r="I1081" s="14">
        <f>'PIVOT TABLES'!$B$26</f>
        <v>60.283999999999999</v>
      </c>
      <c r="J1081" s="14">
        <f>'PIVOT TABLES'!$B$27-'PIVOT TABLES'!$B$26</f>
        <v>30.142000000000003</v>
      </c>
      <c r="K1081" s="14">
        <f>'PIVOT TABLES'!$B$28-'PIVOT TABLES'!$B$27</f>
        <v>30.141999999999996</v>
      </c>
      <c r="L1081" s="14">
        <f>200-SUM(Table3[[#This Row],[D - LIGHT]:[D - VIGOROUS]])</f>
        <v>79.432000000000002</v>
      </c>
      <c r="M1081" s="14">
        <f>'PIVOT TABLES'!$I$26</f>
        <v>65.603999999999999</v>
      </c>
      <c r="N1081" s="14">
        <f>'PIVOT TABLES'!$I$27-'PIVOT TABLES'!$I$26</f>
        <v>32.802000000000007</v>
      </c>
      <c r="O1081" s="14">
        <f>'PIVOT TABLES'!$I$28-'PIVOT TABLES'!$I$27</f>
        <v>32.801999999999992</v>
      </c>
      <c r="P1081" s="14">
        <f>200-SUM(Table3[[#This Row],[M - LIGHT]:[M - VIGOROUS]])</f>
        <v>68.792000000000002</v>
      </c>
      <c r="Q1081" s="14">
        <f>'PIVOT TABLES'!$P$26</f>
        <v>62.64</v>
      </c>
      <c r="R1081" s="14">
        <f>'PIVOT TABLES'!$P$27-'PIVOT TABLES'!$P$26</f>
        <v>31.320000000000007</v>
      </c>
      <c r="S1081" s="14">
        <f>'PIVOT TABLES'!$P$28-'PIVOT TABLES'!$P$27</f>
        <v>31.319999999999993</v>
      </c>
      <c r="T1081" s="14">
        <f>200-SUM(Table3[[#This Row],[W - LIGHT]:[W - VIGOROUS]])</f>
        <v>74.72</v>
      </c>
      <c r="U1081" s="14">
        <f>'PIVOT TABLES'!$W$26</f>
        <v>55.895999999999994</v>
      </c>
      <c r="V1081" s="14">
        <f>'PIVOT TABLES'!$W$27-'PIVOT TABLES'!$W$26</f>
        <v>27.948</v>
      </c>
      <c r="W1081" s="14">
        <f>'PIVOT TABLES'!$W$28-'PIVOT TABLES'!$W$27</f>
        <v>27.947999999999993</v>
      </c>
      <c r="X1081" s="14">
        <f>200-SUM(Table3[[#This Row],[S - LIGHT]:[S - VIGOROUS]])</f>
        <v>88.208000000000013</v>
      </c>
    </row>
    <row r="1082" spans="1:24" x14ac:dyDescent="0.25">
      <c r="A1082" s="44" t="s">
        <v>58</v>
      </c>
      <c r="B1082" s="13" t="str">
        <f t="shared" si="16"/>
        <v>Defender</v>
      </c>
      <c r="C1082" s="7">
        <v>45362.786770833336</v>
      </c>
      <c r="D1082" s="14">
        <v>6055</v>
      </c>
      <c r="E1082" s="14">
        <v>63</v>
      </c>
      <c r="F1082" s="14">
        <v>21</v>
      </c>
      <c r="G1082" s="14">
        <v>10</v>
      </c>
      <c r="H1082" s="14">
        <v>63.48</v>
      </c>
      <c r="I1082" s="14">
        <f>'PIVOT TABLES'!$B$26</f>
        <v>60.283999999999999</v>
      </c>
      <c r="J1082" s="14">
        <f>'PIVOT TABLES'!$B$27-'PIVOT TABLES'!$B$26</f>
        <v>30.142000000000003</v>
      </c>
      <c r="K1082" s="14">
        <f>'PIVOT TABLES'!$B$28-'PIVOT TABLES'!$B$27</f>
        <v>30.141999999999996</v>
      </c>
      <c r="L1082" s="14">
        <f>200-SUM(Table3[[#This Row],[D - LIGHT]:[D - VIGOROUS]])</f>
        <v>79.432000000000002</v>
      </c>
      <c r="M1082" s="14">
        <f>'PIVOT TABLES'!$I$26</f>
        <v>65.603999999999999</v>
      </c>
      <c r="N1082" s="14">
        <f>'PIVOT TABLES'!$I$27-'PIVOT TABLES'!$I$26</f>
        <v>32.802000000000007</v>
      </c>
      <c r="O1082" s="14">
        <f>'PIVOT TABLES'!$I$28-'PIVOT TABLES'!$I$27</f>
        <v>32.801999999999992</v>
      </c>
      <c r="P1082" s="14">
        <f>200-SUM(Table3[[#This Row],[M - LIGHT]:[M - VIGOROUS]])</f>
        <v>68.792000000000002</v>
      </c>
      <c r="Q1082" s="14">
        <f>'PIVOT TABLES'!$P$26</f>
        <v>62.64</v>
      </c>
      <c r="R1082" s="14">
        <f>'PIVOT TABLES'!$P$27-'PIVOT TABLES'!$P$26</f>
        <v>31.320000000000007</v>
      </c>
      <c r="S1082" s="14">
        <f>'PIVOT TABLES'!$P$28-'PIVOT TABLES'!$P$27</f>
        <v>31.319999999999993</v>
      </c>
      <c r="T1082" s="14">
        <f>200-SUM(Table3[[#This Row],[W - LIGHT]:[W - VIGOROUS]])</f>
        <v>74.72</v>
      </c>
      <c r="U1082" s="14">
        <f>'PIVOT TABLES'!$W$26</f>
        <v>55.895999999999994</v>
      </c>
      <c r="V1082" s="14">
        <f>'PIVOT TABLES'!$W$27-'PIVOT TABLES'!$W$26</f>
        <v>27.948</v>
      </c>
      <c r="W1082" s="14">
        <f>'PIVOT TABLES'!$W$28-'PIVOT TABLES'!$W$27</f>
        <v>27.947999999999993</v>
      </c>
      <c r="X1082" s="14">
        <f>200-SUM(Table3[[#This Row],[S - LIGHT]:[S - VIGOROUS]])</f>
        <v>88.208000000000013</v>
      </c>
    </row>
    <row r="1083" spans="1:24" x14ac:dyDescent="0.25">
      <c r="A1083" s="44" t="s">
        <v>94</v>
      </c>
      <c r="B1083" s="13" t="str">
        <f t="shared" si="16"/>
        <v>Defender</v>
      </c>
      <c r="C1083" s="7">
        <v>45362.786770833336</v>
      </c>
      <c r="D1083" s="14">
        <v>6590</v>
      </c>
      <c r="E1083" s="14">
        <v>80</v>
      </c>
      <c r="F1083" s="14">
        <v>15</v>
      </c>
      <c r="G1083" s="14">
        <v>15</v>
      </c>
      <c r="H1083" s="14">
        <v>69.2</v>
      </c>
      <c r="I1083" s="14">
        <f>'PIVOT TABLES'!$B$26</f>
        <v>60.283999999999999</v>
      </c>
      <c r="J1083" s="14">
        <f>'PIVOT TABLES'!$B$27-'PIVOT TABLES'!$B$26</f>
        <v>30.142000000000003</v>
      </c>
      <c r="K1083" s="14">
        <f>'PIVOT TABLES'!$B$28-'PIVOT TABLES'!$B$27</f>
        <v>30.141999999999996</v>
      </c>
      <c r="L1083" s="14">
        <f>200-SUM(Table3[[#This Row],[D - LIGHT]:[D - VIGOROUS]])</f>
        <v>79.432000000000002</v>
      </c>
      <c r="M1083" s="14">
        <f>'PIVOT TABLES'!$I$26</f>
        <v>65.603999999999999</v>
      </c>
      <c r="N1083" s="14">
        <f>'PIVOT TABLES'!$I$27-'PIVOT TABLES'!$I$26</f>
        <v>32.802000000000007</v>
      </c>
      <c r="O1083" s="14">
        <f>'PIVOT TABLES'!$I$28-'PIVOT TABLES'!$I$27</f>
        <v>32.801999999999992</v>
      </c>
      <c r="P1083" s="14">
        <f>200-SUM(Table3[[#This Row],[M - LIGHT]:[M - VIGOROUS]])</f>
        <v>68.792000000000002</v>
      </c>
      <c r="Q1083" s="14">
        <f>'PIVOT TABLES'!$P$26</f>
        <v>62.64</v>
      </c>
      <c r="R1083" s="14">
        <f>'PIVOT TABLES'!$P$27-'PIVOT TABLES'!$P$26</f>
        <v>31.320000000000007</v>
      </c>
      <c r="S1083" s="14">
        <f>'PIVOT TABLES'!$P$28-'PIVOT TABLES'!$P$27</f>
        <v>31.319999999999993</v>
      </c>
      <c r="T1083" s="14">
        <f>200-SUM(Table3[[#This Row],[W - LIGHT]:[W - VIGOROUS]])</f>
        <v>74.72</v>
      </c>
      <c r="U1083" s="14">
        <f>'PIVOT TABLES'!$W$26</f>
        <v>55.895999999999994</v>
      </c>
      <c r="V1083" s="14">
        <f>'PIVOT TABLES'!$W$27-'PIVOT TABLES'!$W$26</f>
        <v>27.948</v>
      </c>
      <c r="W1083" s="14">
        <f>'PIVOT TABLES'!$W$28-'PIVOT TABLES'!$W$27</f>
        <v>27.947999999999993</v>
      </c>
      <c r="X1083" s="14">
        <f>200-SUM(Table3[[#This Row],[S - LIGHT]:[S - VIGOROUS]])</f>
        <v>88.208000000000013</v>
      </c>
    </row>
    <row r="1084" spans="1:24" x14ac:dyDescent="0.25">
      <c r="A1084" s="44" t="s">
        <v>3</v>
      </c>
      <c r="B1084" s="13" t="str">
        <f t="shared" si="16"/>
        <v>Defender</v>
      </c>
      <c r="C1084" s="7">
        <v>45362.786770833336</v>
      </c>
      <c r="D1084" s="14">
        <v>5371</v>
      </c>
      <c r="E1084" s="14">
        <v>51</v>
      </c>
      <c r="F1084" s="14">
        <v>23</v>
      </c>
      <c r="G1084" s="14">
        <v>23</v>
      </c>
      <c r="H1084" s="14">
        <v>56.62</v>
      </c>
      <c r="I1084" s="14">
        <f>'PIVOT TABLES'!$B$26</f>
        <v>60.283999999999999</v>
      </c>
      <c r="J1084" s="14">
        <f>'PIVOT TABLES'!$B$27-'PIVOT TABLES'!$B$26</f>
        <v>30.142000000000003</v>
      </c>
      <c r="K1084" s="14">
        <f>'PIVOT TABLES'!$B$28-'PIVOT TABLES'!$B$27</f>
        <v>30.141999999999996</v>
      </c>
      <c r="L1084" s="14">
        <f>200-SUM(Table3[[#This Row],[D - LIGHT]:[D - VIGOROUS]])</f>
        <v>79.432000000000002</v>
      </c>
      <c r="M1084" s="14">
        <f>'PIVOT TABLES'!$I$26</f>
        <v>65.603999999999999</v>
      </c>
      <c r="N1084" s="14">
        <f>'PIVOT TABLES'!$I$27-'PIVOT TABLES'!$I$26</f>
        <v>32.802000000000007</v>
      </c>
      <c r="O1084" s="14">
        <f>'PIVOT TABLES'!$I$28-'PIVOT TABLES'!$I$27</f>
        <v>32.801999999999992</v>
      </c>
      <c r="P1084" s="14">
        <f>200-SUM(Table3[[#This Row],[M - LIGHT]:[M - VIGOROUS]])</f>
        <v>68.792000000000002</v>
      </c>
      <c r="Q1084" s="14">
        <f>'PIVOT TABLES'!$P$26</f>
        <v>62.64</v>
      </c>
      <c r="R1084" s="14">
        <f>'PIVOT TABLES'!$P$27-'PIVOT TABLES'!$P$26</f>
        <v>31.320000000000007</v>
      </c>
      <c r="S1084" s="14">
        <f>'PIVOT TABLES'!$P$28-'PIVOT TABLES'!$P$27</f>
        <v>31.319999999999993</v>
      </c>
      <c r="T1084" s="14">
        <f>200-SUM(Table3[[#This Row],[W - LIGHT]:[W - VIGOROUS]])</f>
        <v>74.72</v>
      </c>
      <c r="U1084" s="14">
        <f>'PIVOT TABLES'!$W$26</f>
        <v>55.895999999999994</v>
      </c>
      <c r="V1084" s="14">
        <f>'PIVOT TABLES'!$W$27-'PIVOT TABLES'!$W$26</f>
        <v>27.948</v>
      </c>
      <c r="W1084" s="14">
        <f>'PIVOT TABLES'!$W$28-'PIVOT TABLES'!$W$27</f>
        <v>27.947999999999993</v>
      </c>
      <c r="X1084" s="14">
        <f>200-SUM(Table3[[#This Row],[S - LIGHT]:[S - VIGOROUS]])</f>
        <v>88.208000000000013</v>
      </c>
    </row>
    <row r="1085" spans="1:24" x14ac:dyDescent="0.25">
      <c r="A1085" s="44" t="s">
        <v>59</v>
      </c>
      <c r="B1085" s="13" t="str">
        <f t="shared" si="16"/>
        <v>Striker</v>
      </c>
      <c r="C1085" s="7">
        <v>45362.786770833336</v>
      </c>
      <c r="D1085" s="14">
        <v>4843</v>
      </c>
      <c r="E1085" s="14">
        <v>124</v>
      </c>
      <c r="F1085" s="14">
        <v>22</v>
      </c>
      <c r="G1085" s="14">
        <v>17</v>
      </c>
      <c r="H1085" s="14">
        <v>53.37</v>
      </c>
      <c r="I1085" s="14">
        <f>'PIVOT TABLES'!$B$26</f>
        <v>60.283999999999999</v>
      </c>
      <c r="J1085" s="14">
        <f>'PIVOT TABLES'!$B$27-'PIVOT TABLES'!$B$26</f>
        <v>30.142000000000003</v>
      </c>
      <c r="K1085" s="14">
        <f>'PIVOT TABLES'!$B$28-'PIVOT TABLES'!$B$27</f>
        <v>30.141999999999996</v>
      </c>
      <c r="L1085" s="14">
        <f>200-SUM(Table3[[#This Row],[D - LIGHT]:[D - VIGOROUS]])</f>
        <v>79.432000000000002</v>
      </c>
      <c r="M1085" s="14">
        <f>'PIVOT TABLES'!$I$26</f>
        <v>65.603999999999999</v>
      </c>
      <c r="N1085" s="14">
        <f>'PIVOT TABLES'!$I$27-'PIVOT TABLES'!$I$26</f>
        <v>32.802000000000007</v>
      </c>
      <c r="O1085" s="14">
        <f>'PIVOT TABLES'!$I$28-'PIVOT TABLES'!$I$27</f>
        <v>32.801999999999992</v>
      </c>
      <c r="P1085" s="14">
        <f>200-SUM(Table3[[#This Row],[M - LIGHT]:[M - VIGOROUS]])</f>
        <v>68.792000000000002</v>
      </c>
      <c r="Q1085" s="14">
        <f>'PIVOT TABLES'!$P$26</f>
        <v>62.64</v>
      </c>
      <c r="R1085" s="14">
        <f>'PIVOT TABLES'!$P$27-'PIVOT TABLES'!$P$26</f>
        <v>31.320000000000007</v>
      </c>
      <c r="S1085" s="14">
        <f>'PIVOT TABLES'!$P$28-'PIVOT TABLES'!$P$27</f>
        <v>31.319999999999993</v>
      </c>
      <c r="T1085" s="14">
        <f>200-SUM(Table3[[#This Row],[W - LIGHT]:[W - VIGOROUS]])</f>
        <v>74.72</v>
      </c>
      <c r="U1085" s="14">
        <f>'PIVOT TABLES'!$W$26</f>
        <v>55.895999999999994</v>
      </c>
      <c r="V1085" s="14">
        <f>'PIVOT TABLES'!$W$27-'PIVOT TABLES'!$W$26</f>
        <v>27.948</v>
      </c>
      <c r="W1085" s="14">
        <f>'PIVOT TABLES'!$W$28-'PIVOT TABLES'!$W$27</f>
        <v>27.947999999999993</v>
      </c>
      <c r="X1085" s="14">
        <f>200-SUM(Table3[[#This Row],[S - LIGHT]:[S - VIGOROUS]])</f>
        <v>88.208000000000013</v>
      </c>
    </row>
    <row r="1086" spans="1:24" x14ac:dyDescent="0.25">
      <c r="A1086" s="44" t="s">
        <v>4</v>
      </c>
      <c r="B1086" s="13" t="str">
        <f t="shared" si="16"/>
        <v>Midfielder</v>
      </c>
      <c r="C1086" s="7">
        <v>45362.786770833336</v>
      </c>
      <c r="D1086" s="14">
        <v>5864</v>
      </c>
      <c r="E1086" s="14">
        <v>95</v>
      </c>
      <c r="F1086" s="14">
        <v>12</v>
      </c>
      <c r="G1086" s="14">
        <v>11</v>
      </c>
      <c r="H1086" s="14">
        <v>62.19</v>
      </c>
      <c r="I1086" s="14">
        <f>'PIVOT TABLES'!$B$26</f>
        <v>60.283999999999999</v>
      </c>
      <c r="J1086" s="14">
        <f>'PIVOT TABLES'!$B$27-'PIVOT TABLES'!$B$26</f>
        <v>30.142000000000003</v>
      </c>
      <c r="K1086" s="14">
        <f>'PIVOT TABLES'!$B$28-'PIVOT TABLES'!$B$27</f>
        <v>30.141999999999996</v>
      </c>
      <c r="L1086" s="14">
        <f>200-SUM(Table3[[#This Row],[D - LIGHT]:[D - VIGOROUS]])</f>
        <v>79.432000000000002</v>
      </c>
      <c r="M1086" s="14">
        <f>'PIVOT TABLES'!$I$26</f>
        <v>65.603999999999999</v>
      </c>
      <c r="N1086" s="14">
        <f>'PIVOT TABLES'!$I$27-'PIVOT TABLES'!$I$26</f>
        <v>32.802000000000007</v>
      </c>
      <c r="O1086" s="14">
        <f>'PIVOT TABLES'!$I$28-'PIVOT TABLES'!$I$27</f>
        <v>32.801999999999992</v>
      </c>
      <c r="P1086" s="14">
        <f>200-SUM(Table3[[#This Row],[M - LIGHT]:[M - VIGOROUS]])</f>
        <v>68.792000000000002</v>
      </c>
      <c r="Q1086" s="14">
        <f>'PIVOT TABLES'!$P$26</f>
        <v>62.64</v>
      </c>
      <c r="R1086" s="14">
        <f>'PIVOT TABLES'!$P$27-'PIVOT TABLES'!$P$26</f>
        <v>31.320000000000007</v>
      </c>
      <c r="S1086" s="14">
        <f>'PIVOT TABLES'!$P$28-'PIVOT TABLES'!$P$27</f>
        <v>31.319999999999993</v>
      </c>
      <c r="T1086" s="14">
        <f>200-SUM(Table3[[#This Row],[W - LIGHT]:[W - VIGOROUS]])</f>
        <v>74.72</v>
      </c>
      <c r="U1086" s="14">
        <f>'PIVOT TABLES'!$W$26</f>
        <v>55.895999999999994</v>
      </c>
      <c r="V1086" s="14">
        <f>'PIVOT TABLES'!$W$27-'PIVOT TABLES'!$W$26</f>
        <v>27.948</v>
      </c>
      <c r="W1086" s="14">
        <f>'PIVOT TABLES'!$W$28-'PIVOT TABLES'!$W$27</f>
        <v>27.947999999999993</v>
      </c>
      <c r="X1086" s="14">
        <f>200-SUM(Table3[[#This Row],[S - LIGHT]:[S - VIGOROUS]])</f>
        <v>88.208000000000013</v>
      </c>
    </row>
    <row r="1087" spans="1:24" x14ac:dyDescent="0.25">
      <c r="A1087" s="44" t="s">
        <v>60</v>
      </c>
      <c r="B1087" s="13" t="str">
        <f t="shared" si="16"/>
        <v>Winger</v>
      </c>
      <c r="C1087" s="7">
        <v>45362.786770833336</v>
      </c>
      <c r="D1087" s="14">
        <v>3144</v>
      </c>
      <c r="E1087" s="14">
        <v>0</v>
      </c>
      <c r="F1087" s="14">
        <v>10</v>
      </c>
      <c r="G1087" s="14">
        <v>2</v>
      </c>
      <c r="H1087" s="14">
        <v>31.88</v>
      </c>
      <c r="I1087" s="14">
        <f>'PIVOT TABLES'!$B$26</f>
        <v>60.283999999999999</v>
      </c>
      <c r="J1087" s="14">
        <f>'PIVOT TABLES'!$B$27-'PIVOT TABLES'!$B$26</f>
        <v>30.142000000000003</v>
      </c>
      <c r="K1087" s="14">
        <f>'PIVOT TABLES'!$B$28-'PIVOT TABLES'!$B$27</f>
        <v>30.141999999999996</v>
      </c>
      <c r="L1087" s="14">
        <f>200-SUM(Table3[[#This Row],[D - LIGHT]:[D - VIGOROUS]])</f>
        <v>79.432000000000002</v>
      </c>
      <c r="M1087" s="14">
        <f>'PIVOT TABLES'!$I$26</f>
        <v>65.603999999999999</v>
      </c>
      <c r="N1087" s="14">
        <f>'PIVOT TABLES'!$I$27-'PIVOT TABLES'!$I$26</f>
        <v>32.802000000000007</v>
      </c>
      <c r="O1087" s="14">
        <f>'PIVOT TABLES'!$I$28-'PIVOT TABLES'!$I$27</f>
        <v>32.801999999999992</v>
      </c>
      <c r="P1087" s="14">
        <f>200-SUM(Table3[[#This Row],[M - LIGHT]:[M - VIGOROUS]])</f>
        <v>68.792000000000002</v>
      </c>
      <c r="Q1087" s="14">
        <f>'PIVOT TABLES'!$P$26</f>
        <v>62.64</v>
      </c>
      <c r="R1087" s="14">
        <f>'PIVOT TABLES'!$P$27-'PIVOT TABLES'!$P$26</f>
        <v>31.320000000000007</v>
      </c>
      <c r="S1087" s="14">
        <f>'PIVOT TABLES'!$P$28-'PIVOT TABLES'!$P$27</f>
        <v>31.319999999999993</v>
      </c>
      <c r="T1087" s="14">
        <f>200-SUM(Table3[[#This Row],[W - LIGHT]:[W - VIGOROUS]])</f>
        <v>74.72</v>
      </c>
      <c r="U1087" s="14">
        <f>'PIVOT TABLES'!$W$26</f>
        <v>55.895999999999994</v>
      </c>
      <c r="V1087" s="14">
        <f>'PIVOT TABLES'!$W$27-'PIVOT TABLES'!$W$26</f>
        <v>27.948</v>
      </c>
      <c r="W1087" s="14">
        <f>'PIVOT TABLES'!$W$28-'PIVOT TABLES'!$W$27</f>
        <v>27.947999999999993</v>
      </c>
      <c r="X1087" s="14">
        <f>200-SUM(Table3[[#This Row],[S - LIGHT]:[S - VIGOROUS]])</f>
        <v>88.208000000000013</v>
      </c>
    </row>
    <row r="1088" spans="1:24" x14ac:dyDescent="0.25">
      <c r="A1088" s="44" t="s">
        <v>71</v>
      </c>
      <c r="B1088" s="13" t="str">
        <f t="shared" si="16"/>
        <v>Midfielder</v>
      </c>
      <c r="C1088" s="7">
        <v>45362.786770833336</v>
      </c>
      <c r="D1088" s="14">
        <v>3316</v>
      </c>
      <c r="E1088" s="14">
        <v>0</v>
      </c>
      <c r="F1088" s="14">
        <v>6</v>
      </c>
      <c r="G1088" s="14">
        <v>3</v>
      </c>
      <c r="H1088" s="14">
        <v>33.46</v>
      </c>
      <c r="I1088" s="14">
        <f>'PIVOT TABLES'!$B$26</f>
        <v>60.283999999999999</v>
      </c>
      <c r="J1088" s="14">
        <f>'PIVOT TABLES'!$B$27-'PIVOT TABLES'!$B$26</f>
        <v>30.142000000000003</v>
      </c>
      <c r="K1088" s="14">
        <f>'PIVOT TABLES'!$B$28-'PIVOT TABLES'!$B$27</f>
        <v>30.141999999999996</v>
      </c>
      <c r="L1088" s="14">
        <f>200-SUM(Table3[[#This Row],[D - LIGHT]:[D - VIGOROUS]])</f>
        <v>79.432000000000002</v>
      </c>
      <c r="M1088" s="14">
        <f>'PIVOT TABLES'!$I$26</f>
        <v>65.603999999999999</v>
      </c>
      <c r="N1088" s="14">
        <f>'PIVOT TABLES'!$I$27-'PIVOT TABLES'!$I$26</f>
        <v>32.802000000000007</v>
      </c>
      <c r="O1088" s="14">
        <f>'PIVOT TABLES'!$I$28-'PIVOT TABLES'!$I$27</f>
        <v>32.801999999999992</v>
      </c>
      <c r="P1088" s="14">
        <f>200-SUM(Table3[[#This Row],[M - LIGHT]:[M - VIGOROUS]])</f>
        <v>68.792000000000002</v>
      </c>
      <c r="Q1088" s="14">
        <f>'PIVOT TABLES'!$P$26</f>
        <v>62.64</v>
      </c>
      <c r="R1088" s="14">
        <f>'PIVOT TABLES'!$P$27-'PIVOT TABLES'!$P$26</f>
        <v>31.320000000000007</v>
      </c>
      <c r="S1088" s="14">
        <f>'PIVOT TABLES'!$P$28-'PIVOT TABLES'!$P$27</f>
        <v>31.319999999999993</v>
      </c>
      <c r="T1088" s="14">
        <f>200-SUM(Table3[[#This Row],[W - LIGHT]:[W - VIGOROUS]])</f>
        <v>74.72</v>
      </c>
      <c r="U1088" s="14">
        <f>'PIVOT TABLES'!$W$26</f>
        <v>55.895999999999994</v>
      </c>
      <c r="V1088" s="14">
        <f>'PIVOT TABLES'!$W$27-'PIVOT TABLES'!$W$26</f>
        <v>27.948</v>
      </c>
      <c r="W1088" s="14">
        <f>'PIVOT TABLES'!$W$28-'PIVOT TABLES'!$W$27</f>
        <v>27.947999999999993</v>
      </c>
      <c r="X1088" s="14">
        <f>200-SUM(Table3[[#This Row],[S - LIGHT]:[S - VIGOROUS]])</f>
        <v>88.208000000000013</v>
      </c>
    </row>
    <row r="1089" spans="1:24" x14ac:dyDescent="0.25">
      <c r="A1089" s="44" t="s">
        <v>5</v>
      </c>
      <c r="B1089" s="13" t="str">
        <f t="shared" si="16"/>
        <v>Midfielder</v>
      </c>
      <c r="C1089" s="7">
        <v>45362.786770833336</v>
      </c>
      <c r="D1089" s="14">
        <v>5617</v>
      </c>
      <c r="E1089" s="14">
        <v>99</v>
      </c>
      <c r="F1089" s="14">
        <v>19</v>
      </c>
      <c r="G1089" s="14">
        <v>21</v>
      </c>
      <c r="H1089" s="14">
        <v>60.32</v>
      </c>
      <c r="I1089" s="14">
        <f>'PIVOT TABLES'!$B$26</f>
        <v>60.283999999999999</v>
      </c>
      <c r="J1089" s="14">
        <f>'PIVOT TABLES'!$B$27-'PIVOT TABLES'!$B$26</f>
        <v>30.142000000000003</v>
      </c>
      <c r="K1089" s="14">
        <f>'PIVOT TABLES'!$B$28-'PIVOT TABLES'!$B$27</f>
        <v>30.141999999999996</v>
      </c>
      <c r="L1089" s="14">
        <f>200-SUM(Table3[[#This Row],[D - LIGHT]:[D - VIGOROUS]])</f>
        <v>79.432000000000002</v>
      </c>
      <c r="M1089" s="14">
        <f>'PIVOT TABLES'!$I$26</f>
        <v>65.603999999999999</v>
      </c>
      <c r="N1089" s="14">
        <f>'PIVOT TABLES'!$I$27-'PIVOT TABLES'!$I$26</f>
        <v>32.802000000000007</v>
      </c>
      <c r="O1089" s="14">
        <f>'PIVOT TABLES'!$I$28-'PIVOT TABLES'!$I$27</f>
        <v>32.801999999999992</v>
      </c>
      <c r="P1089" s="14">
        <f>200-SUM(Table3[[#This Row],[M - LIGHT]:[M - VIGOROUS]])</f>
        <v>68.792000000000002</v>
      </c>
      <c r="Q1089" s="14">
        <f>'PIVOT TABLES'!$P$26</f>
        <v>62.64</v>
      </c>
      <c r="R1089" s="14">
        <f>'PIVOT TABLES'!$P$27-'PIVOT TABLES'!$P$26</f>
        <v>31.320000000000007</v>
      </c>
      <c r="S1089" s="14">
        <f>'PIVOT TABLES'!$P$28-'PIVOT TABLES'!$P$27</f>
        <v>31.319999999999993</v>
      </c>
      <c r="T1089" s="14">
        <f>200-SUM(Table3[[#This Row],[W - LIGHT]:[W - VIGOROUS]])</f>
        <v>74.72</v>
      </c>
      <c r="U1089" s="14">
        <f>'PIVOT TABLES'!$W$26</f>
        <v>55.895999999999994</v>
      </c>
      <c r="V1089" s="14">
        <f>'PIVOT TABLES'!$W$27-'PIVOT TABLES'!$W$26</f>
        <v>27.948</v>
      </c>
      <c r="W1089" s="14">
        <f>'PIVOT TABLES'!$W$28-'PIVOT TABLES'!$W$27</f>
        <v>27.947999999999993</v>
      </c>
      <c r="X1089" s="14">
        <f>200-SUM(Table3[[#This Row],[S - LIGHT]:[S - VIGOROUS]])</f>
        <v>88.208000000000013</v>
      </c>
    </row>
    <row r="1090" spans="1:24" x14ac:dyDescent="0.25">
      <c r="A1090" s="44" t="s">
        <v>6</v>
      </c>
      <c r="B1090" s="13" t="str">
        <f t="shared" si="16"/>
        <v>Midfielder</v>
      </c>
      <c r="C1090" s="7">
        <v>45362.786770833336</v>
      </c>
      <c r="D1090" s="14">
        <v>6012</v>
      </c>
      <c r="E1090" s="14">
        <v>183</v>
      </c>
      <c r="F1090" s="14">
        <v>25</v>
      </c>
      <c r="G1090" s="14">
        <v>14</v>
      </c>
      <c r="H1090" s="14">
        <v>66.89</v>
      </c>
      <c r="I1090" s="14">
        <f>'PIVOT TABLES'!$B$26</f>
        <v>60.283999999999999</v>
      </c>
      <c r="J1090" s="14">
        <f>'PIVOT TABLES'!$B$27-'PIVOT TABLES'!$B$26</f>
        <v>30.142000000000003</v>
      </c>
      <c r="K1090" s="14">
        <f>'PIVOT TABLES'!$B$28-'PIVOT TABLES'!$B$27</f>
        <v>30.141999999999996</v>
      </c>
      <c r="L1090" s="14">
        <f>200-SUM(Table3[[#This Row],[D - LIGHT]:[D - VIGOROUS]])</f>
        <v>79.432000000000002</v>
      </c>
      <c r="M1090" s="14">
        <f>'PIVOT TABLES'!$I$26</f>
        <v>65.603999999999999</v>
      </c>
      <c r="N1090" s="14">
        <f>'PIVOT TABLES'!$I$27-'PIVOT TABLES'!$I$26</f>
        <v>32.802000000000007</v>
      </c>
      <c r="O1090" s="14">
        <f>'PIVOT TABLES'!$I$28-'PIVOT TABLES'!$I$27</f>
        <v>32.801999999999992</v>
      </c>
      <c r="P1090" s="14">
        <f>200-SUM(Table3[[#This Row],[M - LIGHT]:[M - VIGOROUS]])</f>
        <v>68.792000000000002</v>
      </c>
      <c r="Q1090" s="14">
        <f>'PIVOT TABLES'!$P$26</f>
        <v>62.64</v>
      </c>
      <c r="R1090" s="14">
        <f>'PIVOT TABLES'!$P$27-'PIVOT TABLES'!$P$26</f>
        <v>31.320000000000007</v>
      </c>
      <c r="S1090" s="14">
        <f>'PIVOT TABLES'!$P$28-'PIVOT TABLES'!$P$27</f>
        <v>31.319999999999993</v>
      </c>
      <c r="T1090" s="14">
        <f>200-SUM(Table3[[#This Row],[W - LIGHT]:[W - VIGOROUS]])</f>
        <v>74.72</v>
      </c>
      <c r="U1090" s="14">
        <f>'PIVOT TABLES'!$W$26</f>
        <v>55.895999999999994</v>
      </c>
      <c r="V1090" s="14">
        <f>'PIVOT TABLES'!$W$27-'PIVOT TABLES'!$W$26</f>
        <v>27.948</v>
      </c>
      <c r="W1090" s="14">
        <f>'PIVOT TABLES'!$W$28-'PIVOT TABLES'!$W$27</f>
        <v>27.947999999999993</v>
      </c>
      <c r="X1090" s="14">
        <f>200-SUM(Table3[[#This Row],[S - LIGHT]:[S - VIGOROUS]])</f>
        <v>88.208000000000013</v>
      </c>
    </row>
    <row r="1091" spans="1:24" x14ac:dyDescent="0.25">
      <c r="A1091" s="44" t="s">
        <v>62</v>
      </c>
      <c r="B1091" s="13" t="str">
        <f t="shared" ref="B1091:B1154" si="17">IF(A1091="Sihle Gum","Defender",IF(A1091="Kenny Langa","Defender",IF(A1091="Tshepang Makara","Defender",IF(A1091="Tshepiso Mahlangu","Defender",IF(A1091="Neo Ramashala","Defender",IF(A1091="Keabetswe Nkogatse","Defender",IF(A1091="Kaketso Harold Majadibodu","Defender",IF(A1091="Samuel Julies","Midfielder",IF(A1091="Frank Mpedi","Midfielder",IF(A1091="Sapholwethu Kelepu","Midfielder",IF(A1091="Manelisi Sithole","Midfielder",IF(A1091="Thabiso Mokoena","Midfielder",IF(A1091="Khomotso Marebane","Midfielder",IF(A1091="Tebogo Mohlamonyane","Midfielder",IF(A1091="Thulani Zandamela","Midfielder",IF(A1091="Mdevulana Camagu","Midfielder",IF(A1091="Promise Mkhuma","Midfielder",IF(A1091="Essien Makwarimba","Midfielder",IF(A1091="Ayanda Mvambi","Winger",IF(A1091="Delano Abrahams","Winger",IF(A1091="Thokozani Sekotlong","Winger",IF(A1091="Maselaelo Seanego","Winger",IF(A1091="Lesedi Motha","Winger",IF(A1091="Malekgene Mampuru","Winger",IF(A1091="Matome Rangata","Winger",IF(A1091="Thabang Sibanyoni","Striker",IF(A1091="Tebogo Makungo","Striker",IF(A1091="Neo Dikgale","Striker",IF(A1091="Kamohelo Pheeane","Striker",IF(A1091="Athenkosi Tonisi","Striker",IF(A1091="Jesse Francis","Striker","####")))))))))))))))))))))))))))))))</f>
        <v>Midfielder</v>
      </c>
      <c r="C1091" s="7">
        <v>45362.786770833336</v>
      </c>
      <c r="D1091" s="14">
        <v>6574</v>
      </c>
      <c r="E1091" s="14">
        <v>10</v>
      </c>
      <c r="F1091" s="14">
        <v>27</v>
      </c>
      <c r="G1091" s="14">
        <v>12</v>
      </c>
      <c r="H1091" s="14">
        <v>67.36</v>
      </c>
      <c r="I1091" s="14">
        <f>'PIVOT TABLES'!$B$26</f>
        <v>60.283999999999999</v>
      </c>
      <c r="J1091" s="14">
        <f>'PIVOT TABLES'!$B$27-'PIVOT TABLES'!$B$26</f>
        <v>30.142000000000003</v>
      </c>
      <c r="K1091" s="14">
        <f>'PIVOT TABLES'!$B$28-'PIVOT TABLES'!$B$27</f>
        <v>30.141999999999996</v>
      </c>
      <c r="L1091" s="14">
        <f>200-SUM(Table3[[#This Row],[D - LIGHT]:[D - VIGOROUS]])</f>
        <v>79.432000000000002</v>
      </c>
      <c r="M1091" s="14">
        <f>'PIVOT TABLES'!$I$26</f>
        <v>65.603999999999999</v>
      </c>
      <c r="N1091" s="14">
        <f>'PIVOT TABLES'!$I$27-'PIVOT TABLES'!$I$26</f>
        <v>32.802000000000007</v>
      </c>
      <c r="O1091" s="14">
        <f>'PIVOT TABLES'!$I$28-'PIVOT TABLES'!$I$27</f>
        <v>32.801999999999992</v>
      </c>
      <c r="P1091" s="14">
        <f>200-SUM(Table3[[#This Row],[M - LIGHT]:[M - VIGOROUS]])</f>
        <v>68.792000000000002</v>
      </c>
      <c r="Q1091" s="14">
        <f>'PIVOT TABLES'!$P$26</f>
        <v>62.64</v>
      </c>
      <c r="R1091" s="14">
        <f>'PIVOT TABLES'!$P$27-'PIVOT TABLES'!$P$26</f>
        <v>31.320000000000007</v>
      </c>
      <c r="S1091" s="14">
        <f>'PIVOT TABLES'!$P$28-'PIVOT TABLES'!$P$27</f>
        <v>31.319999999999993</v>
      </c>
      <c r="T1091" s="14">
        <f>200-SUM(Table3[[#This Row],[W - LIGHT]:[W - VIGOROUS]])</f>
        <v>74.72</v>
      </c>
      <c r="U1091" s="14">
        <f>'PIVOT TABLES'!$W$26</f>
        <v>55.895999999999994</v>
      </c>
      <c r="V1091" s="14">
        <f>'PIVOT TABLES'!$W$27-'PIVOT TABLES'!$W$26</f>
        <v>27.948</v>
      </c>
      <c r="W1091" s="14">
        <f>'PIVOT TABLES'!$W$28-'PIVOT TABLES'!$W$27</f>
        <v>27.947999999999993</v>
      </c>
      <c r="X1091" s="14">
        <f>200-SUM(Table3[[#This Row],[S - LIGHT]:[S - VIGOROUS]])</f>
        <v>88.208000000000013</v>
      </c>
    </row>
    <row r="1092" spans="1:24" x14ac:dyDescent="0.25">
      <c r="A1092" s="44" t="s">
        <v>64</v>
      </c>
      <c r="B1092" s="13" t="str">
        <f t="shared" si="17"/>
        <v>Midfielder</v>
      </c>
      <c r="C1092" s="7">
        <v>45362.786770833336</v>
      </c>
      <c r="D1092" s="14">
        <v>7890</v>
      </c>
      <c r="E1092" s="14">
        <v>78</v>
      </c>
      <c r="F1092" s="14">
        <v>26</v>
      </c>
      <c r="G1092" s="14">
        <v>24</v>
      </c>
      <c r="H1092" s="14">
        <v>82.76</v>
      </c>
      <c r="I1092" s="14">
        <f>'PIVOT TABLES'!$B$26</f>
        <v>60.283999999999999</v>
      </c>
      <c r="J1092" s="14">
        <f>'PIVOT TABLES'!$B$27-'PIVOT TABLES'!$B$26</f>
        <v>30.142000000000003</v>
      </c>
      <c r="K1092" s="14">
        <f>'PIVOT TABLES'!$B$28-'PIVOT TABLES'!$B$27</f>
        <v>30.141999999999996</v>
      </c>
      <c r="L1092" s="14">
        <f>200-SUM(Table3[[#This Row],[D - LIGHT]:[D - VIGOROUS]])</f>
        <v>79.432000000000002</v>
      </c>
      <c r="M1092" s="14">
        <f>'PIVOT TABLES'!$I$26</f>
        <v>65.603999999999999</v>
      </c>
      <c r="N1092" s="14">
        <f>'PIVOT TABLES'!$I$27-'PIVOT TABLES'!$I$26</f>
        <v>32.802000000000007</v>
      </c>
      <c r="O1092" s="14">
        <f>'PIVOT TABLES'!$I$28-'PIVOT TABLES'!$I$27</f>
        <v>32.801999999999992</v>
      </c>
      <c r="P1092" s="14">
        <f>200-SUM(Table3[[#This Row],[M - LIGHT]:[M - VIGOROUS]])</f>
        <v>68.792000000000002</v>
      </c>
      <c r="Q1092" s="14">
        <f>'PIVOT TABLES'!$P$26</f>
        <v>62.64</v>
      </c>
      <c r="R1092" s="14">
        <f>'PIVOT TABLES'!$P$27-'PIVOT TABLES'!$P$26</f>
        <v>31.320000000000007</v>
      </c>
      <c r="S1092" s="14">
        <f>'PIVOT TABLES'!$P$28-'PIVOT TABLES'!$P$27</f>
        <v>31.319999999999993</v>
      </c>
      <c r="T1092" s="14">
        <f>200-SUM(Table3[[#This Row],[W - LIGHT]:[W - VIGOROUS]])</f>
        <v>74.72</v>
      </c>
      <c r="U1092" s="14">
        <f>'PIVOT TABLES'!$W$26</f>
        <v>55.895999999999994</v>
      </c>
      <c r="V1092" s="14">
        <f>'PIVOT TABLES'!$W$27-'PIVOT TABLES'!$W$26</f>
        <v>27.948</v>
      </c>
      <c r="W1092" s="14">
        <f>'PIVOT TABLES'!$W$28-'PIVOT TABLES'!$W$27</f>
        <v>27.947999999999993</v>
      </c>
      <c r="X1092" s="14">
        <f>200-SUM(Table3[[#This Row],[S - LIGHT]:[S - VIGOROUS]])</f>
        <v>88.208000000000013</v>
      </c>
    </row>
    <row r="1093" spans="1:24" x14ac:dyDescent="0.25">
      <c r="A1093" s="44" t="s">
        <v>65</v>
      </c>
      <c r="B1093" s="13" t="str">
        <f t="shared" si="17"/>
        <v>Winger</v>
      </c>
      <c r="C1093" s="7">
        <v>45362.786770833336</v>
      </c>
      <c r="D1093" s="14">
        <v>5826</v>
      </c>
      <c r="E1093" s="14">
        <v>139</v>
      </c>
      <c r="F1093" s="14">
        <v>24</v>
      </c>
      <c r="G1093" s="14">
        <v>16</v>
      </c>
      <c r="H1093" s="14">
        <v>63.71</v>
      </c>
      <c r="I1093" s="14">
        <f>'PIVOT TABLES'!$B$26</f>
        <v>60.283999999999999</v>
      </c>
      <c r="J1093" s="14">
        <f>'PIVOT TABLES'!$B$27-'PIVOT TABLES'!$B$26</f>
        <v>30.142000000000003</v>
      </c>
      <c r="K1093" s="14">
        <f>'PIVOT TABLES'!$B$28-'PIVOT TABLES'!$B$27</f>
        <v>30.141999999999996</v>
      </c>
      <c r="L1093" s="14">
        <f>200-SUM(Table3[[#This Row],[D - LIGHT]:[D - VIGOROUS]])</f>
        <v>79.432000000000002</v>
      </c>
      <c r="M1093" s="14">
        <f>'PIVOT TABLES'!$I$26</f>
        <v>65.603999999999999</v>
      </c>
      <c r="N1093" s="14">
        <f>'PIVOT TABLES'!$I$27-'PIVOT TABLES'!$I$26</f>
        <v>32.802000000000007</v>
      </c>
      <c r="O1093" s="14">
        <f>'PIVOT TABLES'!$I$28-'PIVOT TABLES'!$I$27</f>
        <v>32.801999999999992</v>
      </c>
      <c r="P1093" s="14">
        <f>200-SUM(Table3[[#This Row],[M - LIGHT]:[M - VIGOROUS]])</f>
        <v>68.792000000000002</v>
      </c>
      <c r="Q1093" s="14">
        <f>'PIVOT TABLES'!$P$26</f>
        <v>62.64</v>
      </c>
      <c r="R1093" s="14">
        <f>'PIVOT TABLES'!$P$27-'PIVOT TABLES'!$P$26</f>
        <v>31.320000000000007</v>
      </c>
      <c r="S1093" s="14">
        <f>'PIVOT TABLES'!$P$28-'PIVOT TABLES'!$P$27</f>
        <v>31.319999999999993</v>
      </c>
      <c r="T1093" s="14">
        <f>200-SUM(Table3[[#This Row],[W - LIGHT]:[W - VIGOROUS]])</f>
        <v>74.72</v>
      </c>
      <c r="U1093" s="14">
        <f>'PIVOT TABLES'!$W$26</f>
        <v>55.895999999999994</v>
      </c>
      <c r="V1093" s="14">
        <f>'PIVOT TABLES'!$W$27-'PIVOT TABLES'!$W$26</f>
        <v>27.948</v>
      </c>
      <c r="W1093" s="14">
        <f>'PIVOT TABLES'!$W$28-'PIVOT TABLES'!$W$27</f>
        <v>27.947999999999993</v>
      </c>
      <c r="X1093" s="14">
        <f>200-SUM(Table3[[#This Row],[S - LIGHT]:[S - VIGOROUS]])</f>
        <v>88.208000000000013</v>
      </c>
    </row>
    <row r="1094" spans="1:24" x14ac:dyDescent="0.25">
      <c r="A1094" s="44" t="s">
        <v>77</v>
      </c>
      <c r="B1094" s="13" t="str">
        <f t="shared" si="17"/>
        <v>Defender</v>
      </c>
      <c r="C1094" s="7">
        <v>45362.786770833336</v>
      </c>
      <c r="D1094" s="14">
        <v>6481</v>
      </c>
      <c r="E1094" s="14">
        <v>258</v>
      </c>
      <c r="F1094" s="14">
        <v>20</v>
      </c>
      <c r="G1094" s="14">
        <v>20</v>
      </c>
      <c r="H1094" s="14">
        <v>73.75</v>
      </c>
      <c r="I1094" s="14">
        <f>'PIVOT TABLES'!$B$26</f>
        <v>60.283999999999999</v>
      </c>
      <c r="J1094" s="14">
        <f>'PIVOT TABLES'!$B$27-'PIVOT TABLES'!$B$26</f>
        <v>30.142000000000003</v>
      </c>
      <c r="K1094" s="14">
        <f>'PIVOT TABLES'!$B$28-'PIVOT TABLES'!$B$27</f>
        <v>30.141999999999996</v>
      </c>
      <c r="L1094" s="14">
        <f>200-SUM(Table3[[#This Row],[D - LIGHT]:[D - VIGOROUS]])</f>
        <v>79.432000000000002</v>
      </c>
      <c r="M1094" s="14">
        <f>'PIVOT TABLES'!$I$26</f>
        <v>65.603999999999999</v>
      </c>
      <c r="N1094" s="14">
        <f>'PIVOT TABLES'!$I$27-'PIVOT TABLES'!$I$26</f>
        <v>32.802000000000007</v>
      </c>
      <c r="O1094" s="14">
        <f>'PIVOT TABLES'!$I$28-'PIVOT TABLES'!$I$27</f>
        <v>32.801999999999992</v>
      </c>
      <c r="P1094" s="14">
        <f>200-SUM(Table3[[#This Row],[M - LIGHT]:[M - VIGOROUS]])</f>
        <v>68.792000000000002</v>
      </c>
      <c r="Q1094" s="14">
        <f>'PIVOT TABLES'!$P$26</f>
        <v>62.64</v>
      </c>
      <c r="R1094" s="14">
        <f>'PIVOT TABLES'!$P$27-'PIVOT TABLES'!$P$26</f>
        <v>31.320000000000007</v>
      </c>
      <c r="S1094" s="14">
        <f>'PIVOT TABLES'!$P$28-'PIVOT TABLES'!$P$27</f>
        <v>31.319999999999993</v>
      </c>
      <c r="T1094" s="14">
        <f>200-SUM(Table3[[#This Row],[W - LIGHT]:[W - VIGOROUS]])</f>
        <v>74.72</v>
      </c>
      <c r="U1094" s="14">
        <f>'PIVOT TABLES'!$W$26</f>
        <v>55.895999999999994</v>
      </c>
      <c r="V1094" s="14">
        <f>'PIVOT TABLES'!$W$27-'PIVOT TABLES'!$W$26</f>
        <v>27.948</v>
      </c>
      <c r="W1094" s="14">
        <f>'PIVOT TABLES'!$W$28-'PIVOT TABLES'!$W$27</f>
        <v>27.947999999999993</v>
      </c>
      <c r="X1094" s="14">
        <f>200-SUM(Table3[[#This Row],[S - LIGHT]:[S - VIGOROUS]])</f>
        <v>88.208000000000013</v>
      </c>
    </row>
    <row r="1095" spans="1:24" x14ac:dyDescent="0.25">
      <c r="A1095" s="44" t="s">
        <v>66</v>
      </c>
      <c r="B1095" s="13" t="str">
        <f t="shared" si="17"/>
        <v>Striker</v>
      </c>
      <c r="C1095" s="7">
        <v>45362.786770833336</v>
      </c>
      <c r="D1095" s="14">
        <v>5253</v>
      </c>
      <c r="E1095" s="14">
        <v>42</v>
      </c>
      <c r="F1095" s="14">
        <v>29</v>
      </c>
      <c r="G1095" s="14">
        <v>20</v>
      </c>
      <c r="H1095" s="14">
        <v>55.35</v>
      </c>
      <c r="I1095" s="14">
        <f>'PIVOT TABLES'!$B$26</f>
        <v>60.283999999999999</v>
      </c>
      <c r="J1095" s="14">
        <f>'PIVOT TABLES'!$B$27-'PIVOT TABLES'!$B$26</f>
        <v>30.142000000000003</v>
      </c>
      <c r="K1095" s="14">
        <f>'PIVOT TABLES'!$B$28-'PIVOT TABLES'!$B$27</f>
        <v>30.141999999999996</v>
      </c>
      <c r="L1095" s="14">
        <f>200-SUM(Table3[[#This Row],[D - LIGHT]:[D - VIGOROUS]])</f>
        <v>79.432000000000002</v>
      </c>
      <c r="M1095" s="14">
        <f>'PIVOT TABLES'!$I$26</f>
        <v>65.603999999999999</v>
      </c>
      <c r="N1095" s="14">
        <f>'PIVOT TABLES'!$I$27-'PIVOT TABLES'!$I$26</f>
        <v>32.802000000000007</v>
      </c>
      <c r="O1095" s="14">
        <f>'PIVOT TABLES'!$I$28-'PIVOT TABLES'!$I$27</f>
        <v>32.801999999999992</v>
      </c>
      <c r="P1095" s="14">
        <f>200-SUM(Table3[[#This Row],[M - LIGHT]:[M - VIGOROUS]])</f>
        <v>68.792000000000002</v>
      </c>
      <c r="Q1095" s="14">
        <f>'PIVOT TABLES'!$P$26</f>
        <v>62.64</v>
      </c>
      <c r="R1095" s="14">
        <f>'PIVOT TABLES'!$P$27-'PIVOT TABLES'!$P$26</f>
        <v>31.320000000000007</v>
      </c>
      <c r="S1095" s="14">
        <f>'PIVOT TABLES'!$P$28-'PIVOT TABLES'!$P$27</f>
        <v>31.319999999999993</v>
      </c>
      <c r="T1095" s="14">
        <f>200-SUM(Table3[[#This Row],[W - LIGHT]:[W - VIGOROUS]])</f>
        <v>74.72</v>
      </c>
      <c r="U1095" s="14">
        <f>'PIVOT TABLES'!$W$26</f>
        <v>55.895999999999994</v>
      </c>
      <c r="V1095" s="14">
        <f>'PIVOT TABLES'!$W$27-'PIVOT TABLES'!$W$26</f>
        <v>27.948</v>
      </c>
      <c r="W1095" s="14">
        <f>'PIVOT TABLES'!$W$28-'PIVOT TABLES'!$W$27</f>
        <v>27.947999999999993</v>
      </c>
      <c r="X1095" s="14">
        <f>200-SUM(Table3[[#This Row],[S - LIGHT]:[S - VIGOROUS]])</f>
        <v>88.208000000000013</v>
      </c>
    </row>
    <row r="1096" spans="1:24" x14ac:dyDescent="0.25">
      <c r="A1096" s="44" t="s">
        <v>78</v>
      </c>
      <c r="B1096" s="13" t="str">
        <f t="shared" si="17"/>
        <v>Defender</v>
      </c>
      <c r="C1096" s="7">
        <v>45362.786770833336</v>
      </c>
      <c r="D1096" s="14">
        <v>4954</v>
      </c>
      <c r="E1096" s="14">
        <v>71</v>
      </c>
      <c r="F1096" s="14">
        <v>15</v>
      </c>
      <c r="G1096" s="14">
        <v>8</v>
      </c>
      <c r="H1096" s="14">
        <v>52.43</v>
      </c>
      <c r="I1096" s="14">
        <f>'PIVOT TABLES'!$B$26</f>
        <v>60.283999999999999</v>
      </c>
      <c r="J1096" s="14">
        <f>'PIVOT TABLES'!$B$27-'PIVOT TABLES'!$B$26</f>
        <v>30.142000000000003</v>
      </c>
      <c r="K1096" s="14">
        <f>'PIVOT TABLES'!$B$28-'PIVOT TABLES'!$B$27</f>
        <v>30.141999999999996</v>
      </c>
      <c r="L1096" s="14">
        <f>200-SUM(Table3[[#This Row],[D - LIGHT]:[D - VIGOROUS]])</f>
        <v>79.432000000000002</v>
      </c>
      <c r="M1096" s="14">
        <f>'PIVOT TABLES'!$I$26</f>
        <v>65.603999999999999</v>
      </c>
      <c r="N1096" s="14">
        <f>'PIVOT TABLES'!$I$27-'PIVOT TABLES'!$I$26</f>
        <v>32.802000000000007</v>
      </c>
      <c r="O1096" s="14">
        <f>'PIVOT TABLES'!$I$28-'PIVOT TABLES'!$I$27</f>
        <v>32.801999999999992</v>
      </c>
      <c r="P1096" s="14">
        <f>200-SUM(Table3[[#This Row],[M - LIGHT]:[M - VIGOROUS]])</f>
        <v>68.792000000000002</v>
      </c>
      <c r="Q1096" s="14">
        <f>'PIVOT TABLES'!$P$26</f>
        <v>62.64</v>
      </c>
      <c r="R1096" s="14">
        <f>'PIVOT TABLES'!$P$27-'PIVOT TABLES'!$P$26</f>
        <v>31.320000000000007</v>
      </c>
      <c r="S1096" s="14">
        <f>'PIVOT TABLES'!$P$28-'PIVOT TABLES'!$P$27</f>
        <v>31.319999999999993</v>
      </c>
      <c r="T1096" s="14">
        <f>200-SUM(Table3[[#This Row],[W - LIGHT]:[W - VIGOROUS]])</f>
        <v>74.72</v>
      </c>
      <c r="U1096" s="14">
        <f>'PIVOT TABLES'!$W$26</f>
        <v>55.895999999999994</v>
      </c>
      <c r="V1096" s="14">
        <f>'PIVOT TABLES'!$W$27-'PIVOT TABLES'!$W$26</f>
        <v>27.948</v>
      </c>
      <c r="W1096" s="14">
        <f>'PIVOT TABLES'!$W$28-'PIVOT TABLES'!$W$27</f>
        <v>27.947999999999993</v>
      </c>
      <c r="X1096" s="14">
        <f>200-SUM(Table3[[#This Row],[S - LIGHT]:[S - VIGOROUS]])</f>
        <v>88.208000000000013</v>
      </c>
    </row>
    <row r="1097" spans="1:24" x14ac:dyDescent="0.25">
      <c r="A1097" s="44" t="s">
        <v>95</v>
      </c>
      <c r="B1097" s="13" t="str">
        <f t="shared" si="17"/>
        <v>Winger</v>
      </c>
      <c r="C1097" s="7">
        <v>45362.786770833336</v>
      </c>
      <c r="D1097" s="14">
        <v>5387</v>
      </c>
      <c r="E1097" s="14">
        <v>146</v>
      </c>
      <c r="F1097" s="14">
        <v>18</v>
      </c>
      <c r="G1097" s="14">
        <v>15</v>
      </c>
      <c r="H1097" s="14">
        <v>59.27</v>
      </c>
      <c r="I1097" s="14">
        <f>'PIVOT TABLES'!$B$26</f>
        <v>60.283999999999999</v>
      </c>
      <c r="J1097" s="14">
        <f>'PIVOT TABLES'!$B$27-'PIVOT TABLES'!$B$26</f>
        <v>30.142000000000003</v>
      </c>
      <c r="K1097" s="14">
        <f>'PIVOT TABLES'!$B$28-'PIVOT TABLES'!$B$27</f>
        <v>30.141999999999996</v>
      </c>
      <c r="L1097" s="14">
        <f>200-SUM(Table3[[#This Row],[D - LIGHT]:[D - VIGOROUS]])</f>
        <v>79.432000000000002</v>
      </c>
      <c r="M1097" s="14">
        <f>'PIVOT TABLES'!$I$26</f>
        <v>65.603999999999999</v>
      </c>
      <c r="N1097" s="14">
        <f>'PIVOT TABLES'!$I$27-'PIVOT TABLES'!$I$26</f>
        <v>32.802000000000007</v>
      </c>
      <c r="O1097" s="14">
        <f>'PIVOT TABLES'!$I$28-'PIVOT TABLES'!$I$27</f>
        <v>32.801999999999992</v>
      </c>
      <c r="P1097" s="14">
        <f>200-SUM(Table3[[#This Row],[M - LIGHT]:[M - VIGOROUS]])</f>
        <v>68.792000000000002</v>
      </c>
      <c r="Q1097" s="14">
        <f>'PIVOT TABLES'!$P$26</f>
        <v>62.64</v>
      </c>
      <c r="R1097" s="14">
        <f>'PIVOT TABLES'!$P$27-'PIVOT TABLES'!$P$26</f>
        <v>31.320000000000007</v>
      </c>
      <c r="S1097" s="14">
        <f>'PIVOT TABLES'!$P$28-'PIVOT TABLES'!$P$27</f>
        <v>31.319999999999993</v>
      </c>
      <c r="T1097" s="14">
        <f>200-SUM(Table3[[#This Row],[W - LIGHT]:[W - VIGOROUS]])</f>
        <v>74.72</v>
      </c>
      <c r="U1097" s="14">
        <f>'PIVOT TABLES'!$W$26</f>
        <v>55.895999999999994</v>
      </c>
      <c r="V1097" s="14">
        <f>'PIVOT TABLES'!$W$27-'PIVOT TABLES'!$W$26</f>
        <v>27.948</v>
      </c>
      <c r="W1097" s="14">
        <f>'PIVOT TABLES'!$W$28-'PIVOT TABLES'!$W$27</f>
        <v>27.947999999999993</v>
      </c>
      <c r="X1097" s="14">
        <f>200-SUM(Table3[[#This Row],[S - LIGHT]:[S - VIGOROUS]])</f>
        <v>88.208000000000013</v>
      </c>
    </row>
    <row r="1098" spans="1:24" x14ac:dyDescent="0.25">
      <c r="A1098" s="44" t="s">
        <v>96</v>
      </c>
      <c r="B1098" s="13" t="str">
        <f t="shared" si="17"/>
        <v>Winger</v>
      </c>
      <c r="C1098" s="7">
        <v>45362.786770833336</v>
      </c>
      <c r="D1098" s="14">
        <v>920</v>
      </c>
      <c r="E1098" s="14">
        <v>0</v>
      </c>
      <c r="F1098" s="14">
        <v>0</v>
      </c>
      <c r="G1098" s="14">
        <v>1</v>
      </c>
      <c r="H1098" s="14">
        <v>9.2200000000000006</v>
      </c>
      <c r="I1098" s="14">
        <f>'PIVOT TABLES'!$B$26</f>
        <v>60.283999999999999</v>
      </c>
      <c r="J1098" s="14">
        <f>'PIVOT TABLES'!$B$27-'PIVOT TABLES'!$B$26</f>
        <v>30.142000000000003</v>
      </c>
      <c r="K1098" s="14">
        <f>'PIVOT TABLES'!$B$28-'PIVOT TABLES'!$B$27</f>
        <v>30.141999999999996</v>
      </c>
      <c r="L1098" s="14">
        <f>200-SUM(Table3[[#This Row],[D - LIGHT]:[D - VIGOROUS]])</f>
        <v>79.432000000000002</v>
      </c>
      <c r="M1098" s="14">
        <f>'PIVOT TABLES'!$I$26</f>
        <v>65.603999999999999</v>
      </c>
      <c r="N1098" s="14">
        <f>'PIVOT TABLES'!$I$27-'PIVOT TABLES'!$I$26</f>
        <v>32.802000000000007</v>
      </c>
      <c r="O1098" s="14">
        <f>'PIVOT TABLES'!$I$28-'PIVOT TABLES'!$I$27</f>
        <v>32.801999999999992</v>
      </c>
      <c r="P1098" s="14">
        <f>200-SUM(Table3[[#This Row],[M - LIGHT]:[M - VIGOROUS]])</f>
        <v>68.792000000000002</v>
      </c>
      <c r="Q1098" s="14">
        <f>'PIVOT TABLES'!$P$26</f>
        <v>62.64</v>
      </c>
      <c r="R1098" s="14">
        <f>'PIVOT TABLES'!$P$27-'PIVOT TABLES'!$P$26</f>
        <v>31.320000000000007</v>
      </c>
      <c r="S1098" s="14">
        <f>'PIVOT TABLES'!$P$28-'PIVOT TABLES'!$P$27</f>
        <v>31.319999999999993</v>
      </c>
      <c r="T1098" s="14">
        <f>200-SUM(Table3[[#This Row],[W - LIGHT]:[W - VIGOROUS]])</f>
        <v>74.72</v>
      </c>
      <c r="U1098" s="14">
        <f>'PIVOT TABLES'!$W$26</f>
        <v>55.895999999999994</v>
      </c>
      <c r="V1098" s="14">
        <f>'PIVOT TABLES'!$W$27-'PIVOT TABLES'!$W$26</f>
        <v>27.948</v>
      </c>
      <c r="W1098" s="14">
        <f>'PIVOT TABLES'!$W$28-'PIVOT TABLES'!$W$27</f>
        <v>27.947999999999993</v>
      </c>
      <c r="X1098" s="14">
        <f>200-SUM(Table3[[#This Row],[S - LIGHT]:[S - VIGOROUS]])</f>
        <v>88.208000000000013</v>
      </c>
    </row>
    <row r="1099" spans="1:24" x14ac:dyDescent="0.25">
      <c r="A1099" s="44" t="s">
        <v>8</v>
      </c>
      <c r="B1099" s="13" t="str">
        <f t="shared" si="17"/>
        <v>Striker</v>
      </c>
      <c r="C1099" s="7">
        <v>45362.786770833336</v>
      </c>
      <c r="D1099" s="14">
        <v>3796</v>
      </c>
      <c r="E1099" s="14">
        <v>54</v>
      </c>
      <c r="F1099" s="14">
        <v>9</v>
      </c>
      <c r="G1099" s="14">
        <v>8</v>
      </c>
      <c r="H1099" s="14">
        <v>40.1</v>
      </c>
      <c r="I1099" s="14">
        <f>'PIVOT TABLES'!$B$26</f>
        <v>60.283999999999999</v>
      </c>
      <c r="J1099" s="14">
        <f>'PIVOT TABLES'!$B$27-'PIVOT TABLES'!$B$26</f>
        <v>30.142000000000003</v>
      </c>
      <c r="K1099" s="14">
        <f>'PIVOT TABLES'!$B$28-'PIVOT TABLES'!$B$27</f>
        <v>30.141999999999996</v>
      </c>
      <c r="L1099" s="14">
        <f>200-SUM(Table3[[#This Row],[D - LIGHT]:[D - VIGOROUS]])</f>
        <v>79.432000000000002</v>
      </c>
      <c r="M1099" s="14">
        <f>'PIVOT TABLES'!$I$26</f>
        <v>65.603999999999999</v>
      </c>
      <c r="N1099" s="14">
        <f>'PIVOT TABLES'!$I$27-'PIVOT TABLES'!$I$26</f>
        <v>32.802000000000007</v>
      </c>
      <c r="O1099" s="14">
        <f>'PIVOT TABLES'!$I$28-'PIVOT TABLES'!$I$27</f>
        <v>32.801999999999992</v>
      </c>
      <c r="P1099" s="14">
        <f>200-SUM(Table3[[#This Row],[M - LIGHT]:[M - VIGOROUS]])</f>
        <v>68.792000000000002</v>
      </c>
      <c r="Q1099" s="14">
        <f>'PIVOT TABLES'!$P$26</f>
        <v>62.64</v>
      </c>
      <c r="R1099" s="14">
        <f>'PIVOT TABLES'!$P$27-'PIVOT TABLES'!$P$26</f>
        <v>31.320000000000007</v>
      </c>
      <c r="S1099" s="14">
        <f>'PIVOT TABLES'!$P$28-'PIVOT TABLES'!$P$27</f>
        <v>31.319999999999993</v>
      </c>
      <c r="T1099" s="14">
        <f>200-SUM(Table3[[#This Row],[W - LIGHT]:[W - VIGOROUS]])</f>
        <v>74.72</v>
      </c>
      <c r="U1099" s="14">
        <f>'PIVOT TABLES'!$W$26</f>
        <v>55.895999999999994</v>
      </c>
      <c r="V1099" s="14">
        <f>'PIVOT TABLES'!$W$27-'PIVOT TABLES'!$W$26</f>
        <v>27.948</v>
      </c>
      <c r="W1099" s="14">
        <f>'PIVOT TABLES'!$W$28-'PIVOT TABLES'!$W$27</f>
        <v>27.947999999999993</v>
      </c>
      <c r="X1099" s="14">
        <f>200-SUM(Table3[[#This Row],[S - LIGHT]:[S - VIGOROUS]])</f>
        <v>88.208000000000013</v>
      </c>
    </row>
    <row r="1100" spans="1:24" x14ac:dyDescent="0.25">
      <c r="A1100" s="44" t="s">
        <v>67</v>
      </c>
      <c r="B1100" s="13" t="str">
        <f t="shared" si="17"/>
        <v>Midfielder</v>
      </c>
      <c r="C1100" s="7">
        <v>45362.786770833336</v>
      </c>
      <c r="D1100" s="14">
        <v>5859</v>
      </c>
      <c r="E1100" s="14">
        <v>50</v>
      </c>
      <c r="F1100" s="14">
        <v>28</v>
      </c>
      <c r="G1100" s="14">
        <v>16</v>
      </c>
      <c r="H1100" s="14">
        <v>61.53</v>
      </c>
      <c r="I1100" s="14">
        <f>'PIVOT TABLES'!$B$26</f>
        <v>60.283999999999999</v>
      </c>
      <c r="J1100" s="14">
        <f>'PIVOT TABLES'!$B$27-'PIVOT TABLES'!$B$26</f>
        <v>30.142000000000003</v>
      </c>
      <c r="K1100" s="14">
        <f>'PIVOT TABLES'!$B$28-'PIVOT TABLES'!$B$27</f>
        <v>30.141999999999996</v>
      </c>
      <c r="L1100" s="14">
        <f>200-SUM(Table3[[#This Row],[D - LIGHT]:[D - VIGOROUS]])</f>
        <v>79.432000000000002</v>
      </c>
      <c r="M1100" s="14">
        <f>'PIVOT TABLES'!$I$26</f>
        <v>65.603999999999999</v>
      </c>
      <c r="N1100" s="14">
        <f>'PIVOT TABLES'!$I$27-'PIVOT TABLES'!$I$26</f>
        <v>32.802000000000007</v>
      </c>
      <c r="O1100" s="14">
        <f>'PIVOT TABLES'!$I$28-'PIVOT TABLES'!$I$27</f>
        <v>32.801999999999992</v>
      </c>
      <c r="P1100" s="14">
        <f>200-SUM(Table3[[#This Row],[M - LIGHT]:[M - VIGOROUS]])</f>
        <v>68.792000000000002</v>
      </c>
      <c r="Q1100" s="14">
        <f>'PIVOT TABLES'!$P$26</f>
        <v>62.64</v>
      </c>
      <c r="R1100" s="14">
        <f>'PIVOT TABLES'!$P$27-'PIVOT TABLES'!$P$26</f>
        <v>31.320000000000007</v>
      </c>
      <c r="S1100" s="14">
        <f>'PIVOT TABLES'!$P$28-'PIVOT TABLES'!$P$27</f>
        <v>31.319999999999993</v>
      </c>
      <c r="T1100" s="14">
        <f>200-SUM(Table3[[#This Row],[W - LIGHT]:[W - VIGOROUS]])</f>
        <v>74.72</v>
      </c>
      <c r="U1100" s="14">
        <f>'PIVOT TABLES'!$W$26</f>
        <v>55.895999999999994</v>
      </c>
      <c r="V1100" s="14">
        <f>'PIVOT TABLES'!$W$27-'PIVOT TABLES'!$W$26</f>
        <v>27.948</v>
      </c>
      <c r="W1100" s="14">
        <f>'PIVOT TABLES'!$W$28-'PIVOT TABLES'!$W$27</f>
        <v>27.947999999999993</v>
      </c>
      <c r="X1100" s="14">
        <f>200-SUM(Table3[[#This Row],[S - LIGHT]:[S - VIGOROUS]])</f>
        <v>88.208000000000013</v>
      </c>
    </row>
    <row r="1101" spans="1:24" x14ac:dyDescent="0.25">
      <c r="A1101" s="44" t="s">
        <v>9</v>
      </c>
      <c r="B1101" s="13" t="str">
        <f t="shared" si="17"/>
        <v>Striker</v>
      </c>
      <c r="C1101" s="7">
        <v>45362.786770833336</v>
      </c>
      <c r="D1101" s="14">
        <v>3075</v>
      </c>
      <c r="E1101" s="14">
        <v>26</v>
      </c>
      <c r="F1101" s="14">
        <v>13</v>
      </c>
      <c r="G1101" s="14">
        <v>10</v>
      </c>
      <c r="H1101" s="14">
        <v>32.25</v>
      </c>
      <c r="I1101" s="14">
        <f>'PIVOT TABLES'!$B$26</f>
        <v>60.283999999999999</v>
      </c>
      <c r="J1101" s="14">
        <f>'PIVOT TABLES'!$B$27-'PIVOT TABLES'!$B$26</f>
        <v>30.142000000000003</v>
      </c>
      <c r="K1101" s="14">
        <f>'PIVOT TABLES'!$B$28-'PIVOT TABLES'!$B$27</f>
        <v>30.141999999999996</v>
      </c>
      <c r="L1101" s="14">
        <f>200-SUM(Table3[[#This Row],[D - LIGHT]:[D - VIGOROUS]])</f>
        <v>79.432000000000002</v>
      </c>
      <c r="M1101" s="14">
        <f>'PIVOT TABLES'!$I$26</f>
        <v>65.603999999999999</v>
      </c>
      <c r="N1101" s="14">
        <f>'PIVOT TABLES'!$I$27-'PIVOT TABLES'!$I$26</f>
        <v>32.802000000000007</v>
      </c>
      <c r="O1101" s="14">
        <f>'PIVOT TABLES'!$I$28-'PIVOT TABLES'!$I$27</f>
        <v>32.801999999999992</v>
      </c>
      <c r="P1101" s="14">
        <f>200-SUM(Table3[[#This Row],[M - LIGHT]:[M - VIGOROUS]])</f>
        <v>68.792000000000002</v>
      </c>
      <c r="Q1101" s="14">
        <f>'PIVOT TABLES'!$P$26</f>
        <v>62.64</v>
      </c>
      <c r="R1101" s="14">
        <f>'PIVOT TABLES'!$P$27-'PIVOT TABLES'!$P$26</f>
        <v>31.320000000000007</v>
      </c>
      <c r="S1101" s="14">
        <f>'PIVOT TABLES'!$P$28-'PIVOT TABLES'!$P$27</f>
        <v>31.319999999999993</v>
      </c>
      <c r="T1101" s="14">
        <f>200-SUM(Table3[[#This Row],[W - LIGHT]:[W - VIGOROUS]])</f>
        <v>74.72</v>
      </c>
      <c r="U1101" s="14">
        <f>'PIVOT TABLES'!$W$26</f>
        <v>55.895999999999994</v>
      </c>
      <c r="V1101" s="14">
        <f>'PIVOT TABLES'!$W$27-'PIVOT TABLES'!$W$26</f>
        <v>27.948</v>
      </c>
      <c r="W1101" s="14">
        <f>'PIVOT TABLES'!$W$28-'PIVOT TABLES'!$W$27</f>
        <v>27.947999999999993</v>
      </c>
      <c r="X1101" s="14">
        <f>200-SUM(Table3[[#This Row],[S - LIGHT]:[S - VIGOROUS]])</f>
        <v>88.208000000000013</v>
      </c>
    </row>
    <row r="1102" spans="1:24" x14ac:dyDescent="0.25">
      <c r="A1102" s="44" t="s">
        <v>69</v>
      </c>
      <c r="B1102" s="13" t="str">
        <f t="shared" si="17"/>
        <v>Midfielder</v>
      </c>
      <c r="C1102" s="7">
        <v>45362.786770833336</v>
      </c>
      <c r="D1102" s="14">
        <v>3896</v>
      </c>
      <c r="E1102" s="14">
        <v>8</v>
      </c>
      <c r="F1102" s="14">
        <v>11</v>
      </c>
      <c r="G1102" s="14">
        <v>10</v>
      </c>
      <c r="H1102" s="14">
        <v>39.840000000000003</v>
      </c>
      <c r="I1102" s="14">
        <f>'PIVOT TABLES'!$B$26</f>
        <v>60.283999999999999</v>
      </c>
      <c r="J1102" s="14">
        <f>'PIVOT TABLES'!$B$27-'PIVOT TABLES'!$B$26</f>
        <v>30.142000000000003</v>
      </c>
      <c r="K1102" s="14">
        <f>'PIVOT TABLES'!$B$28-'PIVOT TABLES'!$B$27</f>
        <v>30.141999999999996</v>
      </c>
      <c r="L1102" s="14">
        <f>200-SUM(Table3[[#This Row],[D - LIGHT]:[D - VIGOROUS]])</f>
        <v>79.432000000000002</v>
      </c>
      <c r="M1102" s="14">
        <f>'PIVOT TABLES'!$I$26</f>
        <v>65.603999999999999</v>
      </c>
      <c r="N1102" s="14">
        <f>'PIVOT TABLES'!$I$27-'PIVOT TABLES'!$I$26</f>
        <v>32.802000000000007</v>
      </c>
      <c r="O1102" s="14">
        <f>'PIVOT TABLES'!$I$28-'PIVOT TABLES'!$I$27</f>
        <v>32.801999999999992</v>
      </c>
      <c r="P1102" s="14">
        <f>200-SUM(Table3[[#This Row],[M - LIGHT]:[M - VIGOROUS]])</f>
        <v>68.792000000000002</v>
      </c>
      <c r="Q1102" s="14">
        <f>'PIVOT TABLES'!$P$26</f>
        <v>62.64</v>
      </c>
      <c r="R1102" s="14">
        <f>'PIVOT TABLES'!$P$27-'PIVOT TABLES'!$P$26</f>
        <v>31.320000000000007</v>
      </c>
      <c r="S1102" s="14">
        <f>'PIVOT TABLES'!$P$28-'PIVOT TABLES'!$P$27</f>
        <v>31.319999999999993</v>
      </c>
      <c r="T1102" s="14">
        <f>200-SUM(Table3[[#This Row],[W - LIGHT]:[W - VIGOROUS]])</f>
        <v>74.72</v>
      </c>
      <c r="U1102" s="14">
        <f>'PIVOT TABLES'!$W$26</f>
        <v>55.895999999999994</v>
      </c>
      <c r="V1102" s="14">
        <f>'PIVOT TABLES'!$W$27-'PIVOT TABLES'!$W$26</f>
        <v>27.948</v>
      </c>
      <c r="W1102" s="14">
        <f>'PIVOT TABLES'!$W$28-'PIVOT TABLES'!$W$27</f>
        <v>27.947999999999993</v>
      </c>
      <c r="X1102" s="14">
        <f>200-SUM(Table3[[#This Row],[S - LIGHT]:[S - VIGOROUS]])</f>
        <v>88.208000000000013</v>
      </c>
    </row>
    <row r="1103" spans="1:24" x14ac:dyDescent="0.25">
      <c r="A1103" s="44" t="s">
        <v>70</v>
      </c>
      <c r="B1103" s="13" t="str">
        <f t="shared" si="17"/>
        <v>Winger</v>
      </c>
      <c r="C1103" s="7">
        <v>45363.421736111108</v>
      </c>
      <c r="D1103" s="14">
        <v>3535</v>
      </c>
      <c r="E1103" s="14">
        <v>8</v>
      </c>
      <c r="F1103" s="14">
        <v>5</v>
      </c>
      <c r="G1103" s="14">
        <v>13</v>
      </c>
      <c r="H1103" s="14">
        <v>36.049999999999997</v>
      </c>
      <c r="I1103" s="14">
        <f>'PIVOT TABLES'!$B$26</f>
        <v>60.283999999999999</v>
      </c>
      <c r="J1103" s="14">
        <f>'PIVOT TABLES'!$B$27-'PIVOT TABLES'!$B$26</f>
        <v>30.142000000000003</v>
      </c>
      <c r="K1103" s="14">
        <f>'PIVOT TABLES'!$B$28-'PIVOT TABLES'!$B$27</f>
        <v>30.141999999999996</v>
      </c>
      <c r="L1103" s="14">
        <f>200-SUM(Table3[[#This Row],[D - LIGHT]:[D - VIGOROUS]])</f>
        <v>79.432000000000002</v>
      </c>
      <c r="M1103" s="14">
        <f>'PIVOT TABLES'!$I$26</f>
        <v>65.603999999999999</v>
      </c>
      <c r="N1103" s="14">
        <f>'PIVOT TABLES'!$I$27-'PIVOT TABLES'!$I$26</f>
        <v>32.802000000000007</v>
      </c>
      <c r="O1103" s="14">
        <f>'PIVOT TABLES'!$I$28-'PIVOT TABLES'!$I$27</f>
        <v>32.801999999999992</v>
      </c>
      <c r="P1103" s="14">
        <f>200-SUM(Table3[[#This Row],[M - LIGHT]:[M - VIGOROUS]])</f>
        <v>68.792000000000002</v>
      </c>
      <c r="Q1103" s="14">
        <f>'PIVOT TABLES'!$P$26</f>
        <v>62.64</v>
      </c>
      <c r="R1103" s="14">
        <f>'PIVOT TABLES'!$P$27-'PIVOT TABLES'!$P$26</f>
        <v>31.320000000000007</v>
      </c>
      <c r="S1103" s="14">
        <f>'PIVOT TABLES'!$P$28-'PIVOT TABLES'!$P$27</f>
        <v>31.319999999999993</v>
      </c>
      <c r="T1103" s="14">
        <f>200-SUM(Table3[[#This Row],[W - LIGHT]:[W - VIGOROUS]])</f>
        <v>74.72</v>
      </c>
      <c r="U1103" s="14">
        <f>'PIVOT TABLES'!$W$26</f>
        <v>55.895999999999994</v>
      </c>
      <c r="V1103" s="14">
        <f>'PIVOT TABLES'!$W$27-'PIVOT TABLES'!$W$26</f>
        <v>27.948</v>
      </c>
      <c r="W1103" s="14">
        <f>'PIVOT TABLES'!$W$28-'PIVOT TABLES'!$W$27</f>
        <v>27.947999999999993</v>
      </c>
      <c r="X1103" s="14">
        <f>200-SUM(Table3[[#This Row],[S - LIGHT]:[S - VIGOROUS]])</f>
        <v>88.208000000000013</v>
      </c>
    </row>
    <row r="1104" spans="1:24" x14ac:dyDescent="0.25">
      <c r="A1104" s="44" t="s">
        <v>55</v>
      </c>
      <c r="B1104" s="13" t="str">
        <f t="shared" si="17"/>
        <v>Striker</v>
      </c>
      <c r="C1104" s="7">
        <v>45363.421736111108</v>
      </c>
      <c r="D1104" s="14">
        <v>3434</v>
      </c>
      <c r="E1104" s="14">
        <v>14</v>
      </c>
      <c r="F1104" s="14">
        <v>4</v>
      </c>
      <c r="G1104" s="14">
        <v>8</v>
      </c>
      <c r="H1104" s="14">
        <v>35.08</v>
      </c>
      <c r="I1104" s="14">
        <f>'PIVOT TABLES'!$B$26</f>
        <v>60.283999999999999</v>
      </c>
      <c r="J1104" s="14">
        <f>'PIVOT TABLES'!$B$27-'PIVOT TABLES'!$B$26</f>
        <v>30.142000000000003</v>
      </c>
      <c r="K1104" s="14">
        <f>'PIVOT TABLES'!$B$28-'PIVOT TABLES'!$B$27</f>
        <v>30.141999999999996</v>
      </c>
      <c r="L1104" s="14">
        <f>200-SUM(Table3[[#This Row],[D - LIGHT]:[D - VIGOROUS]])</f>
        <v>79.432000000000002</v>
      </c>
      <c r="M1104" s="14">
        <f>'PIVOT TABLES'!$I$26</f>
        <v>65.603999999999999</v>
      </c>
      <c r="N1104" s="14">
        <f>'PIVOT TABLES'!$I$27-'PIVOT TABLES'!$I$26</f>
        <v>32.802000000000007</v>
      </c>
      <c r="O1104" s="14">
        <f>'PIVOT TABLES'!$I$28-'PIVOT TABLES'!$I$27</f>
        <v>32.801999999999992</v>
      </c>
      <c r="P1104" s="14">
        <f>200-SUM(Table3[[#This Row],[M - LIGHT]:[M - VIGOROUS]])</f>
        <v>68.792000000000002</v>
      </c>
      <c r="Q1104" s="14">
        <f>'PIVOT TABLES'!$P$26</f>
        <v>62.64</v>
      </c>
      <c r="R1104" s="14">
        <f>'PIVOT TABLES'!$P$27-'PIVOT TABLES'!$P$26</f>
        <v>31.320000000000007</v>
      </c>
      <c r="S1104" s="14">
        <f>'PIVOT TABLES'!$P$28-'PIVOT TABLES'!$P$27</f>
        <v>31.319999999999993</v>
      </c>
      <c r="T1104" s="14">
        <f>200-SUM(Table3[[#This Row],[W - LIGHT]:[W - VIGOROUS]])</f>
        <v>74.72</v>
      </c>
      <c r="U1104" s="14">
        <f>'PIVOT TABLES'!$W$26</f>
        <v>55.895999999999994</v>
      </c>
      <c r="V1104" s="14">
        <f>'PIVOT TABLES'!$W$27-'PIVOT TABLES'!$W$26</f>
        <v>27.948</v>
      </c>
      <c r="W1104" s="14">
        <f>'PIVOT TABLES'!$W$28-'PIVOT TABLES'!$W$27</f>
        <v>27.947999999999993</v>
      </c>
      <c r="X1104" s="14">
        <f>200-SUM(Table3[[#This Row],[S - LIGHT]:[S - VIGOROUS]])</f>
        <v>88.208000000000013</v>
      </c>
    </row>
    <row r="1105" spans="1:24" x14ac:dyDescent="0.25">
      <c r="A1105" s="44" t="s">
        <v>1</v>
      </c>
      <c r="B1105" s="13" t="str">
        <f t="shared" si="17"/>
        <v>Defender</v>
      </c>
      <c r="C1105" s="7">
        <v>45363.421736111108</v>
      </c>
      <c r="D1105" s="14">
        <v>3816</v>
      </c>
      <c r="E1105" s="14">
        <v>0</v>
      </c>
      <c r="F1105" s="14">
        <v>13</v>
      </c>
      <c r="G1105" s="14">
        <v>14</v>
      </c>
      <c r="H1105" s="14">
        <v>38.96</v>
      </c>
      <c r="I1105" s="14">
        <f>'PIVOT TABLES'!$B$26</f>
        <v>60.283999999999999</v>
      </c>
      <c r="J1105" s="14">
        <f>'PIVOT TABLES'!$B$27-'PIVOT TABLES'!$B$26</f>
        <v>30.142000000000003</v>
      </c>
      <c r="K1105" s="14">
        <f>'PIVOT TABLES'!$B$28-'PIVOT TABLES'!$B$27</f>
        <v>30.141999999999996</v>
      </c>
      <c r="L1105" s="14">
        <f>200-SUM(Table3[[#This Row],[D - LIGHT]:[D - VIGOROUS]])</f>
        <v>79.432000000000002</v>
      </c>
      <c r="M1105" s="14">
        <f>'PIVOT TABLES'!$I$26</f>
        <v>65.603999999999999</v>
      </c>
      <c r="N1105" s="14">
        <f>'PIVOT TABLES'!$I$27-'PIVOT TABLES'!$I$26</f>
        <v>32.802000000000007</v>
      </c>
      <c r="O1105" s="14">
        <f>'PIVOT TABLES'!$I$28-'PIVOT TABLES'!$I$27</f>
        <v>32.801999999999992</v>
      </c>
      <c r="P1105" s="14">
        <f>200-SUM(Table3[[#This Row],[M - LIGHT]:[M - VIGOROUS]])</f>
        <v>68.792000000000002</v>
      </c>
      <c r="Q1105" s="14">
        <f>'PIVOT TABLES'!$P$26</f>
        <v>62.64</v>
      </c>
      <c r="R1105" s="14">
        <f>'PIVOT TABLES'!$P$27-'PIVOT TABLES'!$P$26</f>
        <v>31.320000000000007</v>
      </c>
      <c r="S1105" s="14">
        <f>'PIVOT TABLES'!$P$28-'PIVOT TABLES'!$P$27</f>
        <v>31.319999999999993</v>
      </c>
      <c r="T1105" s="14">
        <f>200-SUM(Table3[[#This Row],[W - LIGHT]:[W - VIGOROUS]])</f>
        <v>74.72</v>
      </c>
      <c r="U1105" s="14">
        <f>'PIVOT TABLES'!$W$26</f>
        <v>55.895999999999994</v>
      </c>
      <c r="V1105" s="14">
        <f>'PIVOT TABLES'!$W$27-'PIVOT TABLES'!$W$26</f>
        <v>27.948</v>
      </c>
      <c r="W1105" s="14">
        <f>'PIVOT TABLES'!$W$28-'PIVOT TABLES'!$W$27</f>
        <v>27.947999999999993</v>
      </c>
      <c r="X1105" s="14">
        <f>200-SUM(Table3[[#This Row],[S - LIGHT]:[S - VIGOROUS]])</f>
        <v>88.208000000000013</v>
      </c>
    </row>
    <row r="1106" spans="1:24" x14ac:dyDescent="0.25">
      <c r="A1106" s="44" t="s">
        <v>56</v>
      </c>
      <c r="B1106" s="13" t="str">
        <f t="shared" si="17"/>
        <v>Midfielder</v>
      </c>
      <c r="C1106" s="7">
        <v>45363.421736111108</v>
      </c>
      <c r="D1106" s="14">
        <v>3728</v>
      </c>
      <c r="E1106" s="14">
        <v>0</v>
      </c>
      <c r="F1106" s="14">
        <v>2</v>
      </c>
      <c r="G1106" s="14">
        <v>3</v>
      </c>
      <c r="H1106" s="14">
        <v>37.42</v>
      </c>
      <c r="I1106" s="14">
        <f>'PIVOT TABLES'!$B$26</f>
        <v>60.283999999999999</v>
      </c>
      <c r="J1106" s="14">
        <f>'PIVOT TABLES'!$B$27-'PIVOT TABLES'!$B$26</f>
        <v>30.142000000000003</v>
      </c>
      <c r="K1106" s="14">
        <f>'PIVOT TABLES'!$B$28-'PIVOT TABLES'!$B$27</f>
        <v>30.141999999999996</v>
      </c>
      <c r="L1106" s="14">
        <f>200-SUM(Table3[[#This Row],[D - LIGHT]:[D - VIGOROUS]])</f>
        <v>79.432000000000002</v>
      </c>
      <c r="M1106" s="14">
        <f>'PIVOT TABLES'!$I$26</f>
        <v>65.603999999999999</v>
      </c>
      <c r="N1106" s="14">
        <f>'PIVOT TABLES'!$I$27-'PIVOT TABLES'!$I$26</f>
        <v>32.802000000000007</v>
      </c>
      <c r="O1106" s="14">
        <f>'PIVOT TABLES'!$I$28-'PIVOT TABLES'!$I$27</f>
        <v>32.801999999999992</v>
      </c>
      <c r="P1106" s="14">
        <f>200-SUM(Table3[[#This Row],[M - LIGHT]:[M - VIGOROUS]])</f>
        <v>68.792000000000002</v>
      </c>
      <c r="Q1106" s="14">
        <f>'PIVOT TABLES'!$P$26</f>
        <v>62.64</v>
      </c>
      <c r="R1106" s="14">
        <f>'PIVOT TABLES'!$P$27-'PIVOT TABLES'!$P$26</f>
        <v>31.320000000000007</v>
      </c>
      <c r="S1106" s="14">
        <f>'PIVOT TABLES'!$P$28-'PIVOT TABLES'!$P$27</f>
        <v>31.319999999999993</v>
      </c>
      <c r="T1106" s="14">
        <f>200-SUM(Table3[[#This Row],[W - LIGHT]:[W - VIGOROUS]])</f>
        <v>74.72</v>
      </c>
      <c r="U1106" s="14">
        <f>'PIVOT TABLES'!$W$26</f>
        <v>55.895999999999994</v>
      </c>
      <c r="V1106" s="14">
        <f>'PIVOT TABLES'!$W$27-'PIVOT TABLES'!$W$26</f>
        <v>27.948</v>
      </c>
      <c r="W1106" s="14">
        <f>'PIVOT TABLES'!$W$28-'PIVOT TABLES'!$W$27</f>
        <v>27.947999999999993</v>
      </c>
      <c r="X1106" s="14">
        <f>200-SUM(Table3[[#This Row],[S - LIGHT]:[S - VIGOROUS]])</f>
        <v>88.208000000000013</v>
      </c>
    </row>
    <row r="1107" spans="1:24" x14ac:dyDescent="0.25">
      <c r="A1107" s="44" t="s">
        <v>2</v>
      </c>
      <c r="B1107" s="13" t="str">
        <f t="shared" si="17"/>
        <v>Defender</v>
      </c>
      <c r="C1107" s="7">
        <v>45363.421736111108</v>
      </c>
      <c r="D1107" s="14">
        <v>3322</v>
      </c>
      <c r="E1107" s="14">
        <v>0</v>
      </c>
      <c r="F1107" s="14">
        <v>7</v>
      </c>
      <c r="G1107" s="14">
        <v>5</v>
      </c>
      <c r="H1107" s="14">
        <v>33.6</v>
      </c>
      <c r="I1107" s="14">
        <f>'PIVOT TABLES'!$B$26</f>
        <v>60.283999999999999</v>
      </c>
      <c r="J1107" s="14">
        <f>'PIVOT TABLES'!$B$27-'PIVOT TABLES'!$B$26</f>
        <v>30.142000000000003</v>
      </c>
      <c r="K1107" s="14">
        <f>'PIVOT TABLES'!$B$28-'PIVOT TABLES'!$B$27</f>
        <v>30.141999999999996</v>
      </c>
      <c r="L1107" s="14">
        <f>200-SUM(Table3[[#This Row],[D - LIGHT]:[D - VIGOROUS]])</f>
        <v>79.432000000000002</v>
      </c>
      <c r="M1107" s="14">
        <f>'PIVOT TABLES'!$I$26</f>
        <v>65.603999999999999</v>
      </c>
      <c r="N1107" s="14">
        <f>'PIVOT TABLES'!$I$27-'PIVOT TABLES'!$I$26</f>
        <v>32.802000000000007</v>
      </c>
      <c r="O1107" s="14">
        <f>'PIVOT TABLES'!$I$28-'PIVOT TABLES'!$I$27</f>
        <v>32.801999999999992</v>
      </c>
      <c r="P1107" s="14">
        <f>200-SUM(Table3[[#This Row],[M - LIGHT]:[M - VIGOROUS]])</f>
        <v>68.792000000000002</v>
      </c>
      <c r="Q1107" s="14">
        <f>'PIVOT TABLES'!$P$26</f>
        <v>62.64</v>
      </c>
      <c r="R1107" s="14">
        <f>'PIVOT TABLES'!$P$27-'PIVOT TABLES'!$P$26</f>
        <v>31.320000000000007</v>
      </c>
      <c r="S1107" s="14">
        <f>'PIVOT TABLES'!$P$28-'PIVOT TABLES'!$P$27</f>
        <v>31.319999999999993</v>
      </c>
      <c r="T1107" s="14">
        <f>200-SUM(Table3[[#This Row],[W - LIGHT]:[W - VIGOROUS]])</f>
        <v>74.72</v>
      </c>
      <c r="U1107" s="14">
        <f>'PIVOT TABLES'!$W$26</f>
        <v>55.895999999999994</v>
      </c>
      <c r="V1107" s="14">
        <f>'PIVOT TABLES'!$W$27-'PIVOT TABLES'!$W$26</f>
        <v>27.948</v>
      </c>
      <c r="W1107" s="14">
        <f>'PIVOT TABLES'!$W$28-'PIVOT TABLES'!$W$27</f>
        <v>27.947999999999993</v>
      </c>
      <c r="X1107" s="14">
        <f>200-SUM(Table3[[#This Row],[S - LIGHT]:[S - VIGOROUS]])</f>
        <v>88.208000000000013</v>
      </c>
    </row>
    <row r="1108" spans="1:24" x14ac:dyDescent="0.25">
      <c r="A1108" s="44" t="s">
        <v>58</v>
      </c>
      <c r="B1108" s="13" t="str">
        <f t="shared" si="17"/>
        <v>Defender</v>
      </c>
      <c r="C1108" s="7">
        <v>45363.421736111108</v>
      </c>
      <c r="D1108" s="14">
        <v>3880</v>
      </c>
      <c r="E1108" s="14">
        <v>12</v>
      </c>
      <c r="F1108" s="14">
        <v>14</v>
      </c>
      <c r="G1108" s="14">
        <v>11</v>
      </c>
      <c r="H1108" s="14">
        <v>39.94</v>
      </c>
      <c r="I1108" s="14">
        <f>'PIVOT TABLES'!$B$26</f>
        <v>60.283999999999999</v>
      </c>
      <c r="J1108" s="14">
        <f>'PIVOT TABLES'!$B$27-'PIVOT TABLES'!$B$26</f>
        <v>30.142000000000003</v>
      </c>
      <c r="K1108" s="14">
        <f>'PIVOT TABLES'!$B$28-'PIVOT TABLES'!$B$27</f>
        <v>30.141999999999996</v>
      </c>
      <c r="L1108" s="14">
        <f>200-SUM(Table3[[#This Row],[D - LIGHT]:[D - VIGOROUS]])</f>
        <v>79.432000000000002</v>
      </c>
      <c r="M1108" s="14">
        <f>'PIVOT TABLES'!$I$26</f>
        <v>65.603999999999999</v>
      </c>
      <c r="N1108" s="14">
        <f>'PIVOT TABLES'!$I$27-'PIVOT TABLES'!$I$26</f>
        <v>32.802000000000007</v>
      </c>
      <c r="O1108" s="14">
        <f>'PIVOT TABLES'!$I$28-'PIVOT TABLES'!$I$27</f>
        <v>32.801999999999992</v>
      </c>
      <c r="P1108" s="14">
        <f>200-SUM(Table3[[#This Row],[M - LIGHT]:[M - VIGOROUS]])</f>
        <v>68.792000000000002</v>
      </c>
      <c r="Q1108" s="14">
        <f>'PIVOT TABLES'!$P$26</f>
        <v>62.64</v>
      </c>
      <c r="R1108" s="14">
        <f>'PIVOT TABLES'!$P$27-'PIVOT TABLES'!$P$26</f>
        <v>31.320000000000007</v>
      </c>
      <c r="S1108" s="14">
        <f>'PIVOT TABLES'!$P$28-'PIVOT TABLES'!$P$27</f>
        <v>31.319999999999993</v>
      </c>
      <c r="T1108" s="14">
        <f>200-SUM(Table3[[#This Row],[W - LIGHT]:[W - VIGOROUS]])</f>
        <v>74.72</v>
      </c>
      <c r="U1108" s="14">
        <f>'PIVOT TABLES'!$W$26</f>
        <v>55.895999999999994</v>
      </c>
      <c r="V1108" s="14">
        <f>'PIVOT TABLES'!$W$27-'PIVOT TABLES'!$W$26</f>
        <v>27.948</v>
      </c>
      <c r="W1108" s="14">
        <f>'PIVOT TABLES'!$W$28-'PIVOT TABLES'!$W$27</f>
        <v>27.947999999999993</v>
      </c>
      <c r="X1108" s="14">
        <f>200-SUM(Table3[[#This Row],[S - LIGHT]:[S - VIGOROUS]])</f>
        <v>88.208000000000013</v>
      </c>
    </row>
    <row r="1109" spans="1:24" x14ac:dyDescent="0.25">
      <c r="A1109" s="44" t="s">
        <v>94</v>
      </c>
      <c r="B1109" s="13" t="str">
        <f t="shared" si="17"/>
        <v>Defender</v>
      </c>
      <c r="C1109" s="7">
        <v>45363.421736111108</v>
      </c>
      <c r="D1109" s="14">
        <v>2878</v>
      </c>
      <c r="E1109" s="14">
        <v>4</v>
      </c>
      <c r="F1109" s="14">
        <v>3</v>
      </c>
      <c r="G1109" s="14">
        <v>4</v>
      </c>
      <c r="H1109" s="14">
        <v>29.1</v>
      </c>
      <c r="I1109" s="14">
        <f>'PIVOT TABLES'!$B$26</f>
        <v>60.283999999999999</v>
      </c>
      <c r="J1109" s="14">
        <f>'PIVOT TABLES'!$B$27-'PIVOT TABLES'!$B$26</f>
        <v>30.142000000000003</v>
      </c>
      <c r="K1109" s="14">
        <f>'PIVOT TABLES'!$B$28-'PIVOT TABLES'!$B$27</f>
        <v>30.141999999999996</v>
      </c>
      <c r="L1109" s="14">
        <f>200-SUM(Table3[[#This Row],[D - LIGHT]:[D - VIGOROUS]])</f>
        <v>79.432000000000002</v>
      </c>
      <c r="M1109" s="14">
        <f>'PIVOT TABLES'!$I$26</f>
        <v>65.603999999999999</v>
      </c>
      <c r="N1109" s="14">
        <f>'PIVOT TABLES'!$I$27-'PIVOT TABLES'!$I$26</f>
        <v>32.802000000000007</v>
      </c>
      <c r="O1109" s="14">
        <f>'PIVOT TABLES'!$I$28-'PIVOT TABLES'!$I$27</f>
        <v>32.801999999999992</v>
      </c>
      <c r="P1109" s="14">
        <f>200-SUM(Table3[[#This Row],[M - LIGHT]:[M - VIGOROUS]])</f>
        <v>68.792000000000002</v>
      </c>
      <c r="Q1109" s="14">
        <f>'PIVOT TABLES'!$P$26</f>
        <v>62.64</v>
      </c>
      <c r="R1109" s="14">
        <f>'PIVOT TABLES'!$P$27-'PIVOT TABLES'!$P$26</f>
        <v>31.320000000000007</v>
      </c>
      <c r="S1109" s="14">
        <f>'PIVOT TABLES'!$P$28-'PIVOT TABLES'!$P$27</f>
        <v>31.319999999999993</v>
      </c>
      <c r="T1109" s="14">
        <f>200-SUM(Table3[[#This Row],[W - LIGHT]:[W - VIGOROUS]])</f>
        <v>74.72</v>
      </c>
      <c r="U1109" s="14">
        <f>'PIVOT TABLES'!$W$26</f>
        <v>55.895999999999994</v>
      </c>
      <c r="V1109" s="14">
        <f>'PIVOT TABLES'!$W$27-'PIVOT TABLES'!$W$26</f>
        <v>27.948</v>
      </c>
      <c r="W1109" s="14">
        <f>'PIVOT TABLES'!$W$28-'PIVOT TABLES'!$W$27</f>
        <v>27.947999999999993</v>
      </c>
      <c r="X1109" s="14">
        <f>200-SUM(Table3[[#This Row],[S - LIGHT]:[S - VIGOROUS]])</f>
        <v>88.208000000000013</v>
      </c>
    </row>
    <row r="1110" spans="1:24" x14ac:dyDescent="0.25">
      <c r="A1110" s="44" t="s">
        <v>3</v>
      </c>
      <c r="B1110" s="13" t="str">
        <f t="shared" si="17"/>
        <v>Defender</v>
      </c>
      <c r="C1110" s="7">
        <v>45363.421736111108</v>
      </c>
      <c r="D1110" s="14">
        <v>3666</v>
      </c>
      <c r="E1110" s="14">
        <v>0</v>
      </c>
      <c r="F1110" s="14">
        <v>3</v>
      </c>
      <c r="G1110" s="14">
        <v>13</v>
      </c>
      <c r="H1110" s="14">
        <v>37.04</v>
      </c>
      <c r="I1110" s="14">
        <f>'PIVOT TABLES'!$B$26</f>
        <v>60.283999999999999</v>
      </c>
      <c r="J1110" s="14">
        <f>'PIVOT TABLES'!$B$27-'PIVOT TABLES'!$B$26</f>
        <v>30.142000000000003</v>
      </c>
      <c r="K1110" s="14">
        <f>'PIVOT TABLES'!$B$28-'PIVOT TABLES'!$B$27</f>
        <v>30.141999999999996</v>
      </c>
      <c r="L1110" s="14">
        <f>200-SUM(Table3[[#This Row],[D - LIGHT]:[D - VIGOROUS]])</f>
        <v>79.432000000000002</v>
      </c>
      <c r="M1110" s="14">
        <f>'PIVOT TABLES'!$I$26</f>
        <v>65.603999999999999</v>
      </c>
      <c r="N1110" s="14">
        <f>'PIVOT TABLES'!$I$27-'PIVOT TABLES'!$I$26</f>
        <v>32.802000000000007</v>
      </c>
      <c r="O1110" s="14">
        <f>'PIVOT TABLES'!$I$28-'PIVOT TABLES'!$I$27</f>
        <v>32.801999999999992</v>
      </c>
      <c r="P1110" s="14">
        <f>200-SUM(Table3[[#This Row],[M - LIGHT]:[M - VIGOROUS]])</f>
        <v>68.792000000000002</v>
      </c>
      <c r="Q1110" s="14">
        <f>'PIVOT TABLES'!$P$26</f>
        <v>62.64</v>
      </c>
      <c r="R1110" s="14">
        <f>'PIVOT TABLES'!$P$27-'PIVOT TABLES'!$P$26</f>
        <v>31.320000000000007</v>
      </c>
      <c r="S1110" s="14">
        <f>'PIVOT TABLES'!$P$28-'PIVOT TABLES'!$P$27</f>
        <v>31.319999999999993</v>
      </c>
      <c r="T1110" s="14">
        <f>200-SUM(Table3[[#This Row],[W - LIGHT]:[W - VIGOROUS]])</f>
        <v>74.72</v>
      </c>
      <c r="U1110" s="14">
        <f>'PIVOT TABLES'!$W$26</f>
        <v>55.895999999999994</v>
      </c>
      <c r="V1110" s="14">
        <f>'PIVOT TABLES'!$W$27-'PIVOT TABLES'!$W$26</f>
        <v>27.948</v>
      </c>
      <c r="W1110" s="14">
        <f>'PIVOT TABLES'!$W$28-'PIVOT TABLES'!$W$27</f>
        <v>27.947999999999993</v>
      </c>
      <c r="X1110" s="14">
        <f>200-SUM(Table3[[#This Row],[S - LIGHT]:[S - VIGOROUS]])</f>
        <v>88.208000000000013</v>
      </c>
    </row>
    <row r="1111" spans="1:24" x14ac:dyDescent="0.25">
      <c r="A1111" s="44" t="s">
        <v>59</v>
      </c>
      <c r="B1111" s="13" t="str">
        <f t="shared" si="17"/>
        <v>Striker</v>
      </c>
      <c r="C1111" s="7">
        <v>45363.421736111108</v>
      </c>
      <c r="D1111" s="14">
        <v>3370</v>
      </c>
      <c r="E1111" s="14">
        <v>5</v>
      </c>
      <c r="F1111" s="14">
        <v>11</v>
      </c>
      <c r="G1111" s="14">
        <v>11</v>
      </c>
      <c r="H1111" s="14">
        <v>34.51</v>
      </c>
      <c r="I1111" s="14">
        <f>'PIVOT TABLES'!$B$26</f>
        <v>60.283999999999999</v>
      </c>
      <c r="J1111" s="14">
        <f>'PIVOT TABLES'!$B$27-'PIVOT TABLES'!$B$26</f>
        <v>30.142000000000003</v>
      </c>
      <c r="K1111" s="14">
        <f>'PIVOT TABLES'!$B$28-'PIVOT TABLES'!$B$27</f>
        <v>30.141999999999996</v>
      </c>
      <c r="L1111" s="14">
        <f>200-SUM(Table3[[#This Row],[D - LIGHT]:[D - VIGOROUS]])</f>
        <v>79.432000000000002</v>
      </c>
      <c r="M1111" s="14">
        <f>'PIVOT TABLES'!$I$26</f>
        <v>65.603999999999999</v>
      </c>
      <c r="N1111" s="14">
        <f>'PIVOT TABLES'!$I$27-'PIVOT TABLES'!$I$26</f>
        <v>32.802000000000007</v>
      </c>
      <c r="O1111" s="14">
        <f>'PIVOT TABLES'!$I$28-'PIVOT TABLES'!$I$27</f>
        <v>32.801999999999992</v>
      </c>
      <c r="P1111" s="14">
        <f>200-SUM(Table3[[#This Row],[M - LIGHT]:[M - VIGOROUS]])</f>
        <v>68.792000000000002</v>
      </c>
      <c r="Q1111" s="14">
        <f>'PIVOT TABLES'!$P$26</f>
        <v>62.64</v>
      </c>
      <c r="R1111" s="14">
        <f>'PIVOT TABLES'!$P$27-'PIVOT TABLES'!$P$26</f>
        <v>31.320000000000007</v>
      </c>
      <c r="S1111" s="14">
        <f>'PIVOT TABLES'!$P$28-'PIVOT TABLES'!$P$27</f>
        <v>31.319999999999993</v>
      </c>
      <c r="T1111" s="14">
        <f>200-SUM(Table3[[#This Row],[W - LIGHT]:[W - VIGOROUS]])</f>
        <v>74.72</v>
      </c>
      <c r="U1111" s="14">
        <f>'PIVOT TABLES'!$W$26</f>
        <v>55.895999999999994</v>
      </c>
      <c r="V1111" s="14">
        <f>'PIVOT TABLES'!$W$27-'PIVOT TABLES'!$W$26</f>
        <v>27.948</v>
      </c>
      <c r="W1111" s="14">
        <f>'PIVOT TABLES'!$W$28-'PIVOT TABLES'!$W$27</f>
        <v>27.947999999999993</v>
      </c>
      <c r="X1111" s="14">
        <f>200-SUM(Table3[[#This Row],[S - LIGHT]:[S - VIGOROUS]])</f>
        <v>88.208000000000013</v>
      </c>
    </row>
    <row r="1112" spans="1:24" x14ac:dyDescent="0.25">
      <c r="A1112" s="44" t="s">
        <v>4</v>
      </c>
      <c r="B1112" s="13" t="str">
        <f t="shared" si="17"/>
        <v>Midfielder</v>
      </c>
      <c r="C1112" s="7">
        <v>45363.421736111108</v>
      </c>
      <c r="D1112" s="14">
        <v>2319</v>
      </c>
      <c r="E1112" s="14">
        <v>22</v>
      </c>
      <c r="F1112" s="14">
        <v>6</v>
      </c>
      <c r="G1112" s="14">
        <v>6</v>
      </c>
      <c r="H1112" s="14">
        <v>24.21</v>
      </c>
      <c r="I1112" s="14">
        <f>'PIVOT TABLES'!$B$26</f>
        <v>60.283999999999999</v>
      </c>
      <c r="J1112" s="14">
        <f>'PIVOT TABLES'!$B$27-'PIVOT TABLES'!$B$26</f>
        <v>30.142000000000003</v>
      </c>
      <c r="K1112" s="14">
        <f>'PIVOT TABLES'!$B$28-'PIVOT TABLES'!$B$27</f>
        <v>30.141999999999996</v>
      </c>
      <c r="L1112" s="14">
        <f>200-SUM(Table3[[#This Row],[D - LIGHT]:[D - VIGOROUS]])</f>
        <v>79.432000000000002</v>
      </c>
      <c r="M1112" s="14">
        <f>'PIVOT TABLES'!$I$26</f>
        <v>65.603999999999999</v>
      </c>
      <c r="N1112" s="14">
        <f>'PIVOT TABLES'!$I$27-'PIVOT TABLES'!$I$26</f>
        <v>32.802000000000007</v>
      </c>
      <c r="O1112" s="14">
        <f>'PIVOT TABLES'!$I$28-'PIVOT TABLES'!$I$27</f>
        <v>32.801999999999992</v>
      </c>
      <c r="P1112" s="14">
        <f>200-SUM(Table3[[#This Row],[M - LIGHT]:[M - VIGOROUS]])</f>
        <v>68.792000000000002</v>
      </c>
      <c r="Q1112" s="14">
        <f>'PIVOT TABLES'!$P$26</f>
        <v>62.64</v>
      </c>
      <c r="R1112" s="14">
        <f>'PIVOT TABLES'!$P$27-'PIVOT TABLES'!$P$26</f>
        <v>31.320000000000007</v>
      </c>
      <c r="S1112" s="14">
        <f>'PIVOT TABLES'!$P$28-'PIVOT TABLES'!$P$27</f>
        <v>31.319999999999993</v>
      </c>
      <c r="T1112" s="14">
        <f>200-SUM(Table3[[#This Row],[W - LIGHT]:[W - VIGOROUS]])</f>
        <v>74.72</v>
      </c>
      <c r="U1112" s="14">
        <f>'PIVOT TABLES'!$W$26</f>
        <v>55.895999999999994</v>
      </c>
      <c r="V1112" s="14">
        <f>'PIVOT TABLES'!$W$27-'PIVOT TABLES'!$W$26</f>
        <v>27.948</v>
      </c>
      <c r="W1112" s="14">
        <f>'PIVOT TABLES'!$W$28-'PIVOT TABLES'!$W$27</f>
        <v>27.947999999999993</v>
      </c>
      <c r="X1112" s="14">
        <f>200-SUM(Table3[[#This Row],[S - LIGHT]:[S - VIGOROUS]])</f>
        <v>88.208000000000013</v>
      </c>
    </row>
    <row r="1113" spans="1:24" x14ac:dyDescent="0.25">
      <c r="A1113" s="44" t="s">
        <v>60</v>
      </c>
      <c r="B1113" s="13" t="str">
        <f t="shared" si="17"/>
        <v>Winger</v>
      </c>
      <c r="C1113" s="7">
        <v>45363.421736111108</v>
      </c>
      <c r="D1113" s="14">
        <v>3806</v>
      </c>
      <c r="E1113" s="14">
        <v>42</v>
      </c>
      <c r="F1113" s="14">
        <v>8</v>
      </c>
      <c r="G1113" s="14">
        <v>13</v>
      </c>
      <c r="H1113" s="14">
        <v>39.9</v>
      </c>
      <c r="I1113" s="14">
        <f>'PIVOT TABLES'!$B$26</f>
        <v>60.283999999999999</v>
      </c>
      <c r="J1113" s="14">
        <f>'PIVOT TABLES'!$B$27-'PIVOT TABLES'!$B$26</f>
        <v>30.142000000000003</v>
      </c>
      <c r="K1113" s="14">
        <f>'PIVOT TABLES'!$B$28-'PIVOT TABLES'!$B$27</f>
        <v>30.141999999999996</v>
      </c>
      <c r="L1113" s="14">
        <f>200-SUM(Table3[[#This Row],[D - LIGHT]:[D - VIGOROUS]])</f>
        <v>79.432000000000002</v>
      </c>
      <c r="M1113" s="14">
        <f>'PIVOT TABLES'!$I$26</f>
        <v>65.603999999999999</v>
      </c>
      <c r="N1113" s="14">
        <f>'PIVOT TABLES'!$I$27-'PIVOT TABLES'!$I$26</f>
        <v>32.802000000000007</v>
      </c>
      <c r="O1113" s="14">
        <f>'PIVOT TABLES'!$I$28-'PIVOT TABLES'!$I$27</f>
        <v>32.801999999999992</v>
      </c>
      <c r="P1113" s="14">
        <f>200-SUM(Table3[[#This Row],[M - LIGHT]:[M - VIGOROUS]])</f>
        <v>68.792000000000002</v>
      </c>
      <c r="Q1113" s="14">
        <f>'PIVOT TABLES'!$P$26</f>
        <v>62.64</v>
      </c>
      <c r="R1113" s="14">
        <f>'PIVOT TABLES'!$P$27-'PIVOT TABLES'!$P$26</f>
        <v>31.320000000000007</v>
      </c>
      <c r="S1113" s="14">
        <f>'PIVOT TABLES'!$P$28-'PIVOT TABLES'!$P$27</f>
        <v>31.319999999999993</v>
      </c>
      <c r="T1113" s="14">
        <f>200-SUM(Table3[[#This Row],[W - LIGHT]:[W - VIGOROUS]])</f>
        <v>74.72</v>
      </c>
      <c r="U1113" s="14">
        <f>'PIVOT TABLES'!$W$26</f>
        <v>55.895999999999994</v>
      </c>
      <c r="V1113" s="14">
        <f>'PIVOT TABLES'!$W$27-'PIVOT TABLES'!$W$26</f>
        <v>27.948</v>
      </c>
      <c r="W1113" s="14">
        <f>'PIVOT TABLES'!$W$28-'PIVOT TABLES'!$W$27</f>
        <v>27.947999999999993</v>
      </c>
      <c r="X1113" s="14">
        <f>200-SUM(Table3[[#This Row],[S - LIGHT]:[S - VIGOROUS]])</f>
        <v>88.208000000000013</v>
      </c>
    </row>
    <row r="1114" spans="1:24" x14ac:dyDescent="0.25">
      <c r="A1114" s="44" t="s">
        <v>71</v>
      </c>
      <c r="B1114" s="13" t="str">
        <f t="shared" si="17"/>
        <v>Midfielder</v>
      </c>
      <c r="C1114" s="7">
        <v>45363.421736111108</v>
      </c>
      <c r="D1114" s="14">
        <v>2878</v>
      </c>
      <c r="E1114" s="14">
        <v>0</v>
      </c>
      <c r="F1114" s="14">
        <v>5</v>
      </c>
      <c r="G1114" s="14">
        <v>2</v>
      </c>
      <c r="H1114" s="14">
        <v>29.02</v>
      </c>
      <c r="I1114" s="14">
        <f>'PIVOT TABLES'!$B$26</f>
        <v>60.283999999999999</v>
      </c>
      <c r="J1114" s="14">
        <f>'PIVOT TABLES'!$B$27-'PIVOT TABLES'!$B$26</f>
        <v>30.142000000000003</v>
      </c>
      <c r="K1114" s="14">
        <f>'PIVOT TABLES'!$B$28-'PIVOT TABLES'!$B$27</f>
        <v>30.141999999999996</v>
      </c>
      <c r="L1114" s="14">
        <f>200-SUM(Table3[[#This Row],[D - LIGHT]:[D - VIGOROUS]])</f>
        <v>79.432000000000002</v>
      </c>
      <c r="M1114" s="14">
        <f>'PIVOT TABLES'!$I$26</f>
        <v>65.603999999999999</v>
      </c>
      <c r="N1114" s="14">
        <f>'PIVOT TABLES'!$I$27-'PIVOT TABLES'!$I$26</f>
        <v>32.802000000000007</v>
      </c>
      <c r="O1114" s="14">
        <f>'PIVOT TABLES'!$I$28-'PIVOT TABLES'!$I$27</f>
        <v>32.801999999999992</v>
      </c>
      <c r="P1114" s="14">
        <f>200-SUM(Table3[[#This Row],[M - LIGHT]:[M - VIGOROUS]])</f>
        <v>68.792000000000002</v>
      </c>
      <c r="Q1114" s="14">
        <f>'PIVOT TABLES'!$P$26</f>
        <v>62.64</v>
      </c>
      <c r="R1114" s="14">
        <f>'PIVOT TABLES'!$P$27-'PIVOT TABLES'!$P$26</f>
        <v>31.320000000000007</v>
      </c>
      <c r="S1114" s="14">
        <f>'PIVOT TABLES'!$P$28-'PIVOT TABLES'!$P$27</f>
        <v>31.319999999999993</v>
      </c>
      <c r="T1114" s="14">
        <f>200-SUM(Table3[[#This Row],[W - LIGHT]:[W - VIGOROUS]])</f>
        <v>74.72</v>
      </c>
      <c r="U1114" s="14">
        <f>'PIVOT TABLES'!$W$26</f>
        <v>55.895999999999994</v>
      </c>
      <c r="V1114" s="14">
        <f>'PIVOT TABLES'!$W$27-'PIVOT TABLES'!$W$26</f>
        <v>27.948</v>
      </c>
      <c r="W1114" s="14">
        <f>'PIVOT TABLES'!$W$28-'PIVOT TABLES'!$W$27</f>
        <v>27.947999999999993</v>
      </c>
      <c r="X1114" s="14">
        <f>200-SUM(Table3[[#This Row],[S - LIGHT]:[S - VIGOROUS]])</f>
        <v>88.208000000000013</v>
      </c>
    </row>
    <row r="1115" spans="1:24" x14ac:dyDescent="0.25">
      <c r="A1115" s="44" t="s">
        <v>5</v>
      </c>
      <c r="B1115" s="13" t="str">
        <f t="shared" si="17"/>
        <v>Midfielder</v>
      </c>
      <c r="C1115" s="7">
        <v>45363.421736111108</v>
      </c>
      <c r="D1115" s="14">
        <v>3904</v>
      </c>
      <c r="E1115" s="14">
        <v>59</v>
      </c>
      <c r="F1115" s="14">
        <v>11</v>
      </c>
      <c r="G1115" s="14">
        <v>10</v>
      </c>
      <c r="H1115" s="14">
        <v>41.45</v>
      </c>
      <c r="I1115" s="14">
        <f>'PIVOT TABLES'!$B$26</f>
        <v>60.283999999999999</v>
      </c>
      <c r="J1115" s="14">
        <f>'PIVOT TABLES'!$B$27-'PIVOT TABLES'!$B$26</f>
        <v>30.142000000000003</v>
      </c>
      <c r="K1115" s="14">
        <f>'PIVOT TABLES'!$B$28-'PIVOT TABLES'!$B$27</f>
        <v>30.141999999999996</v>
      </c>
      <c r="L1115" s="14">
        <f>200-SUM(Table3[[#This Row],[D - LIGHT]:[D - VIGOROUS]])</f>
        <v>79.432000000000002</v>
      </c>
      <c r="M1115" s="14">
        <f>'PIVOT TABLES'!$I$26</f>
        <v>65.603999999999999</v>
      </c>
      <c r="N1115" s="14">
        <f>'PIVOT TABLES'!$I$27-'PIVOT TABLES'!$I$26</f>
        <v>32.802000000000007</v>
      </c>
      <c r="O1115" s="14">
        <f>'PIVOT TABLES'!$I$28-'PIVOT TABLES'!$I$27</f>
        <v>32.801999999999992</v>
      </c>
      <c r="P1115" s="14">
        <f>200-SUM(Table3[[#This Row],[M - LIGHT]:[M - VIGOROUS]])</f>
        <v>68.792000000000002</v>
      </c>
      <c r="Q1115" s="14">
        <f>'PIVOT TABLES'!$P$26</f>
        <v>62.64</v>
      </c>
      <c r="R1115" s="14">
        <f>'PIVOT TABLES'!$P$27-'PIVOT TABLES'!$P$26</f>
        <v>31.320000000000007</v>
      </c>
      <c r="S1115" s="14">
        <f>'PIVOT TABLES'!$P$28-'PIVOT TABLES'!$P$27</f>
        <v>31.319999999999993</v>
      </c>
      <c r="T1115" s="14">
        <f>200-SUM(Table3[[#This Row],[W - LIGHT]:[W - VIGOROUS]])</f>
        <v>74.72</v>
      </c>
      <c r="U1115" s="14">
        <f>'PIVOT TABLES'!$W$26</f>
        <v>55.895999999999994</v>
      </c>
      <c r="V1115" s="14">
        <f>'PIVOT TABLES'!$W$27-'PIVOT TABLES'!$W$26</f>
        <v>27.948</v>
      </c>
      <c r="W1115" s="14">
        <f>'PIVOT TABLES'!$W$28-'PIVOT TABLES'!$W$27</f>
        <v>27.947999999999993</v>
      </c>
      <c r="X1115" s="14">
        <f>200-SUM(Table3[[#This Row],[S - LIGHT]:[S - VIGOROUS]])</f>
        <v>88.208000000000013</v>
      </c>
    </row>
    <row r="1116" spans="1:24" x14ac:dyDescent="0.25">
      <c r="A1116" s="44" t="s">
        <v>6</v>
      </c>
      <c r="B1116" s="13" t="str">
        <f t="shared" si="17"/>
        <v>Midfielder</v>
      </c>
      <c r="C1116" s="7">
        <v>45363.421736111108</v>
      </c>
      <c r="D1116" s="14">
        <v>4542</v>
      </c>
      <c r="E1116" s="14">
        <v>83</v>
      </c>
      <c r="F1116" s="14">
        <v>17</v>
      </c>
      <c r="G1116" s="14">
        <v>16</v>
      </c>
      <c r="H1116" s="14">
        <v>48.91</v>
      </c>
      <c r="I1116" s="14">
        <f>'PIVOT TABLES'!$B$26</f>
        <v>60.283999999999999</v>
      </c>
      <c r="J1116" s="14">
        <f>'PIVOT TABLES'!$B$27-'PIVOT TABLES'!$B$26</f>
        <v>30.142000000000003</v>
      </c>
      <c r="K1116" s="14">
        <f>'PIVOT TABLES'!$B$28-'PIVOT TABLES'!$B$27</f>
        <v>30.141999999999996</v>
      </c>
      <c r="L1116" s="14">
        <f>200-SUM(Table3[[#This Row],[D - LIGHT]:[D - VIGOROUS]])</f>
        <v>79.432000000000002</v>
      </c>
      <c r="M1116" s="14">
        <f>'PIVOT TABLES'!$I$26</f>
        <v>65.603999999999999</v>
      </c>
      <c r="N1116" s="14">
        <f>'PIVOT TABLES'!$I$27-'PIVOT TABLES'!$I$26</f>
        <v>32.802000000000007</v>
      </c>
      <c r="O1116" s="14">
        <f>'PIVOT TABLES'!$I$28-'PIVOT TABLES'!$I$27</f>
        <v>32.801999999999992</v>
      </c>
      <c r="P1116" s="14">
        <f>200-SUM(Table3[[#This Row],[M - LIGHT]:[M - VIGOROUS]])</f>
        <v>68.792000000000002</v>
      </c>
      <c r="Q1116" s="14">
        <f>'PIVOT TABLES'!$P$26</f>
        <v>62.64</v>
      </c>
      <c r="R1116" s="14">
        <f>'PIVOT TABLES'!$P$27-'PIVOT TABLES'!$P$26</f>
        <v>31.320000000000007</v>
      </c>
      <c r="S1116" s="14">
        <f>'PIVOT TABLES'!$P$28-'PIVOT TABLES'!$P$27</f>
        <v>31.319999999999993</v>
      </c>
      <c r="T1116" s="14">
        <f>200-SUM(Table3[[#This Row],[W - LIGHT]:[W - VIGOROUS]])</f>
        <v>74.72</v>
      </c>
      <c r="U1116" s="14">
        <f>'PIVOT TABLES'!$W$26</f>
        <v>55.895999999999994</v>
      </c>
      <c r="V1116" s="14">
        <f>'PIVOT TABLES'!$W$27-'PIVOT TABLES'!$W$26</f>
        <v>27.948</v>
      </c>
      <c r="W1116" s="14">
        <f>'PIVOT TABLES'!$W$28-'PIVOT TABLES'!$W$27</f>
        <v>27.947999999999993</v>
      </c>
      <c r="X1116" s="14">
        <f>200-SUM(Table3[[#This Row],[S - LIGHT]:[S - VIGOROUS]])</f>
        <v>88.208000000000013</v>
      </c>
    </row>
    <row r="1117" spans="1:24" x14ac:dyDescent="0.25">
      <c r="A1117" s="44" t="s">
        <v>62</v>
      </c>
      <c r="B1117" s="13" t="str">
        <f t="shared" si="17"/>
        <v>Midfielder</v>
      </c>
      <c r="C1117" s="7">
        <v>45363.421736111108</v>
      </c>
      <c r="D1117" s="14">
        <v>3739</v>
      </c>
      <c r="E1117" s="14">
        <v>0</v>
      </c>
      <c r="F1117" s="14">
        <v>6</v>
      </c>
      <c r="G1117" s="14">
        <v>17</v>
      </c>
      <c r="H1117" s="14">
        <v>37.97</v>
      </c>
      <c r="I1117" s="14">
        <f>'PIVOT TABLES'!$B$26</f>
        <v>60.283999999999999</v>
      </c>
      <c r="J1117" s="14">
        <f>'PIVOT TABLES'!$B$27-'PIVOT TABLES'!$B$26</f>
        <v>30.142000000000003</v>
      </c>
      <c r="K1117" s="14">
        <f>'PIVOT TABLES'!$B$28-'PIVOT TABLES'!$B$27</f>
        <v>30.141999999999996</v>
      </c>
      <c r="L1117" s="14">
        <f>200-SUM(Table3[[#This Row],[D - LIGHT]:[D - VIGOROUS]])</f>
        <v>79.432000000000002</v>
      </c>
      <c r="M1117" s="14">
        <f>'PIVOT TABLES'!$I$26</f>
        <v>65.603999999999999</v>
      </c>
      <c r="N1117" s="14">
        <f>'PIVOT TABLES'!$I$27-'PIVOT TABLES'!$I$26</f>
        <v>32.802000000000007</v>
      </c>
      <c r="O1117" s="14">
        <f>'PIVOT TABLES'!$I$28-'PIVOT TABLES'!$I$27</f>
        <v>32.801999999999992</v>
      </c>
      <c r="P1117" s="14">
        <f>200-SUM(Table3[[#This Row],[M - LIGHT]:[M - VIGOROUS]])</f>
        <v>68.792000000000002</v>
      </c>
      <c r="Q1117" s="14">
        <f>'PIVOT TABLES'!$P$26</f>
        <v>62.64</v>
      </c>
      <c r="R1117" s="14">
        <f>'PIVOT TABLES'!$P$27-'PIVOT TABLES'!$P$26</f>
        <v>31.320000000000007</v>
      </c>
      <c r="S1117" s="14">
        <f>'PIVOT TABLES'!$P$28-'PIVOT TABLES'!$P$27</f>
        <v>31.319999999999993</v>
      </c>
      <c r="T1117" s="14">
        <f>200-SUM(Table3[[#This Row],[W - LIGHT]:[W - VIGOROUS]])</f>
        <v>74.72</v>
      </c>
      <c r="U1117" s="14">
        <f>'PIVOT TABLES'!$W$26</f>
        <v>55.895999999999994</v>
      </c>
      <c r="V1117" s="14">
        <f>'PIVOT TABLES'!$W$27-'PIVOT TABLES'!$W$26</f>
        <v>27.948</v>
      </c>
      <c r="W1117" s="14">
        <f>'PIVOT TABLES'!$W$28-'PIVOT TABLES'!$W$27</f>
        <v>27.947999999999993</v>
      </c>
      <c r="X1117" s="14">
        <f>200-SUM(Table3[[#This Row],[S - LIGHT]:[S - VIGOROUS]])</f>
        <v>88.208000000000013</v>
      </c>
    </row>
    <row r="1118" spans="1:24" x14ac:dyDescent="0.25">
      <c r="A1118" s="44" t="s">
        <v>64</v>
      </c>
      <c r="B1118" s="13" t="str">
        <f t="shared" si="17"/>
        <v>Midfielder</v>
      </c>
      <c r="C1118" s="7">
        <v>45363.421736111108</v>
      </c>
      <c r="D1118" s="14">
        <v>3997</v>
      </c>
      <c r="E1118" s="14">
        <v>22</v>
      </c>
      <c r="F1118" s="14">
        <v>8</v>
      </c>
      <c r="G1118" s="14">
        <v>5</v>
      </c>
      <c r="H1118" s="14">
        <v>41.05</v>
      </c>
      <c r="I1118" s="14">
        <f>'PIVOT TABLES'!$B$26</f>
        <v>60.283999999999999</v>
      </c>
      <c r="J1118" s="14">
        <f>'PIVOT TABLES'!$B$27-'PIVOT TABLES'!$B$26</f>
        <v>30.142000000000003</v>
      </c>
      <c r="K1118" s="14">
        <f>'PIVOT TABLES'!$B$28-'PIVOT TABLES'!$B$27</f>
        <v>30.141999999999996</v>
      </c>
      <c r="L1118" s="14">
        <f>200-SUM(Table3[[#This Row],[D - LIGHT]:[D - VIGOROUS]])</f>
        <v>79.432000000000002</v>
      </c>
      <c r="M1118" s="14">
        <f>'PIVOT TABLES'!$I$26</f>
        <v>65.603999999999999</v>
      </c>
      <c r="N1118" s="14">
        <f>'PIVOT TABLES'!$I$27-'PIVOT TABLES'!$I$26</f>
        <v>32.802000000000007</v>
      </c>
      <c r="O1118" s="14">
        <f>'PIVOT TABLES'!$I$28-'PIVOT TABLES'!$I$27</f>
        <v>32.801999999999992</v>
      </c>
      <c r="P1118" s="14">
        <f>200-SUM(Table3[[#This Row],[M - LIGHT]:[M - VIGOROUS]])</f>
        <v>68.792000000000002</v>
      </c>
      <c r="Q1118" s="14">
        <f>'PIVOT TABLES'!$P$26</f>
        <v>62.64</v>
      </c>
      <c r="R1118" s="14">
        <f>'PIVOT TABLES'!$P$27-'PIVOT TABLES'!$P$26</f>
        <v>31.320000000000007</v>
      </c>
      <c r="S1118" s="14">
        <f>'PIVOT TABLES'!$P$28-'PIVOT TABLES'!$P$27</f>
        <v>31.319999999999993</v>
      </c>
      <c r="T1118" s="14">
        <f>200-SUM(Table3[[#This Row],[W - LIGHT]:[W - VIGOROUS]])</f>
        <v>74.72</v>
      </c>
      <c r="U1118" s="14">
        <f>'PIVOT TABLES'!$W$26</f>
        <v>55.895999999999994</v>
      </c>
      <c r="V1118" s="14">
        <f>'PIVOT TABLES'!$W$27-'PIVOT TABLES'!$W$26</f>
        <v>27.948</v>
      </c>
      <c r="W1118" s="14">
        <f>'PIVOT TABLES'!$W$28-'PIVOT TABLES'!$W$27</f>
        <v>27.947999999999993</v>
      </c>
      <c r="X1118" s="14">
        <f>200-SUM(Table3[[#This Row],[S - LIGHT]:[S - VIGOROUS]])</f>
        <v>88.208000000000013</v>
      </c>
    </row>
    <row r="1119" spans="1:24" x14ac:dyDescent="0.25">
      <c r="A1119" s="44" t="s">
        <v>65</v>
      </c>
      <c r="B1119" s="13" t="str">
        <f t="shared" si="17"/>
        <v>Winger</v>
      </c>
      <c r="C1119" s="7">
        <v>45363.421736111108</v>
      </c>
      <c r="D1119" s="14">
        <v>3860</v>
      </c>
      <c r="E1119" s="14">
        <v>64</v>
      </c>
      <c r="F1119" s="14">
        <v>14</v>
      </c>
      <c r="G1119" s="14">
        <v>15</v>
      </c>
      <c r="H1119" s="14">
        <v>41.38</v>
      </c>
      <c r="I1119" s="14">
        <f>'PIVOT TABLES'!$B$26</f>
        <v>60.283999999999999</v>
      </c>
      <c r="J1119" s="14">
        <f>'PIVOT TABLES'!$B$27-'PIVOT TABLES'!$B$26</f>
        <v>30.142000000000003</v>
      </c>
      <c r="K1119" s="14">
        <f>'PIVOT TABLES'!$B$28-'PIVOT TABLES'!$B$27</f>
        <v>30.141999999999996</v>
      </c>
      <c r="L1119" s="14">
        <f>200-SUM(Table3[[#This Row],[D - LIGHT]:[D - VIGOROUS]])</f>
        <v>79.432000000000002</v>
      </c>
      <c r="M1119" s="14">
        <f>'PIVOT TABLES'!$I$26</f>
        <v>65.603999999999999</v>
      </c>
      <c r="N1119" s="14">
        <f>'PIVOT TABLES'!$I$27-'PIVOT TABLES'!$I$26</f>
        <v>32.802000000000007</v>
      </c>
      <c r="O1119" s="14">
        <f>'PIVOT TABLES'!$I$28-'PIVOT TABLES'!$I$27</f>
        <v>32.801999999999992</v>
      </c>
      <c r="P1119" s="14">
        <f>200-SUM(Table3[[#This Row],[M - LIGHT]:[M - VIGOROUS]])</f>
        <v>68.792000000000002</v>
      </c>
      <c r="Q1119" s="14">
        <f>'PIVOT TABLES'!$P$26</f>
        <v>62.64</v>
      </c>
      <c r="R1119" s="14">
        <f>'PIVOT TABLES'!$P$27-'PIVOT TABLES'!$P$26</f>
        <v>31.320000000000007</v>
      </c>
      <c r="S1119" s="14">
        <f>'PIVOT TABLES'!$P$28-'PIVOT TABLES'!$P$27</f>
        <v>31.319999999999993</v>
      </c>
      <c r="T1119" s="14">
        <f>200-SUM(Table3[[#This Row],[W - LIGHT]:[W - VIGOROUS]])</f>
        <v>74.72</v>
      </c>
      <c r="U1119" s="14">
        <f>'PIVOT TABLES'!$W$26</f>
        <v>55.895999999999994</v>
      </c>
      <c r="V1119" s="14">
        <f>'PIVOT TABLES'!$W$27-'PIVOT TABLES'!$W$26</f>
        <v>27.948</v>
      </c>
      <c r="W1119" s="14">
        <f>'PIVOT TABLES'!$W$28-'PIVOT TABLES'!$W$27</f>
        <v>27.947999999999993</v>
      </c>
      <c r="X1119" s="14">
        <f>200-SUM(Table3[[#This Row],[S - LIGHT]:[S - VIGOROUS]])</f>
        <v>88.208000000000013</v>
      </c>
    </row>
    <row r="1120" spans="1:24" x14ac:dyDescent="0.25">
      <c r="A1120" s="44" t="s">
        <v>66</v>
      </c>
      <c r="B1120" s="13" t="str">
        <f t="shared" si="17"/>
        <v>Striker</v>
      </c>
      <c r="C1120" s="7">
        <v>45363.421736111108</v>
      </c>
      <c r="D1120" s="14">
        <v>3187</v>
      </c>
      <c r="E1120" s="14">
        <v>0</v>
      </c>
      <c r="F1120" s="14">
        <v>12</v>
      </c>
      <c r="G1120" s="14">
        <v>10</v>
      </c>
      <c r="H1120" s="14">
        <v>32.549999999999997</v>
      </c>
      <c r="I1120" s="14">
        <f>'PIVOT TABLES'!$B$26</f>
        <v>60.283999999999999</v>
      </c>
      <c r="J1120" s="14">
        <f>'PIVOT TABLES'!$B$27-'PIVOT TABLES'!$B$26</f>
        <v>30.142000000000003</v>
      </c>
      <c r="K1120" s="14">
        <f>'PIVOT TABLES'!$B$28-'PIVOT TABLES'!$B$27</f>
        <v>30.141999999999996</v>
      </c>
      <c r="L1120" s="14">
        <f>200-SUM(Table3[[#This Row],[D - LIGHT]:[D - VIGOROUS]])</f>
        <v>79.432000000000002</v>
      </c>
      <c r="M1120" s="14">
        <f>'PIVOT TABLES'!$I$26</f>
        <v>65.603999999999999</v>
      </c>
      <c r="N1120" s="14">
        <f>'PIVOT TABLES'!$I$27-'PIVOT TABLES'!$I$26</f>
        <v>32.802000000000007</v>
      </c>
      <c r="O1120" s="14">
        <f>'PIVOT TABLES'!$I$28-'PIVOT TABLES'!$I$27</f>
        <v>32.801999999999992</v>
      </c>
      <c r="P1120" s="14">
        <f>200-SUM(Table3[[#This Row],[M - LIGHT]:[M - VIGOROUS]])</f>
        <v>68.792000000000002</v>
      </c>
      <c r="Q1120" s="14">
        <f>'PIVOT TABLES'!$P$26</f>
        <v>62.64</v>
      </c>
      <c r="R1120" s="14">
        <f>'PIVOT TABLES'!$P$27-'PIVOT TABLES'!$P$26</f>
        <v>31.320000000000007</v>
      </c>
      <c r="S1120" s="14">
        <f>'PIVOT TABLES'!$P$28-'PIVOT TABLES'!$P$27</f>
        <v>31.319999999999993</v>
      </c>
      <c r="T1120" s="14">
        <f>200-SUM(Table3[[#This Row],[W - LIGHT]:[W - VIGOROUS]])</f>
        <v>74.72</v>
      </c>
      <c r="U1120" s="14">
        <f>'PIVOT TABLES'!$W$26</f>
        <v>55.895999999999994</v>
      </c>
      <c r="V1120" s="14">
        <f>'PIVOT TABLES'!$W$27-'PIVOT TABLES'!$W$26</f>
        <v>27.948</v>
      </c>
      <c r="W1120" s="14">
        <f>'PIVOT TABLES'!$W$28-'PIVOT TABLES'!$W$27</f>
        <v>27.947999999999993</v>
      </c>
      <c r="X1120" s="14">
        <f>200-SUM(Table3[[#This Row],[S - LIGHT]:[S - VIGOROUS]])</f>
        <v>88.208000000000013</v>
      </c>
    </row>
    <row r="1121" spans="1:24" x14ac:dyDescent="0.25">
      <c r="A1121" s="44" t="s">
        <v>8</v>
      </c>
      <c r="B1121" s="13" t="str">
        <f t="shared" si="17"/>
        <v>Striker</v>
      </c>
      <c r="C1121" s="7">
        <v>45363.421736111108</v>
      </c>
      <c r="D1121" s="14">
        <v>3303</v>
      </c>
      <c r="E1121" s="14">
        <v>9</v>
      </c>
      <c r="F1121" s="14">
        <v>5</v>
      </c>
      <c r="G1121" s="14">
        <v>5</v>
      </c>
      <c r="H1121" s="14">
        <v>33.6</v>
      </c>
      <c r="I1121" s="14">
        <f>'PIVOT TABLES'!$B$26</f>
        <v>60.283999999999999</v>
      </c>
      <c r="J1121" s="14">
        <f>'PIVOT TABLES'!$B$27-'PIVOT TABLES'!$B$26</f>
        <v>30.142000000000003</v>
      </c>
      <c r="K1121" s="14">
        <f>'PIVOT TABLES'!$B$28-'PIVOT TABLES'!$B$27</f>
        <v>30.141999999999996</v>
      </c>
      <c r="L1121" s="14">
        <f>200-SUM(Table3[[#This Row],[D - LIGHT]:[D - VIGOROUS]])</f>
        <v>79.432000000000002</v>
      </c>
      <c r="M1121" s="14">
        <f>'PIVOT TABLES'!$I$26</f>
        <v>65.603999999999999</v>
      </c>
      <c r="N1121" s="14">
        <f>'PIVOT TABLES'!$I$27-'PIVOT TABLES'!$I$26</f>
        <v>32.802000000000007</v>
      </c>
      <c r="O1121" s="14">
        <f>'PIVOT TABLES'!$I$28-'PIVOT TABLES'!$I$27</f>
        <v>32.801999999999992</v>
      </c>
      <c r="P1121" s="14">
        <f>200-SUM(Table3[[#This Row],[M - LIGHT]:[M - VIGOROUS]])</f>
        <v>68.792000000000002</v>
      </c>
      <c r="Q1121" s="14">
        <f>'PIVOT TABLES'!$P$26</f>
        <v>62.64</v>
      </c>
      <c r="R1121" s="14">
        <f>'PIVOT TABLES'!$P$27-'PIVOT TABLES'!$P$26</f>
        <v>31.320000000000007</v>
      </c>
      <c r="S1121" s="14">
        <f>'PIVOT TABLES'!$P$28-'PIVOT TABLES'!$P$27</f>
        <v>31.319999999999993</v>
      </c>
      <c r="T1121" s="14">
        <f>200-SUM(Table3[[#This Row],[W - LIGHT]:[W - VIGOROUS]])</f>
        <v>74.72</v>
      </c>
      <c r="U1121" s="14">
        <f>'PIVOT TABLES'!$W$26</f>
        <v>55.895999999999994</v>
      </c>
      <c r="V1121" s="14">
        <f>'PIVOT TABLES'!$W$27-'PIVOT TABLES'!$W$26</f>
        <v>27.948</v>
      </c>
      <c r="W1121" s="14">
        <f>'PIVOT TABLES'!$W$28-'PIVOT TABLES'!$W$27</f>
        <v>27.947999999999993</v>
      </c>
      <c r="X1121" s="14">
        <f>200-SUM(Table3[[#This Row],[S - LIGHT]:[S - VIGOROUS]])</f>
        <v>88.208000000000013</v>
      </c>
    </row>
    <row r="1122" spans="1:24" x14ac:dyDescent="0.25">
      <c r="A1122" s="44" t="s">
        <v>67</v>
      </c>
      <c r="B1122" s="13" t="str">
        <f t="shared" si="17"/>
        <v>Midfielder</v>
      </c>
      <c r="C1122" s="7">
        <v>45363.421736111108</v>
      </c>
      <c r="D1122" s="14">
        <v>3402</v>
      </c>
      <c r="E1122" s="14">
        <v>34</v>
      </c>
      <c r="F1122" s="14">
        <v>12</v>
      </c>
      <c r="G1122" s="14">
        <v>12</v>
      </c>
      <c r="H1122" s="14">
        <v>35.76</v>
      </c>
      <c r="I1122" s="14">
        <f>'PIVOT TABLES'!$B$26</f>
        <v>60.283999999999999</v>
      </c>
      <c r="J1122" s="14">
        <f>'PIVOT TABLES'!$B$27-'PIVOT TABLES'!$B$26</f>
        <v>30.142000000000003</v>
      </c>
      <c r="K1122" s="14">
        <f>'PIVOT TABLES'!$B$28-'PIVOT TABLES'!$B$27</f>
        <v>30.141999999999996</v>
      </c>
      <c r="L1122" s="14">
        <f>200-SUM(Table3[[#This Row],[D - LIGHT]:[D - VIGOROUS]])</f>
        <v>79.432000000000002</v>
      </c>
      <c r="M1122" s="14">
        <f>'PIVOT TABLES'!$I$26</f>
        <v>65.603999999999999</v>
      </c>
      <c r="N1122" s="14">
        <f>'PIVOT TABLES'!$I$27-'PIVOT TABLES'!$I$26</f>
        <v>32.802000000000007</v>
      </c>
      <c r="O1122" s="14">
        <f>'PIVOT TABLES'!$I$28-'PIVOT TABLES'!$I$27</f>
        <v>32.801999999999992</v>
      </c>
      <c r="P1122" s="14">
        <f>200-SUM(Table3[[#This Row],[M - LIGHT]:[M - VIGOROUS]])</f>
        <v>68.792000000000002</v>
      </c>
      <c r="Q1122" s="14">
        <f>'PIVOT TABLES'!$P$26</f>
        <v>62.64</v>
      </c>
      <c r="R1122" s="14">
        <f>'PIVOT TABLES'!$P$27-'PIVOT TABLES'!$P$26</f>
        <v>31.320000000000007</v>
      </c>
      <c r="S1122" s="14">
        <f>'PIVOT TABLES'!$P$28-'PIVOT TABLES'!$P$27</f>
        <v>31.319999999999993</v>
      </c>
      <c r="T1122" s="14">
        <f>200-SUM(Table3[[#This Row],[W - LIGHT]:[W - VIGOROUS]])</f>
        <v>74.72</v>
      </c>
      <c r="U1122" s="14">
        <f>'PIVOT TABLES'!$W$26</f>
        <v>55.895999999999994</v>
      </c>
      <c r="V1122" s="14">
        <f>'PIVOT TABLES'!$W$27-'PIVOT TABLES'!$W$26</f>
        <v>27.948</v>
      </c>
      <c r="W1122" s="14">
        <f>'PIVOT TABLES'!$W$28-'PIVOT TABLES'!$W$27</f>
        <v>27.947999999999993</v>
      </c>
      <c r="X1122" s="14">
        <f>200-SUM(Table3[[#This Row],[S - LIGHT]:[S - VIGOROUS]])</f>
        <v>88.208000000000013</v>
      </c>
    </row>
    <row r="1123" spans="1:24" x14ac:dyDescent="0.25">
      <c r="A1123" s="44" t="s">
        <v>9</v>
      </c>
      <c r="B1123" s="13" t="str">
        <f t="shared" si="17"/>
        <v>Striker</v>
      </c>
      <c r="C1123" s="7">
        <v>45363.421736111108</v>
      </c>
      <c r="D1123" s="14">
        <v>3723</v>
      </c>
      <c r="E1123" s="14">
        <v>18</v>
      </c>
      <c r="F1123" s="14">
        <v>13</v>
      </c>
      <c r="G1123" s="14">
        <v>7</v>
      </c>
      <c r="H1123" s="14">
        <v>38.43</v>
      </c>
      <c r="I1123" s="14">
        <f>'PIVOT TABLES'!$B$26</f>
        <v>60.283999999999999</v>
      </c>
      <c r="J1123" s="14">
        <f>'PIVOT TABLES'!$B$27-'PIVOT TABLES'!$B$26</f>
        <v>30.142000000000003</v>
      </c>
      <c r="K1123" s="14">
        <f>'PIVOT TABLES'!$B$28-'PIVOT TABLES'!$B$27</f>
        <v>30.141999999999996</v>
      </c>
      <c r="L1123" s="14">
        <f>200-SUM(Table3[[#This Row],[D - LIGHT]:[D - VIGOROUS]])</f>
        <v>79.432000000000002</v>
      </c>
      <c r="M1123" s="14">
        <f>'PIVOT TABLES'!$I$26</f>
        <v>65.603999999999999</v>
      </c>
      <c r="N1123" s="14">
        <f>'PIVOT TABLES'!$I$27-'PIVOT TABLES'!$I$26</f>
        <v>32.802000000000007</v>
      </c>
      <c r="O1123" s="14">
        <f>'PIVOT TABLES'!$I$28-'PIVOT TABLES'!$I$27</f>
        <v>32.801999999999992</v>
      </c>
      <c r="P1123" s="14">
        <f>200-SUM(Table3[[#This Row],[M - LIGHT]:[M - VIGOROUS]])</f>
        <v>68.792000000000002</v>
      </c>
      <c r="Q1123" s="14">
        <f>'PIVOT TABLES'!$P$26</f>
        <v>62.64</v>
      </c>
      <c r="R1123" s="14">
        <f>'PIVOT TABLES'!$P$27-'PIVOT TABLES'!$P$26</f>
        <v>31.320000000000007</v>
      </c>
      <c r="S1123" s="14">
        <f>'PIVOT TABLES'!$P$28-'PIVOT TABLES'!$P$27</f>
        <v>31.319999999999993</v>
      </c>
      <c r="T1123" s="14">
        <f>200-SUM(Table3[[#This Row],[W - LIGHT]:[W - VIGOROUS]])</f>
        <v>74.72</v>
      </c>
      <c r="U1123" s="14">
        <f>'PIVOT TABLES'!$W$26</f>
        <v>55.895999999999994</v>
      </c>
      <c r="V1123" s="14">
        <f>'PIVOT TABLES'!$W$27-'PIVOT TABLES'!$W$26</f>
        <v>27.948</v>
      </c>
      <c r="W1123" s="14">
        <f>'PIVOT TABLES'!$W$28-'PIVOT TABLES'!$W$27</f>
        <v>27.947999999999993</v>
      </c>
      <c r="X1123" s="14">
        <f>200-SUM(Table3[[#This Row],[S - LIGHT]:[S - VIGOROUS]])</f>
        <v>88.208000000000013</v>
      </c>
    </row>
    <row r="1124" spans="1:24" x14ac:dyDescent="0.25">
      <c r="A1124" s="44" t="s">
        <v>69</v>
      </c>
      <c r="B1124" s="13" t="str">
        <f t="shared" si="17"/>
        <v>Midfielder</v>
      </c>
      <c r="C1124" s="7">
        <v>45363.421736111108</v>
      </c>
      <c r="D1124" s="14">
        <v>3293</v>
      </c>
      <c r="E1124" s="14">
        <v>60</v>
      </c>
      <c r="F1124" s="14">
        <v>4</v>
      </c>
      <c r="G1124" s="14">
        <v>5</v>
      </c>
      <c r="H1124" s="14">
        <v>34.99</v>
      </c>
      <c r="I1124" s="14">
        <f>'PIVOT TABLES'!$B$26</f>
        <v>60.283999999999999</v>
      </c>
      <c r="J1124" s="14">
        <f>'PIVOT TABLES'!$B$27-'PIVOT TABLES'!$B$26</f>
        <v>30.142000000000003</v>
      </c>
      <c r="K1124" s="14">
        <f>'PIVOT TABLES'!$B$28-'PIVOT TABLES'!$B$27</f>
        <v>30.141999999999996</v>
      </c>
      <c r="L1124" s="14">
        <f>200-SUM(Table3[[#This Row],[D - LIGHT]:[D - VIGOROUS]])</f>
        <v>79.432000000000002</v>
      </c>
      <c r="M1124" s="14">
        <f>'PIVOT TABLES'!$I$26</f>
        <v>65.603999999999999</v>
      </c>
      <c r="N1124" s="14">
        <f>'PIVOT TABLES'!$I$27-'PIVOT TABLES'!$I$26</f>
        <v>32.802000000000007</v>
      </c>
      <c r="O1124" s="14">
        <f>'PIVOT TABLES'!$I$28-'PIVOT TABLES'!$I$27</f>
        <v>32.801999999999992</v>
      </c>
      <c r="P1124" s="14">
        <f>200-SUM(Table3[[#This Row],[M - LIGHT]:[M - VIGOROUS]])</f>
        <v>68.792000000000002</v>
      </c>
      <c r="Q1124" s="14">
        <f>'PIVOT TABLES'!$P$26</f>
        <v>62.64</v>
      </c>
      <c r="R1124" s="14">
        <f>'PIVOT TABLES'!$P$27-'PIVOT TABLES'!$P$26</f>
        <v>31.320000000000007</v>
      </c>
      <c r="S1124" s="14">
        <f>'PIVOT TABLES'!$P$28-'PIVOT TABLES'!$P$27</f>
        <v>31.319999999999993</v>
      </c>
      <c r="T1124" s="14">
        <f>200-SUM(Table3[[#This Row],[W - LIGHT]:[W - VIGOROUS]])</f>
        <v>74.72</v>
      </c>
      <c r="U1124" s="14">
        <f>'PIVOT TABLES'!$W$26</f>
        <v>55.895999999999994</v>
      </c>
      <c r="V1124" s="14">
        <f>'PIVOT TABLES'!$W$27-'PIVOT TABLES'!$W$26</f>
        <v>27.948</v>
      </c>
      <c r="W1124" s="14">
        <f>'PIVOT TABLES'!$W$28-'PIVOT TABLES'!$W$27</f>
        <v>27.947999999999993</v>
      </c>
      <c r="X1124" s="14">
        <f>200-SUM(Table3[[#This Row],[S - LIGHT]:[S - VIGOROUS]])</f>
        <v>88.208000000000013</v>
      </c>
    </row>
    <row r="1125" spans="1:24" x14ac:dyDescent="0.25">
      <c r="A1125" s="44" t="s">
        <v>70</v>
      </c>
      <c r="B1125" s="13" t="str">
        <f t="shared" si="17"/>
        <v>Winger</v>
      </c>
      <c r="C1125" s="7">
        <v>45364.764166666668</v>
      </c>
      <c r="D1125" s="14">
        <v>11776</v>
      </c>
      <c r="E1125" s="14">
        <v>338</v>
      </c>
      <c r="F1125" s="14">
        <v>60</v>
      </c>
      <c r="G1125" s="14">
        <v>45</v>
      </c>
      <c r="H1125" s="14">
        <v>131.19999999999999</v>
      </c>
      <c r="I1125" s="14">
        <f>'PIVOT TABLES'!$B$26</f>
        <v>60.283999999999999</v>
      </c>
      <c r="J1125" s="14">
        <f>'PIVOT TABLES'!$B$27-'PIVOT TABLES'!$B$26</f>
        <v>30.142000000000003</v>
      </c>
      <c r="K1125" s="14">
        <f>'PIVOT TABLES'!$B$28-'PIVOT TABLES'!$B$27</f>
        <v>30.141999999999996</v>
      </c>
      <c r="L1125" s="14">
        <f>200-SUM(Table3[[#This Row],[D - LIGHT]:[D - VIGOROUS]])</f>
        <v>79.432000000000002</v>
      </c>
      <c r="M1125" s="14">
        <f>'PIVOT TABLES'!$I$26</f>
        <v>65.603999999999999</v>
      </c>
      <c r="N1125" s="14">
        <f>'PIVOT TABLES'!$I$27-'PIVOT TABLES'!$I$26</f>
        <v>32.802000000000007</v>
      </c>
      <c r="O1125" s="14">
        <f>'PIVOT TABLES'!$I$28-'PIVOT TABLES'!$I$27</f>
        <v>32.801999999999992</v>
      </c>
      <c r="P1125" s="14">
        <f>200-SUM(Table3[[#This Row],[M - LIGHT]:[M - VIGOROUS]])</f>
        <v>68.792000000000002</v>
      </c>
      <c r="Q1125" s="14">
        <f>'PIVOT TABLES'!$P$26</f>
        <v>62.64</v>
      </c>
      <c r="R1125" s="14">
        <f>'PIVOT TABLES'!$P$27-'PIVOT TABLES'!$P$26</f>
        <v>31.320000000000007</v>
      </c>
      <c r="S1125" s="14">
        <f>'PIVOT TABLES'!$P$28-'PIVOT TABLES'!$P$27</f>
        <v>31.319999999999993</v>
      </c>
      <c r="T1125" s="14">
        <f>200-SUM(Table3[[#This Row],[W - LIGHT]:[W - VIGOROUS]])</f>
        <v>74.72</v>
      </c>
      <c r="U1125" s="14">
        <f>'PIVOT TABLES'!$W$26</f>
        <v>55.895999999999994</v>
      </c>
      <c r="V1125" s="14">
        <f>'PIVOT TABLES'!$W$27-'PIVOT TABLES'!$W$26</f>
        <v>27.948</v>
      </c>
      <c r="W1125" s="14">
        <f>'PIVOT TABLES'!$W$28-'PIVOT TABLES'!$W$27</f>
        <v>27.947999999999993</v>
      </c>
      <c r="X1125" s="14">
        <f>200-SUM(Table3[[#This Row],[S - LIGHT]:[S - VIGOROUS]])</f>
        <v>88.208000000000013</v>
      </c>
    </row>
    <row r="1126" spans="1:24" x14ac:dyDescent="0.25">
      <c r="A1126" s="44" t="s">
        <v>53</v>
      </c>
      <c r="B1126" s="13" t="str">
        <f t="shared" si="17"/>
        <v>Midfielder</v>
      </c>
      <c r="C1126" s="7">
        <v>45364.764166666668</v>
      </c>
      <c r="D1126" s="14">
        <v>3974</v>
      </c>
      <c r="E1126" s="14">
        <v>0</v>
      </c>
      <c r="F1126" s="14">
        <v>10</v>
      </c>
      <c r="G1126" s="14">
        <v>11</v>
      </c>
      <c r="H1126" s="14">
        <v>40.36</v>
      </c>
      <c r="I1126" s="14">
        <f>'PIVOT TABLES'!$B$26</f>
        <v>60.283999999999999</v>
      </c>
      <c r="J1126" s="14">
        <f>'PIVOT TABLES'!$B$27-'PIVOT TABLES'!$B$26</f>
        <v>30.142000000000003</v>
      </c>
      <c r="K1126" s="14">
        <f>'PIVOT TABLES'!$B$28-'PIVOT TABLES'!$B$27</f>
        <v>30.141999999999996</v>
      </c>
      <c r="L1126" s="14">
        <f>200-SUM(Table3[[#This Row],[D - LIGHT]:[D - VIGOROUS]])</f>
        <v>79.432000000000002</v>
      </c>
      <c r="M1126" s="14">
        <f>'PIVOT TABLES'!$I$26</f>
        <v>65.603999999999999</v>
      </c>
      <c r="N1126" s="14">
        <f>'PIVOT TABLES'!$I$27-'PIVOT TABLES'!$I$26</f>
        <v>32.802000000000007</v>
      </c>
      <c r="O1126" s="14">
        <f>'PIVOT TABLES'!$I$28-'PIVOT TABLES'!$I$27</f>
        <v>32.801999999999992</v>
      </c>
      <c r="P1126" s="14">
        <f>200-SUM(Table3[[#This Row],[M - LIGHT]:[M - VIGOROUS]])</f>
        <v>68.792000000000002</v>
      </c>
      <c r="Q1126" s="14">
        <f>'PIVOT TABLES'!$P$26</f>
        <v>62.64</v>
      </c>
      <c r="R1126" s="14">
        <f>'PIVOT TABLES'!$P$27-'PIVOT TABLES'!$P$26</f>
        <v>31.320000000000007</v>
      </c>
      <c r="S1126" s="14">
        <f>'PIVOT TABLES'!$P$28-'PIVOT TABLES'!$P$27</f>
        <v>31.319999999999993</v>
      </c>
      <c r="T1126" s="14">
        <f>200-SUM(Table3[[#This Row],[W - LIGHT]:[W - VIGOROUS]])</f>
        <v>74.72</v>
      </c>
      <c r="U1126" s="14">
        <f>'PIVOT TABLES'!$W$26</f>
        <v>55.895999999999994</v>
      </c>
      <c r="V1126" s="14">
        <f>'PIVOT TABLES'!$W$27-'PIVOT TABLES'!$W$26</f>
        <v>27.948</v>
      </c>
      <c r="W1126" s="14">
        <f>'PIVOT TABLES'!$W$28-'PIVOT TABLES'!$W$27</f>
        <v>27.947999999999993</v>
      </c>
      <c r="X1126" s="14">
        <f>200-SUM(Table3[[#This Row],[S - LIGHT]:[S - VIGOROUS]])</f>
        <v>88.208000000000013</v>
      </c>
    </row>
    <row r="1127" spans="1:24" x14ac:dyDescent="0.25">
      <c r="A1127" s="44" t="s">
        <v>54</v>
      </c>
      <c r="B1127" s="13" t="str">
        <f t="shared" si="17"/>
        <v>Striker</v>
      </c>
      <c r="C1127" s="7">
        <v>45364.764166666668</v>
      </c>
      <c r="D1127" s="14">
        <v>3759</v>
      </c>
      <c r="E1127" s="14">
        <v>24</v>
      </c>
      <c r="F1127" s="14">
        <v>3</v>
      </c>
      <c r="G1127" s="14">
        <v>8</v>
      </c>
      <c r="H1127" s="14">
        <v>38.590000000000003</v>
      </c>
      <c r="I1127" s="14">
        <f>'PIVOT TABLES'!$B$26</f>
        <v>60.283999999999999</v>
      </c>
      <c r="J1127" s="14">
        <f>'PIVOT TABLES'!$B$27-'PIVOT TABLES'!$B$26</f>
        <v>30.142000000000003</v>
      </c>
      <c r="K1127" s="14">
        <f>'PIVOT TABLES'!$B$28-'PIVOT TABLES'!$B$27</f>
        <v>30.141999999999996</v>
      </c>
      <c r="L1127" s="14">
        <f>200-SUM(Table3[[#This Row],[D - LIGHT]:[D - VIGOROUS]])</f>
        <v>79.432000000000002</v>
      </c>
      <c r="M1127" s="14">
        <f>'PIVOT TABLES'!$I$26</f>
        <v>65.603999999999999</v>
      </c>
      <c r="N1127" s="14">
        <f>'PIVOT TABLES'!$I$27-'PIVOT TABLES'!$I$26</f>
        <v>32.802000000000007</v>
      </c>
      <c r="O1127" s="14">
        <f>'PIVOT TABLES'!$I$28-'PIVOT TABLES'!$I$27</f>
        <v>32.801999999999992</v>
      </c>
      <c r="P1127" s="14">
        <f>200-SUM(Table3[[#This Row],[M - LIGHT]:[M - VIGOROUS]])</f>
        <v>68.792000000000002</v>
      </c>
      <c r="Q1127" s="14">
        <f>'PIVOT TABLES'!$P$26</f>
        <v>62.64</v>
      </c>
      <c r="R1127" s="14">
        <f>'PIVOT TABLES'!$P$27-'PIVOT TABLES'!$P$26</f>
        <v>31.320000000000007</v>
      </c>
      <c r="S1127" s="14">
        <f>'PIVOT TABLES'!$P$28-'PIVOT TABLES'!$P$27</f>
        <v>31.319999999999993</v>
      </c>
      <c r="T1127" s="14">
        <f>200-SUM(Table3[[#This Row],[W - LIGHT]:[W - VIGOROUS]])</f>
        <v>74.72</v>
      </c>
      <c r="U1127" s="14">
        <f>'PIVOT TABLES'!$W$26</f>
        <v>55.895999999999994</v>
      </c>
      <c r="V1127" s="14">
        <f>'PIVOT TABLES'!$W$27-'PIVOT TABLES'!$W$26</f>
        <v>27.948</v>
      </c>
      <c r="W1127" s="14">
        <f>'PIVOT TABLES'!$W$28-'PIVOT TABLES'!$W$27</f>
        <v>27.947999999999993</v>
      </c>
      <c r="X1127" s="14">
        <f>200-SUM(Table3[[#This Row],[S - LIGHT]:[S - VIGOROUS]])</f>
        <v>88.208000000000013</v>
      </c>
    </row>
    <row r="1128" spans="1:24" x14ac:dyDescent="0.25">
      <c r="A1128" s="44" t="s">
        <v>1</v>
      </c>
      <c r="B1128" s="13" t="str">
        <f t="shared" si="17"/>
        <v>Defender</v>
      </c>
      <c r="C1128" s="7">
        <v>45364.764166666668</v>
      </c>
      <c r="D1128" s="14">
        <v>10123</v>
      </c>
      <c r="E1128" s="14">
        <v>47</v>
      </c>
      <c r="F1128" s="14">
        <v>41</v>
      </c>
      <c r="G1128" s="14">
        <v>31</v>
      </c>
      <c r="H1128" s="14">
        <v>104.9</v>
      </c>
      <c r="I1128" s="14">
        <f>'PIVOT TABLES'!$B$26</f>
        <v>60.283999999999999</v>
      </c>
      <c r="J1128" s="14">
        <f>'PIVOT TABLES'!$B$27-'PIVOT TABLES'!$B$26</f>
        <v>30.142000000000003</v>
      </c>
      <c r="K1128" s="14">
        <f>'PIVOT TABLES'!$B$28-'PIVOT TABLES'!$B$27</f>
        <v>30.141999999999996</v>
      </c>
      <c r="L1128" s="14">
        <f>200-SUM(Table3[[#This Row],[D - LIGHT]:[D - VIGOROUS]])</f>
        <v>79.432000000000002</v>
      </c>
      <c r="M1128" s="14">
        <f>'PIVOT TABLES'!$I$26</f>
        <v>65.603999999999999</v>
      </c>
      <c r="N1128" s="14">
        <f>'PIVOT TABLES'!$I$27-'PIVOT TABLES'!$I$26</f>
        <v>32.802000000000007</v>
      </c>
      <c r="O1128" s="14">
        <f>'PIVOT TABLES'!$I$28-'PIVOT TABLES'!$I$27</f>
        <v>32.801999999999992</v>
      </c>
      <c r="P1128" s="14">
        <f>200-SUM(Table3[[#This Row],[M - LIGHT]:[M - VIGOROUS]])</f>
        <v>68.792000000000002</v>
      </c>
      <c r="Q1128" s="14">
        <f>'PIVOT TABLES'!$P$26</f>
        <v>62.64</v>
      </c>
      <c r="R1128" s="14">
        <f>'PIVOT TABLES'!$P$27-'PIVOT TABLES'!$P$26</f>
        <v>31.320000000000007</v>
      </c>
      <c r="S1128" s="14">
        <f>'PIVOT TABLES'!$P$28-'PIVOT TABLES'!$P$27</f>
        <v>31.319999999999993</v>
      </c>
      <c r="T1128" s="14">
        <f>200-SUM(Table3[[#This Row],[W - LIGHT]:[W - VIGOROUS]])</f>
        <v>74.72</v>
      </c>
      <c r="U1128" s="14">
        <f>'PIVOT TABLES'!$W$26</f>
        <v>55.895999999999994</v>
      </c>
      <c r="V1128" s="14">
        <f>'PIVOT TABLES'!$W$27-'PIVOT TABLES'!$W$26</f>
        <v>27.948</v>
      </c>
      <c r="W1128" s="14">
        <f>'PIVOT TABLES'!$W$28-'PIVOT TABLES'!$W$27</f>
        <v>27.947999999999993</v>
      </c>
      <c r="X1128" s="14">
        <f>200-SUM(Table3[[#This Row],[S - LIGHT]:[S - VIGOROUS]])</f>
        <v>88.208000000000013</v>
      </c>
    </row>
    <row r="1129" spans="1:24" x14ac:dyDescent="0.25">
      <c r="A1129" s="44" t="s">
        <v>56</v>
      </c>
      <c r="B1129" s="13" t="str">
        <f t="shared" si="17"/>
        <v>Midfielder</v>
      </c>
      <c r="C1129" s="7">
        <v>45364.764166666668</v>
      </c>
      <c r="D1129" s="14">
        <v>7508</v>
      </c>
      <c r="E1129" s="14">
        <v>39</v>
      </c>
      <c r="F1129" s="14">
        <v>32</v>
      </c>
      <c r="G1129" s="14">
        <v>9</v>
      </c>
      <c r="H1129" s="14">
        <v>77.709999999999994</v>
      </c>
      <c r="I1129" s="14">
        <f>'PIVOT TABLES'!$B$26</f>
        <v>60.283999999999999</v>
      </c>
      <c r="J1129" s="14">
        <f>'PIVOT TABLES'!$B$27-'PIVOT TABLES'!$B$26</f>
        <v>30.142000000000003</v>
      </c>
      <c r="K1129" s="14">
        <f>'PIVOT TABLES'!$B$28-'PIVOT TABLES'!$B$27</f>
        <v>30.141999999999996</v>
      </c>
      <c r="L1129" s="14">
        <f>200-SUM(Table3[[#This Row],[D - LIGHT]:[D - VIGOROUS]])</f>
        <v>79.432000000000002</v>
      </c>
      <c r="M1129" s="14">
        <f>'PIVOT TABLES'!$I$26</f>
        <v>65.603999999999999</v>
      </c>
      <c r="N1129" s="14">
        <f>'PIVOT TABLES'!$I$27-'PIVOT TABLES'!$I$26</f>
        <v>32.802000000000007</v>
      </c>
      <c r="O1129" s="14">
        <f>'PIVOT TABLES'!$I$28-'PIVOT TABLES'!$I$27</f>
        <v>32.801999999999992</v>
      </c>
      <c r="P1129" s="14">
        <f>200-SUM(Table3[[#This Row],[M - LIGHT]:[M - VIGOROUS]])</f>
        <v>68.792000000000002</v>
      </c>
      <c r="Q1129" s="14">
        <f>'PIVOT TABLES'!$P$26</f>
        <v>62.64</v>
      </c>
      <c r="R1129" s="14">
        <f>'PIVOT TABLES'!$P$27-'PIVOT TABLES'!$P$26</f>
        <v>31.320000000000007</v>
      </c>
      <c r="S1129" s="14">
        <f>'PIVOT TABLES'!$P$28-'PIVOT TABLES'!$P$27</f>
        <v>31.319999999999993</v>
      </c>
      <c r="T1129" s="14">
        <f>200-SUM(Table3[[#This Row],[W - LIGHT]:[W - VIGOROUS]])</f>
        <v>74.72</v>
      </c>
      <c r="U1129" s="14">
        <f>'PIVOT TABLES'!$W$26</f>
        <v>55.895999999999994</v>
      </c>
      <c r="V1129" s="14">
        <f>'PIVOT TABLES'!$W$27-'PIVOT TABLES'!$W$26</f>
        <v>27.948</v>
      </c>
      <c r="W1129" s="14">
        <f>'PIVOT TABLES'!$W$28-'PIVOT TABLES'!$W$27</f>
        <v>27.947999999999993</v>
      </c>
      <c r="X1129" s="14">
        <f>200-SUM(Table3[[#This Row],[S - LIGHT]:[S - VIGOROUS]])</f>
        <v>88.208000000000013</v>
      </c>
    </row>
    <row r="1130" spans="1:24" x14ac:dyDescent="0.25">
      <c r="A1130" s="44" t="s">
        <v>2</v>
      </c>
      <c r="B1130" s="13" t="str">
        <f t="shared" si="17"/>
        <v>Defender</v>
      </c>
      <c r="C1130" s="7">
        <v>45364.764166666668</v>
      </c>
      <c r="D1130" s="14">
        <v>6996</v>
      </c>
      <c r="E1130" s="14">
        <v>211</v>
      </c>
      <c r="F1130" s="14">
        <v>30</v>
      </c>
      <c r="G1130" s="14">
        <v>23</v>
      </c>
      <c r="H1130" s="14">
        <v>77.95</v>
      </c>
      <c r="I1130" s="14">
        <f>'PIVOT TABLES'!$B$26</f>
        <v>60.283999999999999</v>
      </c>
      <c r="J1130" s="14">
        <f>'PIVOT TABLES'!$B$27-'PIVOT TABLES'!$B$26</f>
        <v>30.142000000000003</v>
      </c>
      <c r="K1130" s="14">
        <f>'PIVOT TABLES'!$B$28-'PIVOT TABLES'!$B$27</f>
        <v>30.141999999999996</v>
      </c>
      <c r="L1130" s="14">
        <f>200-SUM(Table3[[#This Row],[D - LIGHT]:[D - VIGOROUS]])</f>
        <v>79.432000000000002</v>
      </c>
      <c r="M1130" s="14">
        <f>'PIVOT TABLES'!$I$26</f>
        <v>65.603999999999999</v>
      </c>
      <c r="N1130" s="14">
        <f>'PIVOT TABLES'!$I$27-'PIVOT TABLES'!$I$26</f>
        <v>32.802000000000007</v>
      </c>
      <c r="O1130" s="14">
        <f>'PIVOT TABLES'!$I$28-'PIVOT TABLES'!$I$27</f>
        <v>32.801999999999992</v>
      </c>
      <c r="P1130" s="14">
        <f>200-SUM(Table3[[#This Row],[M - LIGHT]:[M - VIGOROUS]])</f>
        <v>68.792000000000002</v>
      </c>
      <c r="Q1130" s="14">
        <f>'PIVOT TABLES'!$P$26</f>
        <v>62.64</v>
      </c>
      <c r="R1130" s="14">
        <f>'PIVOT TABLES'!$P$27-'PIVOT TABLES'!$P$26</f>
        <v>31.320000000000007</v>
      </c>
      <c r="S1130" s="14">
        <f>'PIVOT TABLES'!$P$28-'PIVOT TABLES'!$P$27</f>
        <v>31.319999999999993</v>
      </c>
      <c r="T1130" s="14">
        <f>200-SUM(Table3[[#This Row],[W - LIGHT]:[W - VIGOROUS]])</f>
        <v>74.72</v>
      </c>
      <c r="U1130" s="14">
        <f>'PIVOT TABLES'!$W$26</f>
        <v>55.895999999999994</v>
      </c>
      <c r="V1130" s="14">
        <f>'PIVOT TABLES'!$W$27-'PIVOT TABLES'!$W$26</f>
        <v>27.948</v>
      </c>
      <c r="W1130" s="14">
        <f>'PIVOT TABLES'!$W$28-'PIVOT TABLES'!$W$27</f>
        <v>27.947999999999993</v>
      </c>
      <c r="X1130" s="14">
        <f>200-SUM(Table3[[#This Row],[S - LIGHT]:[S - VIGOROUS]])</f>
        <v>88.208000000000013</v>
      </c>
    </row>
    <row r="1131" spans="1:24" x14ac:dyDescent="0.25">
      <c r="A1131" s="44" t="s">
        <v>58</v>
      </c>
      <c r="B1131" s="13" t="str">
        <f t="shared" si="17"/>
        <v>Defender</v>
      </c>
      <c r="C1131" s="7">
        <v>45364.764166666668</v>
      </c>
      <c r="D1131" s="14">
        <v>11448</v>
      </c>
      <c r="E1131" s="14">
        <v>152</v>
      </c>
      <c r="F1131" s="14">
        <v>47</v>
      </c>
      <c r="G1131" s="14">
        <v>38</v>
      </c>
      <c r="H1131" s="14">
        <v>121.68</v>
      </c>
      <c r="I1131" s="14">
        <f>'PIVOT TABLES'!$B$26</f>
        <v>60.283999999999999</v>
      </c>
      <c r="J1131" s="14">
        <f>'PIVOT TABLES'!$B$27-'PIVOT TABLES'!$B$26</f>
        <v>30.142000000000003</v>
      </c>
      <c r="K1131" s="14">
        <f>'PIVOT TABLES'!$B$28-'PIVOT TABLES'!$B$27</f>
        <v>30.141999999999996</v>
      </c>
      <c r="L1131" s="14">
        <f>200-SUM(Table3[[#This Row],[D - LIGHT]:[D - VIGOROUS]])</f>
        <v>79.432000000000002</v>
      </c>
      <c r="M1131" s="14">
        <f>'PIVOT TABLES'!$I$26</f>
        <v>65.603999999999999</v>
      </c>
      <c r="N1131" s="14">
        <f>'PIVOT TABLES'!$I$27-'PIVOT TABLES'!$I$26</f>
        <v>32.802000000000007</v>
      </c>
      <c r="O1131" s="14">
        <f>'PIVOT TABLES'!$I$28-'PIVOT TABLES'!$I$27</f>
        <v>32.801999999999992</v>
      </c>
      <c r="P1131" s="14">
        <f>200-SUM(Table3[[#This Row],[M - LIGHT]:[M - VIGOROUS]])</f>
        <v>68.792000000000002</v>
      </c>
      <c r="Q1131" s="14">
        <f>'PIVOT TABLES'!$P$26</f>
        <v>62.64</v>
      </c>
      <c r="R1131" s="14">
        <f>'PIVOT TABLES'!$P$27-'PIVOT TABLES'!$P$26</f>
        <v>31.320000000000007</v>
      </c>
      <c r="S1131" s="14">
        <f>'PIVOT TABLES'!$P$28-'PIVOT TABLES'!$P$27</f>
        <v>31.319999999999993</v>
      </c>
      <c r="T1131" s="14">
        <f>200-SUM(Table3[[#This Row],[W - LIGHT]:[W - VIGOROUS]])</f>
        <v>74.72</v>
      </c>
      <c r="U1131" s="14">
        <f>'PIVOT TABLES'!$W$26</f>
        <v>55.895999999999994</v>
      </c>
      <c r="V1131" s="14">
        <f>'PIVOT TABLES'!$W$27-'PIVOT TABLES'!$W$26</f>
        <v>27.948</v>
      </c>
      <c r="W1131" s="14">
        <f>'PIVOT TABLES'!$W$28-'PIVOT TABLES'!$W$27</f>
        <v>27.947999999999993</v>
      </c>
      <c r="X1131" s="14">
        <f>200-SUM(Table3[[#This Row],[S - LIGHT]:[S - VIGOROUS]])</f>
        <v>88.208000000000013</v>
      </c>
    </row>
    <row r="1132" spans="1:24" x14ac:dyDescent="0.25">
      <c r="A1132" s="44" t="s">
        <v>94</v>
      </c>
      <c r="B1132" s="13" t="str">
        <f t="shared" si="17"/>
        <v>Defender</v>
      </c>
      <c r="C1132" s="7">
        <v>45364.764166666668</v>
      </c>
      <c r="D1132" s="14">
        <v>10908</v>
      </c>
      <c r="E1132" s="14">
        <v>178</v>
      </c>
      <c r="F1132" s="14">
        <v>39</v>
      </c>
      <c r="G1132" s="14">
        <v>29</v>
      </c>
      <c r="H1132" s="14">
        <v>116.56</v>
      </c>
      <c r="I1132" s="14">
        <f>'PIVOT TABLES'!$B$26</f>
        <v>60.283999999999999</v>
      </c>
      <c r="J1132" s="14">
        <f>'PIVOT TABLES'!$B$27-'PIVOT TABLES'!$B$26</f>
        <v>30.142000000000003</v>
      </c>
      <c r="K1132" s="14">
        <f>'PIVOT TABLES'!$B$28-'PIVOT TABLES'!$B$27</f>
        <v>30.141999999999996</v>
      </c>
      <c r="L1132" s="14">
        <f>200-SUM(Table3[[#This Row],[D - LIGHT]:[D - VIGOROUS]])</f>
        <v>79.432000000000002</v>
      </c>
      <c r="M1132" s="14">
        <f>'PIVOT TABLES'!$I$26</f>
        <v>65.603999999999999</v>
      </c>
      <c r="N1132" s="14">
        <f>'PIVOT TABLES'!$I$27-'PIVOT TABLES'!$I$26</f>
        <v>32.802000000000007</v>
      </c>
      <c r="O1132" s="14">
        <f>'PIVOT TABLES'!$I$28-'PIVOT TABLES'!$I$27</f>
        <v>32.801999999999992</v>
      </c>
      <c r="P1132" s="14">
        <f>200-SUM(Table3[[#This Row],[M - LIGHT]:[M - VIGOROUS]])</f>
        <v>68.792000000000002</v>
      </c>
      <c r="Q1132" s="14">
        <f>'PIVOT TABLES'!$P$26</f>
        <v>62.64</v>
      </c>
      <c r="R1132" s="14">
        <f>'PIVOT TABLES'!$P$27-'PIVOT TABLES'!$P$26</f>
        <v>31.320000000000007</v>
      </c>
      <c r="S1132" s="14">
        <f>'PIVOT TABLES'!$P$28-'PIVOT TABLES'!$P$27</f>
        <v>31.319999999999993</v>
      </c>
      <c r="T1132" s="14">
        <f>200-SUM(Table3[[#This Row],[W - LIGHT]:[W - VIGOROUS]])</f>
        <v>74.72</v>
      </c>
      <c r="U1132" s="14">
        <f>'PIVOT TABLES'!$W$26</f>
        <v>55.895999999999994</v>
      </c>
      <c r="V1132" s="14">
        <f>'PIVOT TABLES'!$W$27-'PIVOT TABLES'!$W$26</f>
        <v>27.948</v>
      </c>
      <c r="W1132" s="14">
        <f>'PIVOT TABLES'!$W$28-'PIVOT TABLES'!$W$27</f>
        <v>27.947999999999993</v>
      </c>
      <c r="X1132" s="14">
        <f>200-SUM(Table3[[#This Row],[S - LIGHT]:[S - VIGOROUS]])</f>
        <v>88.208000000000013</v>
      </c>
    </row>
    <row r="1133" spans="1:24" x14ac:dyDescent="0.25">
      <c r="A1133" s="44" t="s">
        <v>3</v>
      </c>
      <c r="B1133" s="13" t="str">
        <f t="shared" si="17"/>
        <v>Defender</v>
      </c>
      <c r="C1133" s="7">
        <v>45364.764166666668</v>
      </c>
      <c r="D1133" s="14">
        <v>3326</v>
      </c>
      <c r="E1133" s="14">
        <v>0</v>
      </c>
      <c r="F1133" s="14">
        <v>9</v>
      </c>
      <c r="G1133" s="14">
        <v>12</v>
      </c>
      <c r="H1133" s="14">
        <v>33.86</v>
      </c>
      <c r="I1133" s="14">
        <f>'PIVOT TABLES'!$B$26</f>
        <v>60.283999999999999</v>
      </c>
      <c r="J1133" s="14">
        <f>'PIVOT TABLES'!$B$27-'PIVOT TABLES'!$B$26</f>
        <v>30.142000000000003</v>
      </c>
      <c r="K1133" s="14">
        <f>'PIVOT TABLES'!$B$28-'PIVOT TABLES'!$B$27</f>
        <v>30.141999999999996</v>
      </c>
      <c r="L1133" s="14">
        <f>200-SUM(Table3[[#This Row],[D - LIGHT]:[D - VIGOROUS]])</f>
        <v>79.432000000000002</v>
      </c>
      <c r="M1133" s="14">
        <f>'PIVOT TABLES'!$I$26</f>
        <v>65.603999999999999</v>
      </c>
      <c r="N1133" s="14">
        <f>'PIVOT TABLES'!$I$27-'PIVOT TABLES'!$I$26</f>
        <v>32.802000000000007</v>
      </c>
      <c r="O1133" s="14">
        <f>'PIVOT TABLES'!$I$28-'PIVOT TABLES'!$I$27</f>
        <v>32.801999999999992</v>
      </c>
      <c r="P1133" s="14">
        <f>200-SUM(Table3[[#This Row],[M - LIGHT]:[M - VIGOROUS]])</f>
        <v>68.792000000000002</v>
      </c>
      <c r="Q1133" s="14">
        <f>'PIVOT TABLES'!$P$26</f>
        <v>62.64</v>
      </c>
      <c r="R1133" s="14">
        <f>'PIVOT TABLES'!$P$27-'PIVOT TABLES'!$P$26</f>
        <v>31.320000000000007</v>
      </c>
      <c r="S1133" s="14">
        <f>'PIVOT TABLES'!$P$28-'PIVOT TABLES'!$P$27</f>
        <v>31.319999999999993</v>
      </c>
      <c r="T1133" s="14">
        <f>200-SUM(Table3[[#This Row],[W - LIGHT]:[W - VIGOROUS]])</f>
        <v>74.72</v>
      </c>
      <c r="U1133" s="14">
        <f>'PIVOT TABLES'!$W$26</f>
        <v>55.895999999999994</v>
      </c>
      <c r="V1133" s="14">
        <f>'PIVOT TABLES'!$W$27-'PIVOT TABLES'!$W$26</f>
        <v>27.948</v>
      </c>
      <c r="W1133" s="14">
        <f>'PIVOT TABLES'!$W$28-'PIVOT TABLES'!$W$27</f>
        <v>27.947999999999993</v>
      </c>
      <c r="X1133" s="14">
        <f>200-SUM(Table3[[#This Row],[S - LIGHT]:[S - VIGOROUS]])</f>
        <v>88.208000000000013</v>
      </c>
    </row>
    <row r="1134" spans="1:24" x14ac:dyDescent="0.25">
      <c r="A1134" s="44" t="s">
        <v>4</v>
      </c>
      <c r="B1134" s="13" t="str">
        <f t="shared" si="17"/>
        <v>Midfielder</v>
      </c>
      <c r="C1134" s="7">
        <v>45364.764166666668</v>
      </c>
      <c r="D1134" s="14">
        <v>3237</v>
      </c>
      <c r="E1134" s="14">
        <v>23</v>
      </c>
      <c r="F1134" s="14">
        <v>6</v>
      </c>
      <c r="G1134" s="14">
        <v>8</v>
      </c>
      <c r="H1134" s="14">
        <v>33.46</v>
      </c>
      <c r="I1134" s="14">
        <f>'PIVOT TABLES'!$B$26</f>
        <v>60.283999999999999</v>
      </c>
      <c r="J1134" s="14">
        <f>'PIVOT TABLES'!$B$27-'PIVOT TABLES'!$B$26</f>
        <v>30.142000000000003</v>
      </c>
      <c r="K1134" s="14">
        <f>'PIVOT TABLES'!$B$28-'PIVOT TABLES'!$B$27</f>
        <v>30.141999999999996</v>
      </c>
      <c r="L1134" s="14">
        <f>200-SUM(Table3[[#This Row],[D - LIGHT]:[D - VIGOROUS]])</f>
        <v>79.432000000000002</v>
      </c>
      <c r="M1134" s="14">
        <f>'PIVOT TABLES'!$I$26</f>
        <v>65.603999999999999</v>
      </c>
      <c r="N1134" s="14">
        <f>'PIVOT TABLES'!$I$27-'PIVOT TABLES'!$I$26</f>
        <v>32.802000000000007</v>
      </c>
      <c r="O1134" s="14">
        <f>'PIVOT TABLES'!$I$28-'PIVOT TABLES'!$I$27</f>
        <v>32.801999999999992</v>
      </c>
      <c r="P1134" s="14">
        <f>200-SUM(Table3[[#This Row],[M - LIGHT]:[M - VIGOROUS]])</f>
        <v>68.792000000000002</v>
      </c>
      <c r="Q1134" s="14">
        <f>'PIVOT TABLES'!$P$26</f>
        <v>62.64</v>
      </c>
      <c r="R1134" s="14">
        <f>'PIVOT TABLES'!$P$27-'PIVOT TABLES'!$P$26</f>
        <v>31.320000000000007</v>
      </c>
      <c r="S1134" s="14">
        <f>'PIVOT TABLES'!$P$28-'PIVOT TABLES'!$P$27</f>
        <v>31.319999999999993</v>
      </c>
      <c r="T1134" s="14">
        <f>200-SUM(Table3[[#This Row],[W - LIGHT]:[W - VIGOROUS]])</f>
        <v>74.72</v>
      </c>
      <c r="U1134" s="14">
        <f>'PIVOT TABLES'!$W$26</f>
        <v>55.895999999999994</v>
      </c>
      <c r="V1134" s="14">
        <f>'PIVOT TABLES'!$W$27-'PIVOT TABLES'!$W$26</f>
        <v>27.948</v>
      </c>
      <c r="W1134" s="14">
        <f>'PIVOT TABLES'!$W$28-'PIVOT TABLES'!$W$27</f>
        <v>27.947999999999993</v>
      </c>
      <c r="X1134" s="14">
        <f>200-SUM(Table3[[#This Row],[S - LIGHT]:[S - VIGOROUS]])</f>
        <v>88.208000000000013</v>
      </c>
    </row>
    <row r="1135" spans="1:24" x14ac:dyDescent="0.25">
      <c r="A1135" s="44" t="s">
        <v>5</v>
      </c>
      <c r="B1135" s="13" t="str">
        <f t="shared" si="17"/>
        <v>Midfielder</v>
      </c>
      <c r="C1135" s="7">
        <v>45364.764166666668</v>
      </c>
      <c r="D1135" s="14">
        <v>8748</v>
      </c>
      <c r="E1135" s="14">
        <v>74</v>
      </c>
      <c r="F1135" s="14">
        <v>37</v>
      </c>
      <c r="G1135" s="14">
        <v>29</v>
      </c>
      <c r="H1135" s="14">
        <v>91.76</v>
      </c>
      <c r="I1135" s="14">
        <f>'PIVOT TABLES'!$B$26</f>
        <v>60.283999999999999</v>
      </c>
      <c r="J1135" s="14">
        <f>'PIVOT TABLES'!$B$27-'PIVOT TABLES'!$B$26</f>
        <v>30.142000000000003</v>
      </c>
      <c r="K1135" s="14">
        <f>'PIVOT TABLES'!$B$28-'PIVOT TABLES'!$B$27</f>
        <v>30.141999999999996</v>
      </c>
      <c r="L1135" s="14">
        <f>200-SUM(Table3[[#This Row],[D - LIGHT]:[D - VIGOROUS]])</f>
        <v>79.432000000000002</v>
      </c>
      <c r="M1135" s="14">
        <f>'PIVOT TABLES'!$I$26</f>
        <v>65.603999999999999</v>
      </c>
      <c r="N1135" s="14">
        <f>'PIVOT TABLES'!$I$27-'PIVOT TABLES'!$I$26</f>
        <v>32.802000000000007</v>
      </c>
      <c r="O1135" s="14">
        <f>'PIVOT TABLES'!$I$28-'PIVOT TABLES'!$I$27</f>
        <v>32.801999999999992</v>
      </c>
      <c r="P1135" s="14">
        <f>200-SUM(Table3[[#This Row],[M - LIGHT]:[M - VIGOROUS]])</f>
        <v>68.792000000000002</v>
      </c>
      <c r="Q1135" s="14">
        <f>'PIVOT TABLES'!$P$26</f>
        <v>62.64</v>
      </c>
      <c r="R1135" s="14">
        <f>'PIVOT TABLES'!$P$27-'PIVOT TABLES'!$P$26</f>
        <v>31.320000000000007</v>
      </c>
      <c r="S1135" s="14">
        <f>'PIVOT TABLES'!$P$28-'PIVOT TABLES'!$P$27</f>
        <v>31.319999999999993</v>
      </c>
      <c r="T1135" s="14">
        <f>200-SUM(Table3[[#This Row],[W - LIGHT]:[W - VIGOROUS]])</f>
        <v>74.72</v>
      </c>
      <c r="U1135" s="14">
        <f>'PIVOT TABLES'!$W$26</f>
        <v>55.895999999999994</v>
      </c>
      <c r="V1135" s="14">
        <f>'PIVOT TABLES'!$W$27-'PIVOT TABLES'!$W$26</f>
        <v>27.948</v>
      </c>
      <c r="W1135" s="14">
        <f>'PIVOT TABLES'!$W$28-'PIVOT TABLES'!$W$27</f>
        <v>27.947999999999993</v>
      </c>
      <c r="X1135" s="14">
        <f>200-SUM(Table3[[#This Row],[S - LIGHT]:[S - VIGOROUS]])</f>
        <v>88.208000000000013</v>
      </c>
    </row>
    <row r="1136" spans="1:24" x14ac:dyDescent="0.25">
      <c r="A1136" s="44" t="s">
        <v>6</v>
      </c>
      <c r="B1136" s="13" t="str">
        <f t="shared" si="17"/>
        <v>Midfielder</v>
      </c>
      <c r="C1136" s="7">
        <v>45364.764166666668</v>
      </c>
      <c r="D1136" s="14">
        <v>13312</v>
      </c>
      <c r="E1136" s="14">
        <v>435</v>
      </c>
      <c r="F1136" s="14">
        <v>55</v>
      </c>
      <c r="G1136" s="14">
        <v>55</v>
      </c>
      <c r="H1136" s="14">
        <v>149.47</v>
      </c>
      <c r="I1136" s="14">
        <f>'PIVOT TABLES'!$B$26</f>
        <v>60.283999999999999</v>
      </c>
      <c r="J1136" s="14">
        <f>'PIVOT TABLES'!$B$27-'PIVOT TABLES'!$B$26</f>
        <v>30.142000000000003</v>
      </c>
      <c r="K1136" s="14">
        <f>'PIVOT TABLES'!$B$28-'PIVOT TABLES'!$B$27</f>
        <v>30.141999999999996</v>
      </c>
      <c r="L1136" s="14">
        <f>200-SUM(Table3[[#This Row],[D - LIGHT]:[D - VIGOROUS]])</f>
        <v>79.432000000000002</v>
      </c>
      <c r="M1136" s="14">
        <f>'PIVOT TABLES'!$I$26</f>
        <v>65.603999999999999</v>
      </c>
      <c r="N1136" s="14">
        <f>'PIVOT TABLES'!$I$27-'PIVOT TABLES'!$I$26</f>
        <v>32.802000000000007</v>
      </c>
      <c r="O1136" s="14">
        <f>'PIVOT TABLES'!$I$28-'PIVOT TABLES'!$I$27</f>
        <v>32.801999999999992</v>
      </c>
      <c r="P1136" s="14">
        <f>200-SUM(Table3[[#This Row],[M - LIGHT]:[M - VIGOROUS]])</f>
        <v>68.792000000000002</v>
      </c>
      <c r="Q1136" s="14">
        <f>'PIVOT TABLES'!$P$26</f>
        <v>62.64</v>
      </c>
      <c r="R1136" s="14">
        <f>'PIVOT TABLES'!$P$27-'PIVOT TABLES'!$P$26</f>
        <v>31.320000000000007</v>
      </c>
      <c r="S1136" s="14">
        <f>'PIVOT TABLES'!$P$28-'PIVOT TABLES'!$P$27</f>
        <v>31.319999999999993</v>
      </c>
      <c r="T1136" s="14">
        <f>200-SUM(Table3[[#This Row],[W - LIGHT]:[W - VIGOROUS]])</f>
        <v>74.72</v>
      </c>
      <c r="U1136" s="14">
        <f>'PIVOT TABLES'!$W$26</f>
        <v>55.895999999999994</v>
      </c>
      <c r="V1136" s="14">
        <f>'PIVOT TABLES'!$W$27-'PIVOT TABLES'!$W$26</f>
        <v>27.948</v>
      </c>
      <c r="W1136" s="14">
        <f>'PIVOT TABLES'!$W$28-'PIVOT TABLES'!$W$27</f>
        <v>27.947999999999993</v>
      </c>
      <c r="X1136" s="14">
        <f>200-SUM(Table3[[#This Row],[S - LIGHT]:[S - VIGOROUS]])</f>
        <v>88.208000000000013</v>
      </c>
    </row>
    <row r="1137" spans="1:24" x14ac:dyDescent="0.25">
      <c r="A1137" s="44" t="s">
        <v>62</v>
      </c>
      <c r="B1137" s="13" t="str">
        <f t="shared" si="17"/>
        <v>Midfielder</v>
      </c>
      <c r="C1137" s="7">
        <v>45364.764166666668</v>
      </c>
      <c r="D1137" s="14">
        <v>8427</v>
      </c>
      <c r="E1137" s="14">
        <v>74</v>
      </c>
      <c r="F1137" s="14">
        <v>35</v>
      </c>
      <c r="G1137" s="14">
        <v>15</v>
      </c>
      <c r="H1137" s="14">
        <v>88.19</v>
      </c>
      <c r="I1137" s="14">
        <f>'PIVOT TABLES'!$B$26</f>
        <v>60.283999999999999</v>
      </c>
      <c r="J1137" s="14">
        <f>'PIVOT TABLES'!$B$27-'PIVOT TABLES'!$B$26</f>
        <v>30.142000000000003</v>
      </c>
      <c r="K1137" s="14">
        <f>'PIVOT TABLES'!$B$28-'PIVOT TABLES'!$B$27</f>
        <v>30.141999999999996</v>
      </c>
      <c r="L1137" s="14">
        <f>200-SUM(Table3[[#This Row],[D - LIGHT]:[D - VIGOROUS]])</f>
        <v>79.432000000000002</v>
      </c>
      <c r="M1137" s="14">
        <f>'PIVOT TABLES'!$I$26</f>
        <v>65.603999999999999</v>
      </c>
      <c r="N1137" s="14">
        <f>'PIVOT TABLES'!$I$27-'PIVOT TABLES'!$I$26</f>
        <v>32.802000000000007</v>
      </c>
      <c r="O1137" s="14">
        <f>'PIVOT TABLES'!$I$28-'PIVOT TABLES'!$I$27</f>
        <v>32.801999999999992</v>
      </c>
      <c r="P1137" s="14">
        <f>200-SUM(Table3[[#This Row],[M - LIGHT]:[M - VIGOROUS]])</f>
        <v>68.792000000000002</v>
      </c>
      <c r="Q1137" s="14">
        <f>'PIVOT TABLES'!$P$26</f>
        <v>62.64</v>
      </c>
      <c r="R1137" s="14">
        <f>'PIVOT TABLES'!$P$27-'PIVOT TABLES'!$P$26</f>
        <v>31.320000000000007</v>
      </c>
      <c r="S1137" s="14">
        <f>'PIVOT TABLES'!$P$28-'PIVOT TABLES'!$P$27</f>
        <v>31.319999999999993</v>
      </c>
      <c r="T1137" s="14">
        <f>200-SUM(Table3[[#This Row],[W - LIGHT]:[W - VIGOROUS]])</f>
        <v>74.72</v>
      </c>
      <c r="U1137" s="14">
        <f>'PIVOT TABLES'!$W$26</f>
        <v>55.895999999999994</v>
      </c>
      <c r="V1137" s="14">
        <f>'PIVOT TABLES'!$W$27-'PIVOT TABLES'!$W$26</f>
        <v>27.948</v>
      </c>
      <c r="W1137" s="14">
        <f>'PIVOT TABLES'!$W$28-'PIVOT TABLES'!$W$27</f>
        <v>27.947999999999993</v>
      </c>
      <c r="X1137" s="14">
        <f>200-SUM(Table3[[#This Row],[S - LIGHT]:[S - VIGOROUS]])</f>
        <v>88.208000000000013</v>
      </c>
    </row>
    <row r="1138" spans="1:24" x14ac:dyDescent="0.25">
      <c r="A1138" s="44" t="s">
        <v>64</v>
      </c>
      <c r="B1138" s="13" t="str">
        <f t="shared" si="17"/>
        <v>Midfielder</v>
      </c>
      <c r="C1138" s="7">
        <v>45364.764166666668</v>
      </c>
      <c r="D1138" s="14">
        <v>13489</v>
      </c>
      <c r="E1138" s="14">
        <v>76</v>
      </c>
      <c r="F1138" s="14">
        <v>41</v>
      </c>
      <c r="G1138" s="14">
        <v>32</v>
      </c>
      <c r="H1138" s="14">
        <v>139.44999999999999</v>
      </c>
      <c r="I1138" s="14">
        <f>'PIVOT TABLES'!$B$26</f>
        <v>60.283999999999999</v>
      </c>
      <c r="J1138" s="14">
        <f>'PIVOT TABLES'!$B$27-'PIVOT TABLES'!$B$26</f>
        <v>30.142000000000003</v>
      </c>
      <c r="K1138" s="14">
        <f>'PIVOT TABLES'!$B$28-'PIVOT TABLES'!$B$27</f>
        <v>30.141999999999996</v>
      </c>
      <c r="L1138" s="14">
        <f>200-SUM(Table3[[#This Row],[D - LIGHT]:[D - VIGOROUS]])</f>
        <v>79.432000000000002</v>
      </c>
      <c r="M1138" s="14">
        <f>'PIVOT TABLES'!$I$26</f>
        <v>65.603999999999999</v>
      </c>
      <c r="N1138" s="14">
        <f>'PIVOT TABLES'!$I$27-'PIVOT TABLES'!$I$26</f>
        <v>32.802000000000007</v>
      </c>
      <c r="O1138" s="14">
        <f>'PIVOT TABLES'!$I$28-'PIVOT TABLES'!$I$27</f>
        <v>32.801999999999992</v>
      </c>
      <c r="P1138" s="14">
        <f>200-SUM(Table3[[#This Row],[M - LIGHT]:[M - VIGOROUS]])</f>
        <v>68.792000000000002</v>
      </c>
      <c r="Q1138" s="14">
        <f>'PIVOT TABLES'!$P$26</f>
        <v>62.64</v>
      </c>
      <c r="R1138" s="14">
        <f>'PIVOT TABLES'!$P$27-'PIVOT TABLES'!$P$26</f>
        <v>31.320000000000007</v>
      </c>
      <c r="S1138" s="14">
        <f>'PIVOT TABLES'!$P$28-'PIVOT TABLES'!$P$27</f>
        <v>31.319999999999993</v>
      </c>
      <c r="T1138" s="14">
        <f>200-SUM(Table3[[#This Row],[W - LIGHT]:[W - VIGOROUS]])</f>
        <v>74.72</v>
      </c>
      <c r="U1138" s="14">
        <f>'PIVOT TABLES'!$W$26</f>
        <v>55.895999999999994</v>
      </c>
      <c r="V1138" s="14">
        <f>'PIVOT TABLES'!$W$27-'PIVOT TABLES'!$W$26</f>
        <v>27.948</v>
      </c>
      <c r="W1138" s="14">
        <f>'PIVOT TABLES'!$W$28-'PIVOT TABLES'!$W$27</f>
        <v>27.947999999999993</v>
      </c>
      <c r="X1138" s="14">
        <f>200-SUM(Table3[[#This Row],[S - LIGHT]:[S - VIGOROUS]])</f>
        <v>88.208000000000013</v>
      </c>
    </row>
    <row r="1139" spans="1:24" x14ac:dyDescent="0.25">
      <c r="A1139" s="44" t="s">
        <v>65</v>
      </c>
      <c r="B1139" s="13" t="str">
        <f t="shared" si="17"/>
        <v>Winger</v>
      </c>
      <c r="C1139" s="7">
        <v>45364.764166666668</v>
      </c>
      <c r="D1139" s="14">
        <v>9082</v>
      </c>
      <c r="E1139" s="14">
        <v>183</v>
      </c>
      <c r="F1139" s="14">
        <v>57</v>
      </c>
      <c r="G1139" s="14">
        <v>35</v>
      </c>
      <c r="H1139" s="14">
        <v>99.29</v>
      </c>
      <c r="I1139" s="14">
        <f>'PIVOT TABLES'!$B$26</f>
        <v>60.283999999999999</v>
      </c>
      <c r="J1139" s="14">
        <f>'PIVOT TABLES'!$B$27-'PIVOT TABLES'!$B$26</f>
        <v>30.142000000000003</v>
      </c>
      <c r="K1139" s="14">
        <f>'PIVOT TABLES'!$B$28-'PIVOT TABLES'!$B$27</f>
        <v>30.141999999999996</v>
      </c>
      <c r="L1139" s="14">
        <f>200-SUM(Table3[[#This Row],[D - LIGHT]:[D - VIGOROUS]])</f>
        <v>79.432000000000002</v>
      </c>
      <c r="M1139" s="14">
        <f>'PIVOT TABLES'!$I$26</f>
        <v>65.603999999999999</v>
      </c>
      <c r="N1139" s="14">
        <f>'PIVOT TABLES'!$I$27-'PIVOT TABLES'!$I$26</f>
        <v>32.802000000000007</v>
      </c>
      <c r="O1139" s="14">
        <f>'PIVOT TABLES'!$I$28-'PIVOT TABLES'!$I$27</f>
        <v>32.801999999999992</v>
      </c>
      <c r="P1139" s="14">
        <f>200-SUM(Table3[[#This Row],[M - LIGHT]:[M - VIGOROUS]])</f>
        <v>68.792000000000002</v>
      </c>
      <c r="Q1139" s="14">
        <f>'PIVOT TABLES'!$P$26</f>
        <v>62.64</v>
      </c>
      <c r="R1139" s="14">
        <f>'PIVOT TABLES'!$P$27-'PIVOT TABLES'!$P$26</f>
        <v>31.320000000000007</v>
      </c>
      <c r="S1139" s="14">
        <f>'PIVOT TABLES'!$P$28-'PIVOT TABLES'!$P$27</f>
        <v>31.319999999999993</v>
      </c>
      <c r="T1139" s="14">
        <f>200-SUM(Table3[[#This Row],[W - LIGHT]:[W - VIGOROUS]])</f>
        <v>74.72</v>
      </c>
      <c r="U1139" s="14">
        <f>'PIVOT TABLES'!$W$26</f>
        <v>55.895999999999994</v>
      </c>
      <c r="V1139" s="14">
        <f>'PIVOT TABLES'!$W$27-'PIVOT TABLES'!$W$26</f>
        <v>27.948</v>
      </c>
      <c r="W1139" s="14">
        <f>'PIVOT TABLES'!$W$28-'PIVOT TABLES'!$W$27</f>
        <v>27.947999999999993</v>
      </c>
      <c r="X1139" s="14">
        <f>200-SUM(Table3[[#This Row],[S - LIGHT]:[S - VIGOROUS]])</f>
        <v>88.208000000000013</v>
      </c>
    </row>
    <row r="1140" spans="1:24" x14ac:dyDescent="0.25">
      <c r="A1140" s="44" t="s">
        <v>66</v>
      </c>
      <c r="B1140" s="13" t="str">
        <f t="shared" si="17"/>
        <v>Striker</v>
      </c>
      <c r="C1140" s="7">
        <v>45364.764166666668</v>
      </c>
      <c r="D1140" s="14">
        <v>12744</v>
      </c>
      <c r="E1140" s="14">
        <v>232</v>
      </c>
      <c r="F1140" s="14">
        <v>62</v>
      </c>
      <c r="G1140" s="14">
        <v>45</v>
      </c>
      <c r="H1140" s="14">
        <v>137.78</v>
      </c>
      <c r="I1140" s="14">
        <f>'PIVOT TABLES'!$B$26</f>
        <v>60.283999999999999</v>
      </c>
      <c r="J1140" s="14">
        <f>'PIVOT TABLES'!$B$27-'PIVOT TABLES'!$B$26</f>
        <v>30.142000000000003</v>
      </c>
      <c r="K1140" s="14">
        <f>'PIVOT TABLES'!$B$28-'PIVOT TABLES'!$B$27</f>
        <v>30.141999999999996</v>
      </c>
      <c r="L1140" s="14">
        <f>200-SUM(Table3[[#This Row],[D - LIGHT]:[D - VIGOROUS]])</f>
        <v>79.432000000000002</v>
      </c>
      <c r="M1140" s="14">
        <f>'PIVOT TABLES'!$I$26</f>
        <v>65.603999999999999</v>
      </c>
      <c r="N1140" s="14">
        <f>'PIVOT TABLES'!$I$27-'PIVOT TABLES'!$I$26</f>
        <v>32.802000000000007</v>
      </c>
      <c r="O1140" s="14">
        <f>'PIVOT TABLES'!$I$28-'PIVOT TABLES'!$I$27</f>
        <v>32.801999999999992</v>
      </c>
      <c r="P1140" s="14">
        <f>200-SUM(Table3[[#This Row],[M - LIGHT]:[M - VIGOROUS]])</f>
        <v>68.792000000000002</v>
      </c>
      <c r="Q1140" s="14">
        <f>'PIVOT TABLES'!$P$26</f>
        <v>62.64</v>
      </c>
      <c r="R1140" s="14">
        <f>'PIVOT TABLES'!$P$27-'PIVOT TABLES'!$P$26</f>
        <v>31.320000000000007</v>
      </c>
      <c r="S1140" s="14">
        <f>'PIVOT TABLES'!$P$28-'PIVOT TABLES'!$P$27</f>
        <v>31.319999999999993</v>
      </c>
      <c r="T1140" s="14">
        <f>200-SUM(Table3[[#This Row],[W - LIGHT]:[W - VIGOROUS]])</f>
        <v>74.72</v>
      </c>
      <c r="U1140" s="14">
        <f>'PIVOT TABLES'!$W$26</f>
        <v>55.895999999999994</v>
      </c>
      <c r="V1140" s="14">
        <f>'PIVOT TABLES'!$W$27-'PIVOT TABLES'!$W$26</f>
        <v>27.948</v>
      </c>
      <c r="W1140" s="14">
        <f>'PIVOT TABLES'!$W$28-'PIVOT TABLES'!$W$27</f>
        <v>27.947999999999993</v>
      </c>
      <c r="X1140" s="14">
        <f>200-SUM(Table3[[#This Row],[S - LIGHT]:[S - VIGOROUS]])</f>
        <v>88.208000000000013</v>
      </c>
    </row>
    <row r="1141" spans="1:24" x14ac:dyDescent="0.25">
      <c r="A1141" s="44" t="s">
        <v>8</v>
      </c>
      <c r="B1141" s="13" t="str">
        <f t="shared" si="17"/>
        <v>Striker</v>
      </c>
      <c r="C1141" s="7">
        <v>45364.764166666668</v>
      </c>
      <c r="D1141" s="14">
        <v>6873</v>
      </c>
      <c r="E1141" s="14">
        <v>151</v>
      </c>
      <c r="F1141" s="14">
        <v>17</v>
      </c>
      <c r="G1141" s="14">
        <v>30</v>
      </c>
      <c r="H1141" s="14">
        <v>74.540000000000006</v>
      </c>
      <c r="I1141" s="14">
        <f>'PIVOT TABLES'!$B$26</f>
        <v>60.283999999999999</v>
      </c>
      <c r="J1141" s="14">
        <f>'PIVOT TABLES'!$B$27-'PIVOT TABLES'!$B$26</f>
        <v>30.142000000000003</v>
      </c>
      <c r="K1141" s="14">
        <f>'PIVOT TABLES'!$B$28-'PIVOT TABLES'!$B$27</f>
        <v>30.141999999999996</v>
      </c>
      <c r="L1141" s="14">
        <f>200-SUM(Table3[[#This Row],[D - LIGHT]:[D - VIGOROUS]])</f>
        <v>79.432000000000002</v>
      </c>
      <c r="M1141" s="14">
        <f>'PIVOT TABLES'!$I$26</f>
        <v>65.603999999999999</v>
      </c>
      <c r="N1141" s="14">
        <f>'PIVOT TABLES'!$I$27-'PIVOT TABLES'!$I$26</f>
        <v>32.802000000000007</v>
      </c>
      <c r="O1141" s="14">
        <f>'PIVOT TABLES'!$I$28-'PIVOT TABLES'!$I$27</f>
        <v>32.801999999999992</v>
      </c>
      <c r="P1141" s="14">
        <f>200-SUM(Table3[[#This Row],[M - LIGHT]:[M - VIGOROUS]])</f>
        <v>68.792000000000002</v>
      </c>
      <c r="Q1141" s="14">
        <f>'PIVOT TABLES'!$P$26</f>
        <v>62.64</v>
      </c>
      <c r="R1141" s="14">
        <f>'PIVOT TABLES'!$P$27-'PIVOT TABLES'!$P$26</f>
        <v>31.320000000000007</v>
      </c>
      <c r="S1141" s="14">
        <f>'PIVOT TABLES'!$P$28-'PIVOT TABLES'!$P$27</f>
        <v>31.319999999999993</v>
      </c>
      <c r="T1141" s="14">
        <f>200-SUM(Table3[[#This Row],[W - LIGHT]:[W - VIGOROUS]])</f>
        <v>74.72</v>
      </c>
      <c r="U1141" s="14">
        <f>'PIVOT TABLES'!$W$26</f>
        <v>55.895999999999994</v>
      </c>
      <c r="V1141" s="14">
        <f>'PIVOT TABLES'!$W$27-'PIVOT TABLES'!$W$26</f>
        <v>27.948</v>
      </c>
      <c r="W1141" s="14">
        <f>'PIVOT TABLES'!$W$28-'PIVOT TABLES'!$W$27</f>
        <v>27.947999999999993</v>
      </c>
      <c r="X1141" s="14">
        <f>200-SUM(Table3[[#This Row],[S - LIGHT]:[S - VIGOROUS]])</f>
        <v>88.208000000000013</v>
      </c>
    </row>
    <row r="1142" spans="1:24" x14ac:dyDescent="0.25">
      <c r="A1142" s="44" t="s">
        <v>67</v>
      </c>
      <c r="B1142" s="13" t="str">
        <f t="shared" si="17"/>
        <v>Midfielder</v>
      </c>
      <c r="C1142" s="7">
        <v>45364.764166666668</v>
      </c>
      <c r="D1142" s="14">
        <v>3467</v>
      </c>
      <c r="E1142" s="14">
        <v>3</v>
      </c>
      <c r="F1142" s="14">
        <v>11</v>
      </c>
      <c r="G1142" s="14">
        <v>5</v>
      </c>
      <c r="H1142" s="14">
        <v>35.299999999999997</v>
      </c>
      <c r="I1142" s="14">
        <f>'PIVOT TABLES'!$B$26</f>
        <v>60.283999999999999</v>
      </c>
      <c r="J1142" s="14">
        <f>'PIVOT TABLES'!$B$27-'PIVOT TABLES'!$B$26</f>
        <v>30.142000000000003</v>
      </c>
      <c r="K1142" s="14">
        <f>'PIVOT TABLES'!$B$28-'PIVOT TABLES'!$B$27</f>
        <v>30.141999999999996</v>
      </c>
      <c r="L1142" s="14">
        <f>200-SUM(Table3[[#This Row],[D - LIGHT]:[D - VIGOROUS]])</f>
        <v>79.432000000000002</v>
      </c>
      <c r="M1142" s="14">
        <f>'PIVOT TABLES'!$I$26</f>
        <v>65.603999999999999</v>
      </c>
      <c r="N1142" s="14">
        <f>'PIVOT TABLES'!$I$27-'PIVOT TABLES'!$I$26</f>
        <v>32.802000000000007</v>
      </c>
      <c r="O1142" s="14">
        <f>'PIVOT TABLES'!$I$28-'PIVOT TABLES'!$I$27</f>
        <v>32.801999999999992</v>
      </c>
      <c r="P1142" s="14">
        <f>200-SUM(Table3[[#This Row],[M - LIGHT]:[M - VIGOROUS]])</f>
        <v>68.792000000000002</v>
      </c>
      <c r="Q1142" s="14">
        <f>'PIVOT TABLES'!$P$26</f>
        <v>62.64</v>
      </c>
      <c r="R1142" s="14">
        <f>'PIVOT TABLES'!$P$27-'PIVOT TABLES'!$P$26</f>
        <v>31.320000000000007</v>
      </c>
      <c r="S1142" s="14">
        <f>'PIVOT TABLES'!$P$28-'PIVOT TABLES'!$P$27</f>
        <v>31.319999999999993</v>
      </c>
      <c r="T1142" s="14">
        <f>200-SUM(Table3[[#This Row],[W - LIGHT]:[W - VIGOROUS]])</f>
        <v>74.72</v>
      </c>
      <c r="U1142" s="14">
        <f>'PIVOT TABLES'!$W$26</f>
        <v>55.895999999999994</v>
      </c>
      <c r="V1142" s="14">
        <f>'PIVOT TABLES'!$W$27-'PIVOT TABLES'!$W$26</f>
        <v>27.948</v>
      </c>
      <c r="W1142" s="14">
        <f>'PIVOT TABLES'!$W$28-'PIVOT TABLES'!$W$27</f>
        <v>27.947999999999993</v>
      </c>
      <c r="X1142" s="14">
        <f>200-SUM(Table3[[#This Row],[S - LIGHT]:[S - VIGOROUS]])</f>
        <v>88.208000000000013</v>
      </c>
    </row>
    <row r="1143" spans="1:24" x14ac:dyDescent="0.25">
      <c r="A1143" s="13" t="s">
        <v>70</v>
      </c>
      <c r="B1143" s="13" t="str">
        <f t="shared" si="17"/>
        <v>Winger</v>
      </c>
      <c r="C1143" s="7">
        <v>45365.441944444443</v>
      </c>
      <c r="D1143" s="14">
        <v>1198</v>
      </c>
      <c r="E1143" s="14">
        <v>0</v>
      </c>
      <c r="F1143" s="14">
        <v>0</v>
      </c>
      <c r="G1143" s="14">
        <v>3</v>
      </c>
      <c r="H1143" s="14">
        <v>12.04</v>
      </c>
      <c r="I1143" s="14">
        <f>'PIVOT TABLES'!$B$26</f>
        <v>60.283999999999999</v>
      </c>
      <c r="J1143" s="14">
        <f>'PIVOT TABLES'!$B$27-'PIVOT TABLES'!$B$26</f>
        <v>30.142000000000003</v>
      </c>
      <c r="K1143" s="14">
        <f>'PIVOT TABLES'!$B$28-'PIVOT TABLES'!$B$27</f>
        <v>30.141999999999996</v>
      </c>
      <c r="L1143" s="14">
        <f>200-SUM(Table3[[#This Row],[D - LIGHT]:[D - VIGOROUS]])</f>
        <v>79.432000000000002</v>
      </c>
      <c r="M1143" s="14">
        <f>'PIVOT TABLES'!$I$26</f>
        <v>65.603999999999999</v>
      </c>
      <c r="N1143" s="14">
        <f>'PIVOT TABLES'!$I$27-'PIVOT TABLES'!$I$26</f>
        <v>32.802000000000007</v>
      </c>
      <c r="O1143" s="14">
        <f>'PIVOT TABLES'!$I$28-'PIVOT TABLES'!$I$27</f>
        <v>32.801999999999992</v>
      </c>
      <c r="P1143" s="14">
        <f>200-SUM(Table3[[#This Row],[M - LIGHT]:[M - VIGOROUS]])</f>
        <v>68.792000000000002</v>
      </c>
      <c r="Q1143" s="14">
        <f>'PIVOT TABLES'!$P$26</f>
        <v>62.64</v>
      </c>
      <c r="R1143" s="14">
        <f>'PIVOT TABLES'!$P$27-'PIVOT TABLES'!$P$26</f>
        <v>31.320000000000007</v>
      </c>
      <c r="S1143" s="14">
        <f>'PIVOT TABLES'!$P$28-'PIVOT TABLES'!$P$27</f>
        <v>31.319999999999993</v>
      </c>
      <c r="T1143" s="14">
        <f>200-SUM(Table3[[#This Row],[W - LIGHT]:[W - VIGOROUS]])</f>
        <v>74.72</v>
      </c>
      <c r="U1143" s="14">
        <f>'PIVOT TABLES'!$W$26</f>
        <v>55.895999999999994</v>
      </c>
      <c r="V1143" s="14">
        <f>'PIVOT TABLES'!$W$27-'PIVOT TABLES'!$W$26</f>
        <v>27.948</v>
      </c>
      <c r="W1143" s="14">
        <f>'PIVOT TABLES'!$W$28-'PIVOT TABLES'!$W$27</f>
        <v>27.947999999999993</v>
      </c>
      <c r="X1143" s="14">
        <f>200-SUM(Table3[[#This Row],[S - LIGHT]:[S - VIGOROUS]])</f>
        <v>88.208000000000013</v>
      </c>
    </row>
    <row r="1144" spans="1:24" x14ac:dyDescent="0.25">
      <c r="A1144" s="13" t="s">
        <v>53</v>
      </c>
      <c r="B1144" s="13" t="str">
        <f t="shared" si="17"/>
        <v>Midfielder</v>
      </c>
      <c r="C1144" s="7">
        <v>45365.441944444443</v>
      </c>
      <c r="D1144" s="14">
        <v>7362</v>
      </c>
      <c r="E1144" s="14">
        <v>27</v>
      </c>
      <c r="F1144" s="14">
        <v>27</v>
      </c>
      <c r="G1144" s="14">
        <v>38</v>
      </c>
      <c r="H1144" s="14">
        <v>76.27</v>
      </c>
      <c r="I1144" s="14">
        <f>'PIVOT TABLES'!$B$26</f>
        <v>60.283999999999999</v>
      </c>
      <c r="J1144" s="14">
        <f>'PIVOT TABLES'!$B$27-'PIVOT TABLES'!$B$26</f>
        <v>30.142000000000003</v>
      </c>
      <c r="K1144" s="14">
        <f>'PIVOT TABLES'!$B$28-'PIVOT TABLES'!$B$27</f>
        <v>30.141999999999996</v>
      </c>
      <c r="L1144" s="14">
        <f>200-SUM(Table3[[#This Row],[D - LIGHT]:[D - VIGOROUS]])</f>
        <v>79.432000000000002</v>
      </c>
      <c r="M1144" s="14">
        <f>'PIVOT TABLES'!$I$26</f>
        <v>65.603999999999999</v>
      </c>
      <c r="N1144" s="14">
        <f>'PIVOT TABLES'!$I$27-'PIVOT TABLES'!$I$26</f>
        <v>32.802000000000007</v>
      </c>
      <c r="O1144" s="14">
        <f>'PIVOT TABLES'!$I$28-'PIVOT TABLES'!$I$27</f>
        <v>32.801999999999992</v>
      </c>
      <c r="P1144" s="14">
        <f>200-SUM(Table3[[#This Row],[M - LIGHT]:[M - VIGOROUS]])</f>
        <v>68.792000000000002</v>
      </c>
      <c r="Q1144" s="14">
        <f>'PIVOT TABLES'!$P$26</f>
        <v>62.64</v>
      </c>
      <c r="R1144" s="14">
        <f>'PIVOT TABLES'!$P$27-'PIVOT TABLES'!$P$26</f>
        <v>31.320000000000007</v>
      </c>
      <c r="S1144" s="14">
        <f>'PIVOT TABLES'!$P$28-'PIVOT TABLES'!$P$27</f>
        <v>31.319999999999993</v>
      </c>
      <c r="T1144" s="14">
        <f>200-SUM(Table3[[#This Row],[W - LIGHT]:[W - VIGOROUS]])</f>
        <v>74.72</v>
      </c>
      <c r="U1144" s="14">
        <f>'PIVOT TABLES'!$W$26</f>
        <v>55.895999999999994</v>
      </c>
      <c r="V1144" s="14">
        <f>'PIVOT TABLES'!$W$27-'PIVOT TABLES'!$W$26</f>
        <v>27.948</v>
      </c>
      <c r="W1144" s="14">
        <f>'PIVOT TABLES'!$W$28-'PIVOT TABLES'!$W$27</f>
        <v>27.947999999999993</v>
      </c>
      <c r="X1144" s="14">
        <f>200-SUM(Table3[[#This Row],[S - LIGHT]:[S - VIGOROUS]])</f>
        <v>88.208000000000013</v>
      </c>
    </row>
    <row r="1145" spans="1:24" x14ac:dyDescent="0.25">
      <c r="A1145" s="13" t="s">
        <v>54</v>
      </c>
      <c r="B1145" s="13" t="str">
        <f t="shared" si="17"/>
        <v>Striker</v>
      </c>
      <c r="C1145" s="7">
        <v>45365.441944444443</v>
      </c>
      <c r="D1145" s="14">
        <v>7824</v>
      </c>
      <c r="E1145" s="14">
        <v>28</v>
      </c>
      <c r="F1145" s="14">
        <v>21</v>
      </c>
      <c r="G1145" s="14">
        <v>13</v>
      </c>
      <c r="H1145" s="14">
        <v>80.180000000000007</v>
      </c>
      <c r="I1145" s="14">
        <f>'PIVOT TABLES'!$B$26</f>
        <v>60.283999999999999</v>
      </c>
      <c r="J1145" s="14">
        <f>'PIVOT TABLES'!$B$27-'PIVOT TABLES'!$B$26</f>
        <v>30.142000000000003</v>
      </c>
      <c r="K1145" s="14">
        <f>'PIVOT TABLES'!$B$28-'PIVOT TABLES'!$B$27</f>
        <v>30.141999999999996</v>
      </c>
      <c r="L1145" s="14">
        <f>200-SUM(Table3[[#This Row],[D - LIGHT]:[D - VIGOROUS]])</f>
        <v>79.432000000000002</v>
      </c>
      <c r="M1145" s="14">
        <f>'PIVOT TABLES'!$I$26</f>
        <v>65.603999999999999</v>
      </c>
      <c r="N1145" s="14">
        <f>'PIVOT TABLES'!$I$27-'PIVOT TABLES'!$I$26</f>
        <v>32.802000000000007</v>
      </c>
      <c r="O1145" s="14">
        <f>'PIVOT TABLES'!$I$28-'PIVOT TABLES'!$I$27</f>
        <v>32.801999999999992</v>
      </c>
      <c r="P1145" s="14">
        <f>200-SUM(Table3[[#This Row],[M - LIGHT]:[M - VIGOROUS]])</f>
        <v>68.792000000000002</v>
      </c>
      <c r="Q1145" s="14">
        <f>'PIVOT TABLES'!$P$26</f>
        <v>62.64</v>
      </c>
      <c r="R1145" s="14">
        <f>'PIVOT TABLES'!$P$27-'PIVOT TABLES'!$P$26</f>
        <v>31.320000000000007</v>
      </c>
      <c r="S1145" s="14">
        <f>'PIVOT TABLES'!$P$28-'PIVOT TABLES'!$P$27</f>
        <v>31.319999999999993</v>
      </c>
      <c r="T1145" s="14">
        <f>200-SUM(Table3[[#This Row],[W - LIGHT]:[W - VIGOROUS]])</f>
        <v>74.72</v>
      </c>
      <c r="U1145" s="14">
        <f>'PIVOT TABLES'!$W$26</f>
        <v>55.895999999999994</v>
      </c>
      <c r="V1145" s="14">
        <f>'PIVOT TABLES'!$W$27-'PIVOT TABLES'!$W$26</f>
        <v>27.948</v>
      </c>
      <c r="W1145" s="14">
        <f>'PIVOT TABLES'!$W$28-'PIVOT TABLES'!$W$27</f>
        <v>27.947999999999993</v>
      </c>
      <c r="X1145" s="14">
        <f>200-SUM(Table3[[#This Row],[S - LIGHT]:[S - VIGOROUS]])</f>
        <v>88.208000000000013</v>
      </c>
    </row>
    <row r="1146" spans="1:24" x14ac:dyDescent="0.25">
      <c r="A1146" s="13" t="s">
        <v>55</v>
      </c>
      <c r="B1146" s="13" t="str">
        <f t="shared" si="17"/>
        <v>Striker</v>
      </c>
      <c r="C1146" s="7">
        <v>45365.441944444443</v>
      </c>
      <c r="D1146" s="14">
        <v>7337</v>
      </c>
      <c r="E1146" s="14">
        <v>45</v>
      </c>
      <c r="F1146" s="14">
        <v>24</v>
      </c>
      <c r="G1146" s="14">
        <v>29</v>
      </c>
      <c r="H1146" s="14">
        <v>76.260000000000005</v>
      </c>
      <c r="I1146" s="14">
        <f>'PIVOT TABLES'!$B$26</f>
        <v>60.283999999999999</v>
      </c>
      <c r="J1146" s="14">
        <f>'PIVOT TABLES'!$B$27-'PIVOT TABLES'!$B$26</f>
        <v>30.142000000000003</v>
      </c>
      <c r="K1146" s="14">
        <f>'PIVOT TABLES'!$B$28-'PIVOT TABLES'!$B$27</f>
        <v>30.141999999999996</v>
      </c>
      <c r="L1146" s="14">
        <f>200-SUM(Table3[[#This Row],[D - LIGHT]:[D - VIGOROUS]])</f>
        <v>79.432000000000002</v>
      </c>
      <c r="M1146" s="14">
        <f>'PIVOT TABLES'!$I$26</f>
        <v>65.603999999999999</v>
      </c>
      <c r="N1146" s="14">
        <f>'PIVOT TABLES'!$I$27-'PIVOT TABLES'!$I$26</f>
        <v>32.802000000000007</v>
      </c>
      <c r="O1146" s="14">
        <f>'PIVOT TABLES'!$I$28-'PIVOT TABLES'!$I$27</f>
        <v>32.801999999999992</v>
      </c>
      <c r="P1146" s="14">
        <f>200-SUM(Table3[[#This Row],[M - LIGHT]:[M - VIGOROUS]])</f>
        <v>68.792000000000002</v>
      </c>
      <c r="Q1146" s="14">
        <f>'PIVOT TABLES'!$P$26</f>
        <v>62.64</v>
      </c>
      <c r="R1146" s="14">
        <f>'PIVOT TABLES'!$P$27-'PIVOT TABLES'!$P$26</f>
        <v>31.320000000000007</v>
      </c>
      <c r="S1146" s="14">
        <f>'PIVOT TABLES'!$P$28-'PIVOT TABLES'!$P$27</f>
        <v>31.319999999999993</v>
      </c>
      <c r="T1146" s="14">
        <f>200-SUM(Table3[[#This Row],[W - LIGHT]:[W - VIGOROUS]])</f>
        <v>74.72</v>
      </c>
      <c r="U1146" s="14">
        <f>'PIVOT TABLES'!$W$26</f>
        <v>55.895999999999994</v>
      </c>
      <c r="V1146" s="14">
        <f>'PIVOT TABLES'!$W$27-'PIVOT TABLES'!$W$26</f>
        <v>27.948</v>
      </c>
      <c r="W1146" s="14">
        <f>'PIVOT TABLES'!$W$28-'PIVOT TABLES'!$W$27</f>
        <v>27.947999999999993</v>
      </c>
      <c r="X1146" s="14">
        <f>200-SUM(Table3[[#This Row],[S - LIGHT]:[S - VIGOROUS]])</f>
        <v>88.208000000000013</v>
      </c>
    </row>
    <row r="1147" spans="1:24" x14ac:dyDescent="0.25">
      <c r="A1147" s="13" t="s">
        <v>1</v>
      </c>
      <c r="B1147" s="13" t="str">
        <f t="shared" si="17"/>
        <v>Defender</v>
      </c>
      <c r="C1147" s="7">
        <v>45365.441944444443</v>
      </c>
      <c r="D1147" s="14">
        <v>1159</v>
      </c>
      <c r="E1147" s="14">
        <v>0</v>
      </c>
      <c r="F1147" s="14">
        <v>0</v>
      </c>
      <c r="G1147" s="14">
        <v>0</v>
      </c>
      <c r="H1147" s="14">
        <v>11.59</v>
      </c>
      <c r="I1147" s="14">
        <f>'PIVOT TABLES'!$B$26</f>
        <v>60.283999999999999</v>
      </c>
      <c r="J1147" s="14">
        <f>'PIVOT TABLES'!$B$27-'PIVOT TABLES'!$B$26</f>
        <v>30.142000000000003</v>
      </c>
      <c r="K1147" s="14">
        <f>'PIVOT TABLES'!$B$28-'PIVOT TABLES'!$B$27</f>
        <v>30.141999999999996</v>
      </c>
      <c r="L1147" s="14">
        <f>200-SUM(Table3[[#This Row],[D - LIGHT]:[D - VIGOROUS]])</f>
        <v>79.432000000000002</v>
      </c>
      <c r="M1147" s="14">
        <f>'PIVOT TABLES'!$I$26</f>
        <v>65.603999999999999</v>
      </c>
      <c r="N1147" s="14">
        <f>'PIVOT TABLES'!$I$27-'PIVOT TABLES'!$I$26</f>
        <v>32.802000000000007</v>
      </c>
      <c r="O1147" s="14">
        <f>'PIVOT TABLES'!$I$28-'PIVOT TABLES'!$I$27</f>
        <v>32.801999999999992</v>
      </c>
      <c r="P1147" s="14">
        <f>200-SUM(Table3[[#This Row],[M - LIGHT]:[M - VIGOROUS]])</f>
        <v>68.792000000000002</v>
      </c>
      <c r="Q1147" s="14">
        <f>'PIVOT TABLES'!$P$26</f>
        <v>62.64</v>
      </c>
      <c r="R1147" s="14">
        <f>'PIVOT TABLES'!$P$27-'PIVOT TABLES'!$P$26</f>
        <v>31.320000000000007</v>
      </c>
      <c r="S1147" s="14">
        <f>'PIVOT TABLES'!$P$28-'PIVOT TABLES'!$P$27</f>
        <v>31.319999999999993</v>
      </c>
      <c r="T1147" s="14">
        <f>200-SUM(Table3[[#This Row],[W - LIGHT]:[W - VIGOROUS]])</f>
        <v>74.72</v>
      </c>
      <c r="U1147" s="14">
        <f>'PIVOT TABLES'!$W$26</f>
        <v>55.895999999999994</v>
      </c>
      <c r="V1147" s="14">
        <f>'PIVOT TABLES'!$W$27-'PIVOT TABLES'!$W$26</f>
        <v>27.948</v>
      </c>
      <c r="W1147" s="14">
        <f>'PIVOT TABLES'!$W$28-'PIVOT TABLES'!$W$27</f>
        <v>27.947999999999993</v>
      </c>
      <c r="X1147" s="14">
        <f>200-SUM(Table3[[#This Row],[S - LIGHT]:[S - VIGOROUS]])</f>
        <v>88.208000000000013</v>
      </c>
    </row>
    <row r="1148" spans="1:24" x14ac:dyDescent="0.25">
      <c r="A1148" s="13" t="s">
        <v>56</v>
      </c>
      <c r="B1148" s="13" t="str">
        <f t="shared" si="17"/>
        <v>Midfielder</v>
      </c>
      <c r="C1148" s="7">
        <v>45365.441944444443</v>
      </c>
      <c r="D1148" s="14">
        <v>3497</v>
      </c>
      <c r="E1148" s="14">
        <v>3</v>
      </c>
      <c r="F1148" s="14">
        <v>10</v>
      </c>
      <c r="G1148" s="14">
        <v>6</v>
      </c>
      <c r="H1148" s="14">
        <v>35.58</v>
      </c>
      <c r="I1148" s="14">
        <f>'PIVOT TABLES'!$B$26</f>
        <v>60.283999999999999</v>
      </c>
      <c r="J1148" s="14">
        <f>'PIVOT TABLES'!$B$27-'PIVOT TABLES'!$B$26</f>
        <v>30.142000000000003</v>
      </c>
      <c r="K1148" s="14">
        <f>'PIVOT TABLES'!$B$28-'PIVOT TABLES'!$B$27</f>
        <v>30.141999999999996</v>
      </c>
      <c r="L1148" s="14">
        <f>200-SUM(Table3[[#This Row],[D - LIGHT]:[D - VIGOROUS]])</f>
        <v>79.432000000000002</v>
      </c>
      <c r="M1148" s="14">
        <f>'PIVOT TABLES'!$I$26</f>
        <v>65.603999999999999</v>
      </c>
      <c r="N1148" s="14">
        <f>'PIVOT TABLES'!$I$27-'PIVOT TABLES'!$I$26</f>
        <v>32.802000000000007</v>
      </c>
      <c r="O1148" s="14">
        <f>'PIVOT TABLES'!$I$28-'PIVOT TABLES'!$I$27</f>
        <v>32.801999999999992</v>
      </c>
      <c r="P1148" s="14">
        <f>200-SUM(Table3[[#This Row],[M - LIGHT]:[M - VIGOROUS]])</f>
        <v>68.792000000000002</v>
      </c>
      <c r="Q1148" s="14">
        <f>'PIVOT TABLES'!$P$26</f>
        <v>62.64</v>
      </c>
      <c r="R1148" s="14">
        <f>'PIVOT TABLES'!$P$27-'PIVOT TABLES'!$P$26</f>
        <v>31.320000000000007</v>
      </c>
      <c r="S1148" s="14">
        <f>'PIVOT TABLES'!$P$28-'PIVOT TABLES'!$P$27</f>
        <v>31.319999999999993</v>
      </c>
      <c r="T1148" s="14">
        <f>200-SUM(Table3[[#This Row],[W - LIGHT]:[W - VIGOROUS]])</f>
        <v>74.72</v>
      </c>
      <c r="U1148" s="14">
        <f>'PIVOT TABLES'!$W$26</f>
        <v>55.895999999999994</v>
      </c>
      <c r="V1148" s="14">
        <f>'PIVOT TABLES'!$W$27-'PIVOT TABLES'!$W$26</f>
        <v>27.948</v>
      </c>
      <c r="W1148" s="14">
        <f>'PIVOT TABLES'!$W$28-'PIVOT TABLES'!$W$27</f>
        <v>27.947999999999993</v>
      </c>
      <c r="X1148" s="14">
        <f>200-SUM(Table3[[#This Row],[S - LIGHT]:[S - VIGOROUS]])</f>
        <v>88.208000000000013</v>
      </c>
    </row>
    <row r="1149" spans="1:24" x14ac:dyDescent="0.25">
      <c r="A1149" s="13" t="s">
        <v>2</v>
      </c>
      <c r="B1149" s="13" t="str">
        <f t="shared" si="17"/>
        <v>Defender</v>
      </c>
      <c r="C1149" s="7">
        <v>45365.441944444443</v>
      </c>
      <c r="D1149" s="14">
        <v>6417</v>
      </c>
      <c r="E1149" s="14">
        <v>169</v>
      </c>
      <c r="F1149" s="14">
        <v>38</v>
      </c>
      <c r="G1149" s="14">
        <v>31</v>
      </c>
      <c r="H1149" s="14">
        <v>71.38</v>
      </c>
      <c r="I1149" s="14">
        <f>'PIVOT TABLES'!$B$26</f>
        <v>60.283999999999999</v>
      </c>
      <c r="J1149" s="14">
        <f>'PIVOT TABLES'!$B$27-'PIVOT TABLES'!$B$26</f>
        <v>30.142000000000003</v>
      </c>
      <c r="K1149" s="14">
        <f>'PIVOT TABLES'!$B$28-'PIVOT TABLES'!$B$27</f>
        <v>30.141999999999996</v>
      </c>
      <c r="L1149" s="14">
        <f>200-SUM(Table3[[#This Row],[D - LIGHT]:[D - VIGOROUS]])</f>
        <v>79.432000000000002</v>
      </c>
      <c r="M1149" s="14">
        <f>'PIVOT TABLES'!$I$26</f>
        <v>65.603999999999999</v>
      </c>
      <c r="N1149" s="14">
        <f>'PIVOT TABLES'!$I$27-'PIVOT TABLES'!$I$26</f>
        <v>32.802000000000007</v>
      </c>
      <c r="O1149" s="14">
        <f>'PIVOT TABLES'!$I$28-'PIVOT TABLES'!$I$27</f>
        <v>32.801999999999992</v>
      </c>
      <c r="P1149" s="14">
        <f>200-SUM(Table3[[#This Row],[M - LIGHT]:[M - VIGOROUS]])</f>
        <v>68.792000000000002</v>
      </c>
      <c r="Q1149" s="14">
        <f>'PIVOT TABLES'!$P$26</f>
        <v>62.64</v>
      </c>
      <c r="R1149" s="14">
        <f>'PIVOT TABLES'!$P$27-'PIVOT TABLES'!$P$26</f>
        <v>31.320000000000007</v>
      </c>
      <c r="S1149" s="14">
        <f>'PIVOT TABLES'!$P$28-'PIVOT TABLES'!$P$27</f>
        <v>31.319999999999993</v>
      </c>
      <c r="T1149" s="14">
        <f>200-SUM(Table3[[#This Row],[W - LIGHT]:[W - VIGOROUS]])</f>
        <v>74.72</v>
      </c>
      <c r="U1149" s="14">
        <f>'PIVOT TABLES'!$W$26</f>
        <v>55.895999999999994</v>
      </c>
      <c r="V1149" s="14">
        <f>'PIVOT TABLES'!$W$27-'PIVOT TABLES'!$W$26</f>
        <v>27.948</v>
      </c>
      <c r="W1149" s="14">
        <f>'PIVOT TABLES'!$W$28-'PIVOT TABLES'!$W$27</f>
        <v>27.947999999999993</v>
      </c>
      <c r="X1149" s="14">
        <f>200-SUM(Table3[[#This Row],[S - LIGHT]:[S - VIGOROUS]])</f>
        <v>88.208000000000013</v>
      </c>
    </row>
    <row r="1150" spans="1:24" x14ac:dyDescent="0.25">
      <c r="A1150" s="13" t="s">
        <v>58</v>
      </c>
      <c r="B1150" s="13" t="str">
        <f t="shared" si="17"/>
        <v>Defender</v>
      </c>
      <c r="C1150" s="7">
        <v>45365.441944444443</v>
      </c>
      <c r="D1150" s="14">
        <v>1597</v>
      </c>
      <c r="E1150" s="14">
        <v>0</v>
      </c>
      <c r="F1150" s="14">
        <v>0</v>
      </c>
      <c r="G1150" s="14">
        <v>1</v>
      </c>
      <c r="H1150" s="14">
        <v>15.99</v>
      </c>
      <c r="I1150" s="14">
        <f>'PIVOT TABLES'!$B$26</f>
        <v>60.283999999999999</v>
      </c>
      <c r="J1150" s="14">
        <f>'PIVOT TABLES'!$B$27-'PIVOT TABLES'!$B$26</f>
        <v>30.142000000000003</v>
      </c>
      <c r="K1150" s="14">
        <f>'PIVOT TABLES'!$B$28-'PIVOT TABLES'!$B$27</f>
        <v>30.141999999999996</v>
      </c>
      <c r="L1150" s="14">
        <f>200-SUM(Table3[[#This Row],[D - LIGHT]:[D - VIGOROUS]])</f>
        <v>79.432000000000002</v>
      </c>
      <c r="M1150" s="14">
        <f>'PIVOT TABLES'!$I$26</f>
        <v>65.603999999999999</v>
      </c>
      <c r="N1150" s="14">
        <f>'PIVOT TABLES'!$I$27-'PIVOT TABLES'!$I$26</f>
        <v>32.802000000000007</v>
      </c>
      <c r="O1150" s="14">
        <f>'PIVOT TABLES'!$I$28-'PIVOT TABLES'!$I$27</f>
        <v>32.801999999999992</v>
      </c>
      <c r="P1150" s="14">
        <f>200-SUM(Table3[[#This Row],[M - LIGHT]:[M - VIGOROUS]])</f>
        <v>68.792000000000002</v>
      </c>
      <c r="Q1150" s="14">
        <f>'PIVOT TABLES'!$P$26</f>
        <v>62.64</v>
      </c>
      <c r="R1150" s="14">
        <f>'PIVOT TABLES'!$P$27-'PIVOT TABLES'!$P$26</f>
        <v>31.320000000000007</v>
      </c>
      <c r="S1150" s="14">
        <f>'PIVOT TABLES'!$P$28-'PIVOT TABLES'!$P$27</f>
        <v>31.319999999999993</v>
      </c>
      <c r="T1150" s="14">
        <f>200-SUM(Table3[[#This Row],[W - LIGHT]:[W - VIGOROUS]])</f>
        <v>74.72</v>
      </c>
      <c r="U1150" s="14">
        <f>'PIVOT TABLES'!$W$26</f>
        <v>55.895999999999994</v>
      </c>
      <c r="V1150" s="14">
        <f>'PIVOT TABLES'!$W$27-'PIVOT TABLES'!$W$26</f>
        <v>27.948</v>
      </c>
      <c r="W1150" s="14">
        <f>'PIVOT TABLES'!$W$28-'PIVOT TABLES'!$W$27</f>
        <v>27.947999999999993</v>
      </c>
      <c r="X1150" s="14">
        <f>200-SUM(Table3[[#This Row],[S - LIGHT]:[S - VIGOROUS]])</f>
        <v>88.208000000000013</v>
      </c>
    </row>
    <row r="1151" spans="1:24" x14ac:dyDescent="0.25">
      <c r="A1151" s="13" t="s">
        <v>3</v>
      </c>
      <c r="B1151" s="13" t="str">
        <f t="shared" si="17"/>
        <v>Defender</v>
      </c>
      <c r="C1151" s="7">
        <v>45365.441944444443</v>
      </c>
      <c r="D1151" s="14">
        <v>6220</v>
      </c>
      <c r="E1151" s="14">
        <v>27</v>
      </c>
      <c r="F1151" s="14">
        <v>20</v>
      </c>
      <c r="G1151" s="14">
        <v>20</v>
      </c>
      <c r="H1151" s="14">
        <v>64.209999999999994</v>
      </c>
      <c r="I1151" s="14">
        <f>'PIVOT TABLES'!$B$26</f>
        <v>60.283999999999999</v>
      </c>
      <c r="J1151" s="14">
        <f>'PIVOT TABLES'!$B$27-'PIVOT TABLES'!$B$26</f>
        <v>30.142000000000003</v>
      </c>
      <c r="K1151" s="14">
        <f>'PIVOT TABLES'!$B$28-'PIVOT TABLES'!$B$27</f>
        <v>30.141999999999996</v>
      </c>
      <c r="L1151" s="14">
        <f>200-SUM(Table3[[#This Row],[D - LIGHT]:[D - VIGOROUS]])</f>
        <v>79.432000000000002</v>
      </c>
      <c r="M1151" s="14">
        <f>'PIVOT TABLES'!$I$26</f>
        <v>65.603999999999999</v>
      </c>
      <c r="N1151" s="14">
        <f>'PIVOT TABLES'!$I$27-'PIVOT TABLES'!$I$26</f>
        <v>32.802000000000007</v>
      </c>
      <c r="O1151" s="14">
        <f>'PIVOT TABLES'!$I$28-'PIVOT TABLES'!$I$27</f>
        <v>32.801999999999992</v>
      </c>
      <c r="P1151" s="14">
        <f>200-SUM(Table3[[#This Row],[M - LIGHT]:[M - VIGOROUS]])</f>
        <v>68.792000000000002</v>
      </c>
      <c r="Q1151" s="14">
        <f>'PIVOT TABLES'!$P$26</f>
        <v>62.64</v>
      </c>
      <c r="R1151" s="14">
        <f>'PIVOT TABLES'!$P$27-'PIVOT TABLES'!$P$26</f>
        <v>31.320000000000007</v>
      </c>
      <c r="S1151" s="14">
        <f>'PIVOT TABLES'!$P$28-'PIVOT TABLES'!$P$27</f>
        <v>31.319999999999993</v>
      </c>
      <c r="T1151" s="14">
        <f>200-SUM(Table3[[#This Row],[W - LIGHT]:[W - VIGOROUS]])</f>
        <v>74.72</v>
      </c>
      <c r="U1151" s="14">
        <f>'PIVOT TABLES'!$W$26</f>
        <v>55.895999999999994</v>
      </c>
      <c r="V1151" s="14">
        <f>'PIVOT TABLES'!$W$27-'PIVOT TABLES'!$W$26</f>
        <v>27.948</v>
      </c>
      <c r="W1151" s="14">
        <f>'PIVOT TABLES'!$W$28-'PIVOT TABLES'!$W$27</f>
        <v>27.947999999999993</v>
      </c>
      <c r="X1151" s="14">
        <f>200-SUM(Table3[[#This Row],[S - LIGHT]:[S - VIGOROUS]])</f>
        <v>88.208000000000013</v>
      </c>
    </row>
    <row r="1152" spans="1:24" x14ac:dyDescent="0.25">
      <c r="A1152" s="13" t="s">
        <v>59</v>
      </c>
      <c r="B1152" s="13" t="str">
        <f t="shared" si="17"/>
        <v>Striker</v>
      </c>
      <c r="C1152" s="7">
        <v>45365.441944444443</v>
      </c>
      <c r="D1152" s="14">
        <v>7104</v>
      </c>
      <c r="E1152" s="14">
        <v>79</v>
      </c>
      <c r="F1152" s="14">
        <v>38</v>
      </c>
      <c r="G1152" s="14">
        <v>34</v>
      </c>
      <c r="H1152" s="14">
        <v>75.61</v>
      </c>
      <c r="I1152" s="14">
        <f>'PIVOT TABLES'!$B$26</f>
        <v>60.283999999999999</v>
      </c>
      <c r="J1152" s="14">
        <f>'PIVOT TABLES'!$B$27-'PIVOT TABLES'!$B$26</f>
        <v>30.142000000000003</v>
      </c>
      <c r="K1152" s="14">
        <f>'PIVOT TABLES'!$B$28-'PIVOT TABLES'!$B$27</f>
        <v>30.141999999999996</v>
      </c>
      <c r="L1152" s="14">
        <f>200-SUM(Table3[[#This Row],[D - LIGHT]:[D - VIGOROUS]])</f>
        <v>79.432000000000002</v>
      </c>
      <c r="M1152" s="14">
        <f>'PIVOT TABLES'!$I$26</f>
        <v>65.603999999999999</v>
      </c>
      <c r="N1152" s="14">
        <f>'PIVOT TABLES'!$I$27-'PIVOT TABLES'!$I$26</f>
        <v>32.802000000000007</v>
      </c>
      <c r="O1152" s="14">
        <f>'PIVOT TABLES'!$I$28-'PIVOT TABLES'!$I$27</f>
        <v>32.801999999999992</v>
      </c>
      <c r="P1152" s="14">
        <f>200-SUM(Table3[[#This Row],[M - LIGHT]:[M - VIGOROUS]])</f>
        <v>68.792000000000002</v>
      </c>
      <c r="Q1152" s="14">
        <f>'PIVOT TABLES'!$P$26</f>
        <v>62.64</v>
      </c>
      <c r="R1152" s="14">
        <f>'PIVOT TABLES'!$P$27-'PIVOT TABLES'!$P$26</f>
        <v>31.320000000000007</v>
      </c>
      <c r="S1152" s="14">
        <f>'PIVOT TABLES'!$P$28-'PIVOT TABLES'!$P$27</f>
        <v>31.319999999999993</v>
      </c>
      <c r="T1152" s="14">
        <f>200-SUM(Table3[[#This Row],[W - LIGHT]:[W - VIGOROUS]])</f>
        <v>74.72</v>
      </c>
      <c r="U1152" s="14">
        <f>'PIVOT TABLES'!$W$26</f>
        <v>55.895999999999994</v>
      </c>
      <c r="V1152" s="14">
        <f>'PIVOT TABLES'!$W$27-'PIVOT TABLES'!$W$26</f>
        <v>27.948</v>
      </c>
      <c r="W1152" s="14">
        <f>'PIVOT TABLES'!$W$28-'PIVOT TABLES'!$W$27</f>
        <v>27.947999999999993</v>
      </c>
      <c r="X1152" s="14">
        <f>200-SUM(Table3[[#This Row],[S - LIGHT]:[S - VIGOROUS]])</f>
        <v>88.208000000000013</v>
      </c>
    </row>
    <row r="1153" spans="1:24" x14ac:dyDescent="0.25">
      <c r="A1153" s="13" t="s">
        <v>4</v>
      </c>
      <c r="B1153" s="13" t="str">
        <f t="shared" si="17"/>
        <v>Midfielder</v>
      </c>
      <c r="C1153" s="7">
        <v>45365.441944444443</v>
      </c>
      <c r="D1153" s="14">
        <v>6721</v>
      </c>
      <c r="E1153" s="14">
        <v>53</v>
      </c>
      <c r="F1153" s="14">
        <v>27</v>
      </c>
      <c r="G1153" s="14">
        <v>14</v>
      </c>
      <c r="H1153" s="14">
        <v>70.16</v>
      </c>
      <c r="I1153" s="14">
        <f>'PIVOT TABLES'!$B$26</f>
        <v>60.283999999999999</v>
      </c>
      <c r="J1153" s="14">
        <f>'PIVOT TABLES'!$B$27-'PIVOT TABLES'!$B$26</f>
        <v>30.142000000000003</v>
      </c>
      <c r="K1153" s="14">
        <f>'PIVOT TABLES'!$B$28-'PIVOT TABLES'!$B$27</f>
        <v>30.141999999999996</v>
      </c>
      <c r="L1153" s="14">
        <f>200-SUM(Table3[[#This Row],[D - LIGHT]:[D - VIGOROUS]])</f>
        <v>79.432000000000002</v>
      </c>
      <c r="M1153" s="14">
        <f>'PIVOT TABLES'!$I$26</f>
        <v>65.603999999999999</v>
      </c>
      <c r="N1153" s="14">
        <f>'PIVOT TABLES'!$I$27-'PIVOT TABLES'!$I$26</f>
        <v>32.802000000000007</v>
      </c>
      <c r="O1153" s="14">
        <f>'PIVOT TABLES'!$I$28-'PIVOT TABLES'!$I$27</f>
        <v>32.801999999999992</v>
      </c>
      <c r="P1153" s="14">
        <f>200-SUM(Table3[[#This Row],[M - LIGHT]:[M - VIGOROUS]])</f>
        <v>68.792000000000002</v>
      </c>
      <c r="Q1153" s="14">
        <f>'PIVOT TABLES'!$P$26</f>
        <v>62.64</v>
      </c>
      <c r="R1153" s="14">
        <f>'PIVOT TABLES'!$P$27-'PIVOT TABLES'!$P$26</f>
        <v>31.320000000000007</v>
      </c>
      <c r="S1153" s="14">
        <f>'PIVOT TABLES'!$P$28-'PIVOT TABLES'!$P$27</f>
        <v>31.319999999999993</v>
      </c>
      <c r="T1153" s="14">
        <f>200-SUM(Table3[[#This Row],[W - LIGHT]:[W - VIGOROUS]])</f>
        <v>74.72</v>
      </c>
      <c r="U1153" s="14">
        <f>'PIVOT TABLES'!$W$26</f>
        <v>55.895999999999994</v>
      </c>
      <c r="V1153" s="14">
        <f>'PIVOT TABLES'!$W$27-'PIVOT TABLES'!$W$26</f>
        <v>27.948</v>
      </c>
      <c r="W1153" s="14">
        <f>'PIVOT TABLES'!$W$28-'PIVOT TABLES'!$W$27</f>
        <v>27.947999999999993</v>
      </c>
      <c r="X1153" s="14">
        <f>200-SUM(Table3[[#This Row],[S - LIGHT]:[S - VIGOROUS]])</f>
        <v>88.208000000000013</v>
      </c>
    </row>
    <row r="1154" spans="1:24" x14ac:dyDescent="0.25">
      <c r="A1154" s="13" t="s">
        <v>60</v>
      </c>
      <c r="B1154" s="13" t="str">
        <f t="shared" si="17"/>
        <v>Winger</v>
      </c>
      <c r="C1154" s="7">
        <v>45365.441944444443</v>
      </c>
      <c r="D1154" s="14">
        <v>7696</v>
      </c>
      <c r="E1154" s="14">
        <v>170</v>
      </c>
      <c r="F1154" s="14">
        <v>26</v>
      </c>
      <c r="G1154" s="14">
        <v>25</v>
      </c>
      <c r="H1154" s="14">
        <v>83.6</v>
      </c>
      <c r="I1154" s="14">
        <f>'PIVOT TABLES'!$B$26</f>
        <v>60.283999999999999</v>
      </c>
      <c r="J1154" s="14">
        <f>'PIVOT TABLES'!$B$27-'PIVOT TABLES'!$B$26</f>
        <v>30.142000000000003</v>
      </c>
      <c r="K1154" s="14">
        <f>'PIVOT TABLES'!$B$28-'PIVOT TABLES'!$B$27</f>
        <v>30.141999999999996</v>
      </c>
      <c r="L1154" s="14">
        <f>200-SUM(Table3[[#This Row],[D - LIGHT]:[D - VIGOROUS]])</f>
        <v>79.432000000000002</v>
      </c>
      <c r="M1154" s="14">
        <f>'PIVOT TABLES'!$I$26</f>
        <v>65.603999999999999</v>
      </c>
      <c r="N1154" s="14">
        <f>'PIVOT TABLES'!$I$27-'PIVOT TABLES'!$I$26</f>
        <v>32.802000000000007</v>
      </c>
      <c r="O1154" s="14">
        <f>'PIVOT TABLES'!$I$28-'PIVOT TABLES'!$I$27</f>
        <v>32.801999999999992</v>
      </c>
      <c r="P1154" s="14">
        <f>200-SUM(Table3[[#This Row],[M - LIGHT]:[M - VIGOROUS]])</f>
        <v>68.792000000000002</v>
      </c>
      <c r="Q1154" s="14">
        <f>'PIVOT TABLES'!$P$26</f>
        <v>62.64</v>
      </c>
      <c r="R1154" s="14">
        <f>'PIVOT TABLES'!$P$27-'PIVOT TABLES'!$P$26</f>
        <v>31.320000000000007</v>
      </c>
      <c r="S1154" s="14">
        <f>'PIVOT TABLES'!$P$28-'PIVOT TABLES'!$P$27</f>
        <v>31.319999999999993</v>
      </c>
      <c r="T1154" s="14">
        <f>200-SUM(Table3[[#This Row],[W - LIGHT]:[W - VIGOROUS]])</f>
        <v>74.72</v>
      </c>
      <c r="U1154" s="14">
        <f>'PIVOT TABLES'!$W$26</f>
        <v>55.895999999999994</v>
      </c>
      <c r="V1154" s="14">
        <f>'PIVOT TABLES'!$W$27-'PIVOT TABLES'!$W$26</f>
        <v>27.948</v>
      </c>
      <c r="W1154" s="14">
        <f>'PIVOT TABLES'!$W$28-'PIVOT TABLES'!$W$27</f>
        <v>27.947999999999993</v>
      </c>
      <c r="X1154" s="14">
        <f>200-SUM(Table3[[#This Row],[S - LIGHT]:[S - VIGOROUS]])</f>
        <v>88.208000000000013</v>
      </c>
    </row>
    <row r="1155" spans="1:24" x14ac:dyDescent="0.25">
      <c r="A1155" s="13" t="s">
        <v>71</v>
      </c>
      <c r="B1155" s="13" t="str">
        <f t="shared" ref="B1155:B1218" si="18">IF(A1155="Sihle Gum","Defender",IF(A1155="Kenny Langa","Defender",IF(A1155="Tshepang Makara","Defender",IF(A1155="Tshepiso Mahlangu","Defender",IF(A1155="Neo Ramashala","Defender",IF(A1155="Keabetswe Nkogatse","Defender",IF(A1155="Kaketso Harold Majadibodu","Defender",IF(A1155="Samuel Julies","Midfielder",IF(A1155="Frank Mpedi","Midfielder",IF(A1155="Sapholwethu Kelepu","Midfielder",IF(A1155="Manelisi Sithole","Midfielder",IF(A1155="Thabiso Mokoena","Midfielder",IF(A1155="Khomotso Marebane","Midfielder",IF(A1155="Tebogo Mohlamonyane","Midfielder",IF(A1155="Thulani Zandamela","Midfielder",IF(A1155="Mdevulana Camagu","Midfielder",IF(A1155="Promise Mkhuma","Midfielder",IF(A1155="Essien Makwarimba","Midfielder",IF(A1155="Ayanda Mvambi","Winger",IF(A1155="Delano Abrahams","Winger",IF(A1155="Thokozani Sekotlong","Winger",IF(A1155="Maselaelo Seanego","Winger",IF(A1155="Lesedi Motha","Winger",IF(A1155="Malekgene Mampuru","Winger",IF(A1155="Matome Rangata","Winger",IF(A1155="Thabang Sibanyoni","Striker",IF(A1155="Tebogo Makungo","Striker",IF(A1155="Neo Dikgale","Striker",IF(A1155="Kamohelo Pheeane","Striker",IF(A1155="Athenkosi Tonisi","Striker",IF(A1155="Jesse Francis","Striker","####")))))))))))))))))))))))))))))))</f>
        <v>Midfielder</v>
      </c>
      <c r="C1155" s="7">
        <v>45365.441944444443</v>
      </c>
      <c r="D1155" s="14">
        <v>7002</v>
      </c>
      <c r="E1155" s="14">
        <v>33</v>
      </c>
      <c r="F1155" s="14">
        <v>17</v>
      </c>
      <c r="G1155" s="14">
        <v>12</v>
      </c>
      <c r="H1155" s="14">
        <v>71.930000000000007</v>
      </c>
      <c r="I1155" s="14">
        <f>'PIVOT TABLES'!$B$26</f>
        <v>60.283999999999999</v>
      </c>
      <c r="J1155" s="14">
        <f>'PIVOT TABLES'!$B$27-'PIVOT TABLES'!$B$26</f>
        <v>30.142000000000003</v>
      </c>
      <c r="K1155" s="14">
        <f>'PIVOT TABLES'!$B$28-'PIVOT TABLES'!$B$27</f>
        <v>30.141999999999996</v>
      </c>
      <c r="L1155" s="14">
        <f>200-SUM(Table3[[#This Row],[D - LIGHT]:[D - VIGOROUS]])</f>
        <v>79.432000000000002</v>
      </c>
      <c r="M1155" s="14">
        <f>'PIVOT TABLES'!$I$26</f>
        <v>65.603999999999999</v>
      </c>
      <c r="N1155" s="14">
        <f>'PIVOT TABLES'!$I$27-'PIVOT TABLES'!$I$26</f>
        <v>32.802000000000007</v>
      </c>
      <c r="O1155" s="14">
        <f>'PIVOT TABLES'!$I$28-'PIVOT TABLES'!$I$27</f>
        <v>32.801999999999992</v>
      </c>
      <c r="P1155" s="14">
        <f>200-SUM(Table3[[#This Row],[M - LIGHT]:[M - VIGOROUS]])</f>
        <v>68.792000000000002</v>
      </c>
      <c r="Q1155" s="14">
        <f>'PIVOT TABLES'!$P$26</f>
        <v>62.64</v>
      </c>
      <c r="R1155" s="14">
        <f>'PIVOT TABLES'!$P$27-'PIVOT TABLES'!$P$26</f>
        <v>31.320000000000007</v>
      </c>
      <c r="S1155" s="14">
        <f>'PIVOT TABLES'!$P$28-'PIVOT TABLES'!$P$27</f>
        <v>31.319999999999993</v>
      </c>
      <c r="T1155" s="14">
        <f>200-SUM(Table3[[#This Row],[W - LIGHT]:[W - VIGOROUS]])</f>
        <v>74.72</v>
      </c>
      <c r="U1155" s="14">
        <f>'PIVOT TABLES'!$W$26</f>
        <v>55.895999999999994</v>
      </c>
      <c r="V1155" s="14">
        <f>'PIVOT TABLES'!$W$27-'PIVOT TABLES'!$W$26</f>
        <v>27.948</v>
      </c>
      <c r="W1155" s="14">
        <f>'PIVOT TABLES'!$W$28-'PIVOT TABLES'!$W$27</f>
        <v>27.947999999999993</v>
      </c>
      <c r="X1155" s="14">
        <f>200-SUM(Table3[[#This Row],[S - LIGHT]:[S - VIGOROUS]])</f>
        <v>88.208000000000013</v>
      </c>
    </row>
    <row r="1156" spans="1:24" x14ac:dyDescent="0.25">
      <c r="A1156" s="13" t="s">
        <v>5</v>
      </c>
      <c r="B1156" s="13" t="str">
        <f t="shared" si="18"/>
        <v>Midfielder</v>
      </c>
      <c r="C1156" s="7">
        <v>45365.441944444443</v>
      </c>
      <c r="D1156" s="14">
        <v>1280</v>
      </c>
      <c r="E1156" s="14">
        <v>0</v>
      </c>
      <c r="F1156" s="14">
        <v>1</v>
      </c>
      <c r="G1156" s="14">
        <v>6</v>
      </c>
      <c r="H1156" s="14">
        <v>12.96</v>
      </c>
      <c r="I1156" s="14">
        <f>'PIVOT TABLES'!$B$26</f>
        <v>60.283999999999999</v>
      </c>
      <c r="J1156" s="14">
        <f>'PIVOT TABLES'!$B$27-'PIVOT TABLES'!$B$26</f>
        <v>30.142000000000003</v>
      </c>
      <c r="K1156" s="14">
        <f>'PIVOT TABLES'!$B$28-'PIVOT TABLES'!$B$27</f>
        <v>30.141999999999996</v>
      </c>
      <c r="L1156" s="14">
        <f>200-SUM(Table3[[#This Row],[D - LIGHT]:[D - VIGOROUS]])</f>
        <v>79.432000000000002</v>
      </c>
      <c r="M1156" s="14">
        <f>'PIVOT TABLES'!$I$26</f>
        <v>65.603999999999999</v>
      </c>
      <c r="N1156" s="14">
        <f>'PIVOT TABLES'!$I$27-'PIVOT TABLES'!$I$26</f>
        <v>32.802000000000007</v>
      </c>
      <c r="O1156" s="14">
        <f>'PIVOT TABLES'!$I$28-'PIVOT TABLES'!$I$27</f>
        <v>32.801999999999992</v>
      </c>
      <c r="P1156" s="14">
        <f>200-SUM(Table3[[#This Row],[M - LIGHT]:[M - VIGOROUS]])</f>
        <v>68.792000000000002</v>
      </c>
      <c r="Q1156" s="14">
        <f>'PIVOT TABLES'!$P$26</f>
        <v>62.64</v>
      </c>
      <c r="R1156" s="14">
        <f>'PIVOT TABLES'!$P$27-'PIVOT TABLES'!$P$26</f>
        <v>31.320000000000007</v>
      </c>
      <c r="S1156" s="14">
        <f>'PIVOT TABLES'!$P$28-'PIVOT TABLES'!$P$27</f>
        <v>31.319999999999993</v>
      </c>
      <c r="T1156" s="14">
        <f>200-SUM(Table3[[#This Row],[W - LIGHT]:[W - VIGOROUS]])</f>
        <v>74.72</v>
      </c>
      <c r="U1156" s="14">
        <f>'PIVOT TABLES'!$W$26</f>
        <v>55.895999999999994</v>
      </c>
      <c r="V1156" s="14">
        <f>'PIVOT TABLES'!$W$27-'PIVOT TABLES'!$W$26</f>
        <v>27.948</v>
      </c>
      <c r="W1156" s="14">
        <f>'PIVOT TABLES'!$W$28-'PIVOT TABLES'!$W$27</f>
        <v>27.947999999999993</v>
      </c>
      <c r="X1156" s="14">
        <f>200-SUM(Table3[[#This Row],[S - LIGHT]:[S - VIGOROUS]])</f>
        <v>88.208000000000013</v>
      </c>
    </row>
    <row r="1157" spans="1:24" x14ac:dyDescent="0.25">
      <c r="A1157" s="13" t="s">
        <v>6</v>
      </c>
      <c r="B1157" s="13" t="str">
        <f t="shared" si="18"/>
        <v>Midfielder</v>
      </c>
      <c r="C1157" s="7">
        <v>45365.441944444443</v>
      </c>
      <c r="D1157" s="14">
        <v>1203</v>
      </c>
      <c r="E1157" s="14">
        <v>0</v>
      </c>
      <c r="F1157" s="14">
        <v>0</v>
      </c>
      <c r="G1157" s="14">
        <v>5</v>
      </c>
      <c r="H1157" s="14">
        <v>12.13</v>
      </c>
      <c r="I1157" s="14">
        <f>'PIVOT TABLES'!$B$26</f>
        <v>60.283999999999999</v>
      </c>
      <c r="J1157" s="14">
        <f>'PIVOT TABLES'!$B$27-'PIVOT TABLES'!$B$26</f>
        <v>30.142000000000003</v>
      </c>
      <c r="K1157" s="14">
        <f>'PIVOT TABLES'!$B$28-'PIVOT TABLES'!$B$27</f>
        <v>30.141999999999996</v>
      </c>
      <c r="L1157" s="14">
        <f>200-SUM(Table3[[#This Row],[D - LIGHT]:[D - VIGOROUS]])</f>
        <v>79.432000000000002</v>
      </c>
      <c r="M1157" s="14">
        <f>'PIVOT TABLES'!$I$26</f>
        <v>65.603999999999999</v>
      </c>
      <c r="N1157" s="14">
        <f>'PIVOT TABLES'!$I$27-'PIVOT TABLES'!$I$26</f>
        <v>32.802000000000007</v>
      </c>
      <c r="O1157" s="14">
        <f>'PIVOT TABLES'!$I$28-'PIVOT TABLES'!$I$27</f>
        <v>32.801999999999992</v>
      </c>
      <c r="P1157" s="14">
        <f>200-SUM(Table3[[#This Row],[M - LIGHT]:[M - VIGOROUS]])</f>
        <v>68.792000000000002</v>
      </c>
      <c r="Q1157" s="14">
        <f>'PIVOT TABLES'!$P$26</f>
        <v>62.64</v>
      </c>
      <c r="R1157" s="14">
        <f>'PIVOT TABLES'!$P$27-'PIVOT TABLES'!$P$26</f>
        <v>31.320000000000007</v>
      </c>
      <c r="S1157" s="14">
        <f>'PIVOT TABLES'!$P$28-'PIVOT TABLES'!$P$27</f>
        <v>31.319999999999993</v>
      </c>
      <c r="T1157" s="14">
        <f>200-SUM(Table3[[#This Row],[W - LIGHT]:[W - VIGOROUS]])</f>
        <v>74.72</v>
      </c>
      <c r="U1157" s="14">
        <f>'PIVOT TABLES'!$W$26</f>
        <v>55.895999999999994</v>
      </c>
      <c r="V1157" s="14">
        <f>'PIVOT TABLES'!$W$27-'PIVOT TABLES'!$W$26</f>
        <v>27.948</v>
      </c>
      <c r="W1157" s="14">
        <f>'PIVOT TABLES'!$W$28-'PIVOT TABLES'!$W$27</f>
        <v>27.947999999999993</v>
      </c>
      <c r="X1157" s="14">
        <f>200-SUM(Table3[[#This Row],[S - LIGHT]:[S - VIGOROUS]])</f>
        <v>88.208000000000013</v>
      </c>
    </row>
    <row r="1158" spans="1:24" x14ac:dyDescent="0.25">
      <c r="A1158" s="13" t="s">
        <v>62</v>
      </c>
      <c r="B1158" s="13" t="str">
        <f t="shared" si="18"/>
        <v>Midfielder</v>
      </c>
      <c r="C1158" s="7">
        <v>45365.441944444443</v>
      </c>
      <c r="D1158" s="14">
        <v>1256</v>
      </c>
      <c r="E1158" s="14">
        <v>0</v>
      </c>
      <c r="F1158" s="14">
        <v>0</v>
      </c>
      <c r="G1158" s="14">
        <v>0</v>
      </c>
      <c r="H1158" s="14">
        <v>12.56</v>
      </c>
      <c r="I1158" s="14">
        <f>'PIVOT TABLES'!$B$26</f>
        <v>60.283999999999999</v>
      </c>
      <c r="J1158" s="14">
        <f>'PIVOT TABLES'!$B$27-'PIVOT TABLES'!$B$26</f>
        <v>30.142000000000003</v>
      </c>
      <c r="K1158" s="14">
        <f>'PIVOT TABLES'!$B$28-'PIVOT TABLES'!$B$27</f>
        <v>30.141999999999996</v>
      </c>
      <c r="L1158" s="14">
        <f>200-SUM(Table3[[#This Row],[D - LIGHT]:[D - VIGOROUS]])</f>
        <v>79.432000000000002</v>
      </c>
      <c r="M1158" s="14">
        <f>'PIVOT TABLES'!$I$26</f>
        <v>65.603999999999999</v>
      </c>
      <c r="N1158" s="14">
        <f>'PIVOT TABLES'!$I$27-'PIVOT TABLES'!$I$26</f>
        <v>32.802000000000007</v>
      </c>
      <c r="O1158" s="14">
        <f>'PIVOT TABLES'!$I$28-'PIVOT TABLES'!$I$27</f>
        <v>32.801999999999992</v>
      </c>
      <c r="P1158" s="14">
        <f>200-SUM(Table3[[#This Row],[M - LIGHT]:[M - VIGOROUS]])</f>
        <v>68.792000000000002</v>
      </c>
      <c r="Q1158" s="14">
        <f>'PIVOT TABLES'!$P$26</f>
        <v>62.64</v>
      </c>
      <c r="R1158" s="14">
        <f>'PIVOT TABLES'!$P$27-'PIVOT TABLES'!$P$26</f>
        <v>31.320000000000007</v>
      </c>
      <c r="S1158" s="14">
        <f>'PIVOT TABLES'!$P$28-'PIVOT TABLES'!$P$27</f>
        <v>31.319999999999993</v>
      </c>
      <c r="T1158" s="14">
        <f>200-SUM(Table3[[#This Row],[W - LIGHT]:[W - VIGOROUS]])</f>
        <v>74.72</v>
      </c>
      <c r="U1158" s="14">
        <f>'PIVOT TABLES'!$W$26</f>
        <v>55.895999999999994</v>
      </c>
      <c r="V1158" s="14">
        <f>'PIVOT TABLES'!$W$27-'PIVOT TABLES'!$W$26</f>
        <v>27.948</v>
      </c>
      <c r="W1158" s="14">
        <f>'PIVOT TABLES'!$W$28-'PIVOT TABLES'!$W$27</f>
        <v>27.947999999999993</v>
      </c>
      <c r="X1158" s="14">
        <f>200-SUM(Table3[[#This Row],[S - LIGHT]:[S - VIGOROUS]])</f>
        <v>88.208000000000013</v>
      </c>
    </row>
    <row r="1159" spans="1:24" x14ac:dyDescent="0.25">
      <c r="A1159" s="13" t="s">
        <v>64</v>
      </c>
      <c r="B1159" s="13" t="str">
        <f t="shared" si="18"/>
        <v>Midfielder</v>
      </c>
      <c r="C1159" s="7">
        <v>45365.441944444443</v>
      </c>
      <c r="D1159" s="14">
        <v>1425</v>
      </c>
      <c r="E1159" s="14">
        <v>0</v>
      </c>
      <c r="F1159" s="14">
        <v>0</v>
      </c>
      <c r="G1159" s="14">
        <v>7</v>
      </c>
      <c r="H1159" s="14">
        <v>14.39</v>
      </c>
      <c r="I1159" s="14">
        <f>'PIVOT TABLES'!$B$26</f>
        <v>60.283999999999999</v>
      </c>
      <c r="J1159" s="14">
        <f>'PIVOT TABLES'!$B$27-'PIVOT TABLES'!$B$26</f>
        <v>30.142000000000003</v>
      </c>
      <c r="K1159" s="14">
        <f>'PIVOT TABLES'!$B$28-'PIVOT TABLES'!$B$27</f>
        <v>30.141999999999996</v>
      </c>
      <c r="L1159" s="14">
        <f>200-SUM(Table3[[#This Row],[D - LIGHT]:[D - VIGOROUS]])</f>
        <v>79.432000000000002</v>
      </c>
      <c r="M1159" s="14">
        <f>'PIVOT TABLES'!$I$26</f>
        <v>65.603999999999999</v>
      </c>
      <c r="N1159" s="14">
        <f>'PIVOT TABLES'!$I$27-'PIVOT TABLES'!$I$26</f>
        <v>32.802000000000007</v>
      </c>
      <c r="O1159" s="14">
        <f>'PIVOT TABLES'!$I$28-'PIVOT TABLES'!$I$27</f>
        <v>32.801999999999992</v>
      </c>
      <c r="P1159" s="14">
        <f>200-SUM(Table3[[#This Row],[M - LIGHT]:[M - VIGOROUS]])</f>
        <v>68.792000000000002</v>
      </c>
      <c r="Q1159" s="14">
        <f>'PIVOT TABLES'!$P$26</f>
        <v>62.64</v>
      </c>
      <c r="R1159" s="14">
        <f>'PIVOT TABLES'!$P$27-'PIVOT TABLES'!$P$26</f>
        <v>31.320000000000007</v>
      </c>
      <c r="S1159" s="14">
        <f>'PIVOT TABLES'!$P$28-'PIVOT TABLES'!$P$27</f>
        <v>31.319999999999993</v>
      </c>
      <c r="T1159" s="14">
        <f>200-SUM(Table3[[#This Row],[W - LIGHT]:[W - VIGOROUS]])</f>
        <v>74.72</v>
      </c>
      <c r="U1159" s="14">
        <f>'PIVOT TABLES'!$W$26</f>
        <v>55.895999999999994</v>
      </c>
      <c r="V1159" s="14">
        <f>'PIVOT TABLES'!$W$27-'PIVOT TABLES'!$W$26</f>
        <v>27.948</v>
      </c>
      <c r="W1159" s="14">
        <f>'PIVOT TABLES'!$W$28-'PIVOT TABLES'!$W$27</f>
        <v>27.947999999999993</v>
      </c>
      <c r="X1159" s="14">
        <f>200-SUM(Table3[[#This Row],[S - LIGHT]:[S - VIGOROUS]])</f>
        <v>88.208000000000013</v>
      </c>
    </row>
    <row r="1160" spans="1:24" x14ac:dyDescent="0.25">
      <c r="A1160" s="13" t="s">
        <v>65</v>
      </c>
      <c r="B1160" s="13" t="str">
        <f t="shared" si="18"/>
        <v>Winger</v>
      </c>
      <c r="C1160" s="7">
        <v>45365.441944444443</v>
      </c>
      <c r="D1160" s="14">
        <v>1698</v>
      </c>
      <c r="E1160" s="14">
        <v>0</v>
      </c>
      <c r="F1160" s="14">
        <v>0</v>
      </c>
      <c r="G1160" s="14">
        <v>1</v>
      </c>
      <c r="H1160" s="14">
        <v>17</v>
      </c>
      <c r="I1160" s="14">
        <f>'PIVOT TABLES'!$B$26</f>
        <v>60.283999999999999</v>
      </c>
      <c r="J1160" s="14">
        <f>'PIVOT TABLES'!$B$27-'PIVOT TABLES'!$B$26</f>
        <v>30.142000000000003</v>
      </c>
      <c r="K1160" s="14">
        <f>'PIVOT TABLES'!$B$28-'PIVOT TABLES'!$B$27</f>
        <v>30.141999999999996</v>
      </c>
      <c r="L1160" s="14">
        <f>200-SUM(Table3[[#This Row],[D - LIGHT]:[D - VIGOROUS]])</f>
        <v>79.432000000000002</v>
      </c>
      <c r="M1160" s="14">
        <f>'PIVOT TABLES'!$I$26</f>
        <v>65.603999999999999</v>
      </c>
      <c r="N1160" s="14">
        <f>'PIVOT TABLES'!$I$27-'PIVOT TABLES'!$I$26</f>
        <v>32.802000000000007</v>
      </c>
      <c r="O1160" s="14">
        <f>'PIVOT TABLES'!$I$28-'PIVOT TABLES'!$I$27</f>
        <v>32.801999999999992</v>
      </c>
      <c r="P1160" s="14">
        <f>200-SUM(Table3[[#This Row],[M - LIGHT]:[M - VIGOROUS]])</f>
        <v>68.792000000000002</v>
      </c>
      <c r="Q1160" s="14">
        <f>'PIVOT TABLES'!$P$26</f>
        <v>62.64</v>
      </c>
      <c r="R1160" s="14">
        <f>'PIVOT TABLES'!$P$27-'PIVOT TABLES'!$P$26</f>
        <v>31.320000000000007</v>
      </c>
      <c r="S1160" s="14">
        <f>'PIVOT TABLES'!$P$28-'PIVOT TABLES'!$P$27</f>
        <v>31.319999999999993</v>
      </c>
      <c r="T1160" s="14">
        <f>200-SUM(Table3[[#This Row],[W - LIGHT]:[W - VIGOROUS]])</f>
        <v>74.72</v>
      </c>
      <c r="U1160" s="14">
        <f>'PIVOT TABLES'!$W$26</f>
        <v>55.895999999999994</v>
      </c>
      <c r="V1160" s="14">
        <f>'PIVOT TABLES'!$W$27-'PIVOT TABLES'!$W$26</f>
        <v>27.948</v>
      </c>
      <c r="W1160" s="14">
        <f>'PIVOT TABLES'!$W$28-'PIVOT TABLES'!$W$27</f>
        <v>27.947999999999993</v>
      </c>
      <c r="X1160" s="14">
        <f>200-SUM(Table3[[#This Row],[S - LIGHT]:[S - VIGOROUS]])</f>
        <v>88.208000000000013</v>
      </c>
    </row>
    <row r="1161" spans="1:24" x14ac:dyDescent="0.25">
      <c r="A1161" s="13" t="s">
        <v>66</v>
      </c>
      <c r="B1161" s="13" t="str">
        <f t="shared" si="18"/>
        <v>Striker</v>
      </c>
      <c r="C1161" s="7">
        <v>45365.441944444443</v>
      </c>
      <c r="D1161" s="14">
        <v>1460</v>
      </c>
      <c r="E1161" s="14">
        <v>0</v>
      </c>
      <c r="F1161" s="14">
        <v>0</v>
      </c>
      <c r="G1161" s="14">
        <v>0</v>
      </c>
      <c r="H1161" s="14">
        <v>14.6</v>
      </c>
      <c r="I1161" s="14">
        <f>'PIVOT TABLES'!$B$26</f>
        <v>60.283999999999999</v>
      </c>
      <c r="J1161" s="14">
        <f>'PIVOT TABLES'!$B$27-'PIVOT TABLES'!$B$26</f>
        <v>30.142000000000003</v>
      </c>
      <c r="K1161" s="14">
        <f>'PIVOT TABLES'!$B$28-'PIVOT TABLES'!$B$27</f>
        <v>30.141999999999996</v>
      </c>
      <c r="L1161" s="14">
        <f>200-SUM(Table3[[#This Row],[D - LIGHT]:[D - VIGOROUS]])</f>
        <v>79.432000000000002</v>
      </c>
      <c r="M1161" s="14">
        <f>'PIVOT TABLES'!$I$26</f>
        <v>65.603999999999999</v>
      </c>
      <c r="N1161" s="14">
        <f>'PIVOT TABLES'!$I$27-'PIVOT TABLES'!$I$26</f>
        <v>32.802000000000007</v>
      </c>
      <c r="O1161" s="14">
        <f>'PIVOT TABLES'!$I$28-'PIVOT TABLES'!$I$27</f>
        <v>32.801999999999992</v>
      </c>
      <c r="P1161" s="14">
        <f>200-SUM(Table3[[#This Row],[M - LIGHT]:[M - VIGOROUS]])</f>
        <v>68.792000000000002</v>
      </c>
      <c r="Q1161" s="14">
        <f>'PIVOT TABLES'!$P$26</f>
        <v>62.64</v>
      </c>
      <c r="R1161" s="14">
        <f>'PIVOT TABLES'!$P$27-'PIVOT TABLES'!$P$26</f>
        <v>31.320000000000007</v>
      </c>
      <c r="S1161" s="14">
        <f>'PIVOT TABLES'!$P$28-'PIVOT TABLES'!$P$27</f>
        <v>31.319999999999993</v>
      </c>
      <c r="T1161" s="14">
        <f>200-SUM(Table3[[#This Row],[W - LIGHT]:[W - VIGOROUS]])</f>
        <v>74.72</v>
      </c>
      <c r="U1161" s="14">
        <f>'PIVOT TABLES'!$W$26</f>
        <v>55.895999999999994</v>
      </c>
      <c r="V1161" s="14">
        <f>'PIVOT TABLES'!$W$27-'PIVOT TABLES'!$W$26</f>
        <v>27.948</v>
      </c>
      <c r="W1161" s="14">
        <f>'PIVOT TABLES'!$W$28-'PIVOT TABLES'!$W$27</f>
        <v>27.947999999999993</v>
      </c>
      <c r="X1161" s="14">
        <f>200-SUM(Table3[[#This Row],[S - LIGHT]:[S - VIGOROUS]])</f>
        <v>88.208000000000013</v>
      </c>
    </row>
    <row r="1162" spans="1:24" x14ac:dyDescent="0.25">
      <c r="A1162" s="13" t="s">
        <v>78</v>
      </c>
      <c r="B1162" s="13" t="str">
        <f t="shared" si="18"/>
        <v>Defender</v>
      </c>
      <c r="C1162" s="7">
        <v>45365.441944444443</v>
      </c>
      <c r="D1162" s="14">
        <v>7222</v>
      </c>
      <c r="E1162" s="14">
        <v>73</v>
      </c>
      <c r="F1162" s="14">
        <v>21</v>
      </c>
      <c r="G1162" s="14">
        <v>28</v>
      </c>
      <c r="H1162" s="14">
        <v>75.81</v>
      </c>
      <c r="I1162" s="14">
        <f>'PIVOT TABLES'!$B$26</f>
        <v>60.283999999999999</v>
      </c>
      <c r="J1162" s="14">
        <f>'PIVOT TABLES'!$B$27-'PIVOT TABLES'!$B$26</f>
        <v>30.142000000000003</v>
      </c>
      <c r="K1162" s="14">
        <f>'PIVOT TABLES'!$B$28-'PIVOT TABLES'!$B$27</f>
        <v>30.141999999999996</v>
      </c>
      <c r="L1162" s="14">
        <f>200-SUM(Table3[[#This Row],[D - LIGHT]:[D - VIGOROUS]])</f>
        <v>79.432000000000002</v>
      </c>
      <c r="M1162" s="14">
        <f>'PIVOT TABLES'!$I$26</f>
        <v>65.603999999999999</v>
      </c>
      <c r="N1162" s="14">
        <f>'PIVOT TABLES'!$I$27-'PIVOT TABLES'!$I$26</f>
        <v>32.802000000000007</v>
      </c>
      <c r="O1162" s="14">
        <f>'PIVOT TABLES'!$I$28-'PIVOT TABLES'!$I$27</f>
        <v>32.801999999999992</v>
      </c>
      <c r="P1162" s="14">
        <f>200-SUM(Table3[[#This Row],[M - LIGHT]:[M - VIGOROUS]])</f>
        <v>68.792000000000002</v>
      </c>
      <c r="Q1162" s="14">
        <f>'PIVOT TABLES'!$P$26</f>
        <v>62.64</v>
      </c>
      <c r="R1162" s="14">
        <f>'PIVOT TABLES'!$P$27-'PIVOT TABLES'!$P$26</f>
        <v>31.320000000000007</v>
      </c>
      <c r="S1162" s="14">
        <f>'PIVOT TABLES'!$P$28-'PIVOT TABLES'!$P$27</f>
        <v>31.319999999999993</v>
      </c>
      <c r="T1162" s="14">
        <f>200-SUM(Table3[[#This Row],[W - LIGHT]:[W - VIGOROUS]])</f>
        <v>74.72</v>
      </c>
      <c r="U1162" s="14">
        <f>'PIVOT TABLES'!$W$26</f>
        <v>55.895999999999994</v>
      </c>
      <c r="V1162" s="14">
        <f>'PIVOT TABLES'!$W$27-'PIVOT TABLES'!$W$26</f>
        <v>27.948</v>
      </c>
      <c r="W1162" s="14">
        <f>'PIVOT TABLES'!$W$28-'PIVOT TABLES'!$W$27</f>
        <v>27.947999999999993</v>
      </c>
      <c r="X1162" s="14">
        <f>200-SUM(Table3[[#This Row],[S - LIGHT]:[S - VIGOROUS]])</f>
        <v>88.208000000000013</v>
      </c>
    </row>
    <row r="1163" spans="1:24" x14ac:dyDescent="0.25">
      <c r="A1163" s="13" t="s">
        <v>95</v>
      </c>
      <c r="B1163" s="13" t="str">
        <f t="shared" si="18"/>
        <v>Winger</v>
      </c>
      <c r="C1163" s="7">
        <v>45365.441944444443</v>
      </c>
      <c r="D1163" s="14">
        <v>6863</v>
      </c>
      <c r="E1163" s="14">
        <v>107</v>
      </c>
      <c r="F1163" s="14">
        <v>16</v>
      </c>
      <c r="G1163" s="14">
        <v>15</v>
      </c>
      <c r="H1163" s="14">
        <v>72.78</v>
      </c>
      <c r="I1163" s="14">
        <f>'PIVOT TABLES'!$B$26</f>
        <v>60.283999999999999</v>
      </c>
      <c r="J1163" s="14">
        <f>'PIVOT TABLES'!$B$27-'PIVOT TABLES'!$B$26</f>
        <v>30.142000000000003</v>
      </c>
      <c r="K1163" s="14">
        <f>'PIVOT TABLES'!$B$28-'PIVOT TABLES'!$B$27</f>
        <v>30.141999999999996</v>
      </c>
      <c r="L1163" s="14">
        <f>200-SUM(Table3[[#This Row],[D - LIGHT]:[D - VIGOROUS]])</f>
        <v>79.432000000000002</v>
      </c>
      <c r="M1163" s="14">
        <f>'PIVOT TABLES'!$I$26</f>
        <v>65.603999999999999</v>
      </c>
      <c r="N1163" s="14">
        <f>'PIVOT TABLES'!$I$27-'PIVOT TABLES'!$I$26</f>
        <v>32.802000000000007</v>
      </c>
      <c r="O1163" s="14">
        <f>'PIVOT TABLES'!$I$28-'PIVOT TABLES'!$I$27</f>
        <v>32.801999999999992</v>
      </c>
      <c r="P1163" s="14">
        <f>200-SUM(Table3[[#This Row],[M - LIGHT]:[M - VIGOROUS]])</f>
        <v>68.792000000000002</v>
      </c>
      <c r="Q1163" s="14">
        <f>'PIVOT TABLES'!$P$26</f>
        <v>62.64</v>
      </c>
      <c r="R1163" s="14">
        <f>'PIVOT TABLES'!$P$27-'PIVOT TABLES'!$P$26</f>
        <v>31.320000000000007</v>
      </c>
      <c r="S1163" s="14">
        <f>'PIVOT TABLES'!$P$28-'PIVOT TABLES'!$P$27</f>
        <v>31.319999999999993</v>
      </c>
      <c r="T1163" s="14">
        <f>200-SUM(Table3[[#This Row],[W - LIGHT]:[W - VIGOROUS]])</f>
        <v>74.72</v>
      </c>
      <c r="U1163" s="14">
        <f>'PIVOT TABLES'!$W$26</f>
        <v>55.895999999999994</v>
      </c>
      <c r="V1163" s="14">
        <f>'PIVOT TABLES'!$W$27-'PIVOT TABLES'!$W$26</f>
        <v>27.948</v>
      </c>
      <c r="W1163" s="14">
        <f>'PIVOT TABLES'!$W$28-'PIVOT TABLES'!$W$27</f>
        <v>27.947999999999993</v>
      </c>
      <c r="X1163" s="14">
        <f>200-SUM(Table3[[#This Row],[S - LIGHT]:[S - VIGOROUS]])</f>
        <v>88.208000000000013</v>
      </c>
    </row>
    <row r="1164" spans="1:24" x14ac:dyDescent="0.25">
      <c r="A1164" s="13" t="s">
        <v>96</v>
      </c>
      <c r="B1164" s="13" t="str">
        <f t="shared" si="18"/>
        <v>Winger</v>
      </c>
      <c r="C1164" s="7">
        <v>45365.441944444443</v>
      </c>
      <c r="D1164" s="14">
        <v>6835</v>
      </c>
      <c r="E1164" s="14">
        <v>126</v>
      </c>
      <c r="F1164" s="14">
        <v>24</v>
      </c>
      <c r="G1164" s="14">
        <v>25</v>
      </c>
      <c r="H1164" s="14">
        <v>73.59</v>
      </c>
      <c r="I1164" s="14">
        <f>'PIVOT TABLES'!$B$26</f>
        <v>60.283999999999999</v>
      </c>
      <c r="J1164" s="14">
        <f>'PIVOT TABLES'!$B$27-'PIVOT TABLES'!$B$26</f>
        <v>30.142000000000003</v>
      </c>
      <c r="K1164" s="14">
        <f>'PIVOT TABLES'!$B$28-'PIVOT TABLES'!$B$27</f>
        <v>30.141999999999996</v>
      </c>
      <c r="L1164" s="14">
        <f>200-SUM(Table3[[#This Row],[D - LIGHT]:[D - VIGOROUS]])</f>
        <v>79.432000000000002</v>
      </c>
      <c r="M1164" s="14">
        <f>'PIVOT TABLES'!$I$26</f>
        <v>65.603999999999999</v>
      </c>
      <c r="N1164" s="14">
        <f>'PIVOT TABLES'!$I$27-'PIVOT TABLES'!$I$26</f>
        <v>32.802000000000007</v>
      </c>
      <c r="O1164" s="14">
        <f>'PIVOT TABLES'!$I$28-'PIVOT TABLES'!$I$27</f>
        <v>32.801999999999992</v>
      </c>
      <c r="P1164" s="14">
        <f>200-SUM(Table3[[#This Row],[M - LIGHT]:[M - VIGOROUS]])</f>
        <v>68.792000000000002</v>
      </c>
      <c r="Q1164" s="14">
        <f>'PIVOT TABLES'!$P$26</f>
        <v>62.64</v>
      </c>
      <c r="R1164" s="14">
        <f>'PIVOT TABLES'!$P$27-'PIVOT TABLES'!$P$26</f>
        <v>31.320000000000007</v>
      </c>
      <c r="S1164" s="14">
        <f>'PIVOT TABLES'!$P$28-'PIVOT TABLES'!$P$27</f>
        <v>31.319999999999993</v>
      </c>
      <c r="T1164" s="14">
        <f>200-SUM(Table3[[#This Row],[W - LIGHT]:[W - VIGOROUS]])</f>
        <v>74.72</v>
      </c>
      <c r="U1164" s="14">
        <f>'PIVOT TABLES'!$W$26</f>
        <v>55.895999999999994</v>
      </c>
      <c r="V1164" s="14">
        <f>'PIVOT TABLES'!$W$27-'PIVOT TABLES'!$W$26</f>
        <v>27.948</v>
      </c>
      <c r="W1164" s="14">
        <f>'PIVOT TABLES'!$W$28-'PIVOT TABLES'!$W$27</f>
        <v>27.947999999999993</v>
      </c>
      <c r="X1164" s="14">
        <f>200-SUM(Table3[[#This Row],[S - LIGHT]:[S - VIGOROUS]])</f>
        <v>88.208000000000013</v>
      </c>
    </row>
    <row r="1165" spans="1:24" x14ac:dyDescent="0.25">
      <c r="A1165" s="13" t="s">
        <v>8</v>
      </c>
      <c r="B1165" s="13" t="str">
        <f t="shared" si="18"/>
        <v>Striker</v>
      </c>
      <c r="C1165" s="7">
        <v>45365.441944444443</v>
      </c>
      <c r="D1165" s="14">
        <v>2639</v>
      </c>
      <c r="E1165" s="14">
        <v>15</v>
      </c>
      <c r="F1165" s="14">
        <v>10</v>
      </c>
      <c r="G1165" s="14">
        <v>7</v>
      </c>
      <c r="H1165" s="14">
        <v>27.38</v>
      </c>
      <c r="I1165" s="14">
        <f>'PIVOT TABLES'!$B$26</f>
        <v>60.283999999999999</v>
      </c>
      <c r="J1165" s="14">
        <f>'PIVOT TABLES'!$B$27-'PIVOT TABLES'!$B$26</f>
        <v>30.142000000000003</v>
      </c>
      <c r="K1165" s="14">
        <f>'PIVOT TABLES'!$B$28-'PIVOT TABLES'!$B$27</f>
        <v>30.141999999999996</v>
      </c>
      <c r="L1165" s="14">
        <f>200-SUM(Table3[[#This Row],[D - LIGHT]:[D - VIGOROUS]])</f>
        <v>79.432000000000002</v>
      </c>
      <c r="M1165" s="14">
        <f>'PIVOT TABLES'!$I$26</f>
        <v>65.603999999999999</v>
      </c>
      <c r="N1165" s="14">
        <f>'PIVOT TABLES'!$I$27-'PIVOT TABLES'!$I$26</f>
        <v>32.802000000000007</v>
      </c>
      <c r="O1165" s="14">
        <f>'PIVOT TABLES'!$I$28-'PIVOT TABLES'!$I$27</f>
        <v>32.801999999999992</v>
      </c>
      <c r="P1165" s="14">
        <f>200-SUM(Table3[[#This Row],[M - LIGHT]:[M - VIGOROUS]])</f>
        <v>68.792000000000002</v>
      </c>
      <c r="Q1165" s="14">
        <f>'PIVOT TABLES'!$P$26</f>
        <v>62.64</v>
      </c>
      <c r="R1165" s="14">
        <f>'PIVOT TABLES'!$P$27-'PIVOT TABLES'!$P$26</f>
        <v>31.320000000000007</v>
      </c>
      <c r="S1165" s="14">
        <f>'PIVOT TABLES'!$P$28-'PIVOT TABLES'!$P$27</f>
        <v>31.319999999999993</v>
      </c>
      <c r="T1165" s="14">
        <f>200-SUM(Table3[[#This Row],[W - LIGHT]:[W - VIGOROUS]])</f>
        <v>74.72</v>
      </c>
      <c r="U1165" s="14">
        <f>'PIVOT TABLES'!$W$26</f>
        <v>55.895999999999994</v>
      </c>
      <c r="V1165" s="14">
        <f>'PIVOT TABLES'!$W$27-'PIVOT TABLES'!$W$26</f>
        <v>27.948</v>
      </c>
      <c r="W1165" s="14">
        <f>'PIVOT TABLES'!$W$28-'PIVOT TABLES'!$W$27</f>
        <v>27.947999999999993</v>
      </c>
      <c r="X1165" s="14">
        <f>200-SUM(Table3[[#This Row],[S - LIGHT]:[S - VIGOROUS]])</f>
        <v>88.208000000000013</v>
      </c>
    </row>
    <row r="1166" spans="1:24" x14ac:dyDescent="0.25">
      <c r="A1166" s="13" t="s">
        <v>67</v>
      </c>
      <c r="B1166" s="13" t="str">
        <f t="shared" si="18"/>
        <v>Midfielder</v>
      </c>
      <c r="C1166" s="7">
        <v>45365.441944444443</v>
      </c>
      <c r="D1166" s="14">
        <v>6792</v>
      </c>
      <c r="E1166" s="14">
        <v>66</v>
      </c>
      <c r="F1166" s="14">
        <v>42</v>
      </c>
      <c r="G1166" s="14">
        <v>29</v>
      </c>
      <c r="H1166" s="14">
        <v>72.16</v>
      </c>
      <c r="I1166" s="14">
        <f>'PIVOT TABLES'!$B$26</f>
        <v>60.283999999999999</v>
      </c>
      <c r="J1166" s="14">
        <f>'PIVOT TABLES'!$B$27-'PIVOT TABLES'!$B$26</f>
        <v>30.142000000000003</v>
      </c>
      <c r="K1166" s="14">
        <f>'PIVOT TABLES'!$B$28-'PIVOT TABLES'!$B$27</f>
        <v>30.141999999999996</v>
      </c>
      <c r="L1166" s="14">
        <f>200-SUM(Table3[[#This Row],[D - LIGHT]:[D - VIGOROUS]])</f>
        <v>79.432000000000002</v>
      </c>
      <c r="M1166" s="14">
        <f>'PIVOT TABLES'!$I$26</f>
        <v>65.603999999999999</v>
      </c>
      <c r="N1166" s="14">
        <f>'PIVOT TABLES'!$I$27-'PIVOT TABLES'!$I$26</f>
        <v>32.802000000000007</v>
      </c>
      <c r="O1166" s="14">
        <f>'PIVOT TABLES'!$I$28-'PIVOT TABLES'!$I$27</f>
        <v>32.801999999999992</v>
      </c>
      <c r="P1166" s="14">
        <f>200-SUM(Table3[[#This Row],[M - LIGHT]:[M - VIGOROUS]])</f>
        <v>68.792000000000002</v>
      </c>
      <c r="Q1166" s="14">
        <f>'PIVOT TABLES'!$P$26</f>
        <v>62.64</v>
      </c>
      <c r="R1166" s="14">
        <f>'PIVOT TABLES'!$P$27-'PIVOT TABLES'!$P$26</f>
        <v>31.320000000000007</v>
      </c>
      <c r="S1166" s="14">
        <f>'PIVOT TABLES'!$P$28-'PIVOT TABLES'!$P$27</f>
        <v>31.319999999999993</v>
      </c>
      <c r="T1166" s="14">
        <f>200-SUM(Table3[[#This Row],[W - LIGHT]:[W - VIGOROUS]])</f>
        <v>74.72</v>
      </c>
      <c r="U1166" s="14">
        <f>'PIVOT TABLES'!$W$26</f>
        <v>55.895999999999994</v>
      </c>
      <c r="V1166" s="14">
        <f>'PIVOT TABLES'!$W$27-'PIVOT TABLES'!$W$26</f>
        <v>27.948</v>
      </c>
      <c r="W1166" s="14">
        <f>'PIVOT TABLES'!$W$28-'PIVOT TABLES'!$W$27</f>
        <v>27.947999999999993</v>
      </c>
      <c r="X1166" s="14">
        <f>200-SUM(Table3[[#This Row],[S - LIGHT]:[S - VIGOROUS]])</f>
        <v>88.208000000000013</v>
      </c>
    </row>
    <row r="1167" spans="1:24" x14ac:dyDescent="0.25">
      <c r="A1167" s="13" t="s">
        <v>9</v>
      </c>
      <c r="B1167" s="13" t="str">
        <f t="shared" si="18"/>
        <v>Striker</v>
      </c>
      <c r="C1167" s="7">
        <v>45365.441944444443</v>
      </c>
      <c r="D1167" s="14">
        <v>6413</v>
      </c>
      <c r="E1167" s="14">
        <v>56</v>
      </c>
      <c r="F1167" s="14">
        <v>28</v>
      </c>
      <c r="G1167" s="14">
        <v>25</v>
      </c>
      <c r="H1167" s="14">
        <v>67.430000000000007</v>
      </c>
      <c r="I1167" s="14">
        <f>'PIVOT TABLES'!$B$26</f>
        <v>60.283999999999999</v>
      </c>
      <c r="J1167" s="14">
        <f>'PIVOT TABLES'!$B$27-'PIVOT TABLES'!$B$26</f>
        <v>30.142000000000003</v>
      </c>
      <c r="K1167" s="14">
        <f>'PIVOT TABLES'!$B$28-'PIVOT TABLES'!$B$27</f>
        <v>30.141999999999996</v>
      </c>
      <c r="L1167" s="14">
        <f>200-SUM(Table3[[#This Row],[D - LIGHT]:[D - VIGOROUS]])</f>
        <v>79.432000000000002</v>
      </c>
      <c r="M1167" s="14">
        <f>'PIVOT TABLES'!$I$26</f>
        <v>65.603999999999999</v>
      </c>
      <c r="N1167" s="14">
        <f>'PIVOT TABLES'!$I$27-'PIVOT TABLES'!$I$26</f>
        <v>32.802000000000007</v>
      </c>
      <c r="O1167" s="14">
        <f>'PIVOT TABLES'!$I$28-'PIVOT TABLES'!$I$27</f>
        <v>32.801999999999992</v>
      </c>
      <c r="P1167" s="14">
        <f>200-SUM(Table3[[#This Row],[M - LIGHT]:[M - VIGOROUS]])</f>
        <v>68.792000000000002</v>
      </c>
      <c r="Q1167" s="14">
        <f>'PIVOT TABLES'!$P$26</f>
        <v>62.64</v>
      </c>
      <c r="R1167" s="14">
        <f>'PIVOT TABLES'!$P$27-'PIVOT TABLES'!$P$26</f>
        <v>31.320000000000007</v>
      </c>
      <c r="S1167" s="14">
        <f>'PIVOT TABLES'!$P$28-'PIVOT TABLES'!$P$27</f>
        <v>31.319999999999993</v>
      </c>
      <c r="T1167" s="14">
        <f>200-SUM(Table3[[#This Row],[W - LIGHT]:[W - VIGOROUS]])</f>
        <v>74.72</v>
      </c>
      <c r="U1167" s="14">
        <f>'PIVOT TABLES'!$W$26</f>
        <v>55.895999999999994</v>
      </c>
      <c r="V1167" s="14">
        <f>'PIVOT TABLES'!$W$27-'PIVOT TABLES'!$W$26</f>
        <v>27.948</v>
      </c>
      <c r="W1167" s="14">
        <f>'PIVOT TABLES'!$W$28-'PIVOT TABLES'!$W$27</f>
        <v>27.947999999999993</v>
      </c>
      <c r="X1167" s="14">
        <f>200-SUM(Table3[[#This Row],[S - LIGHT]:[S - VIGOROUS]])</f>
        <v>88.208000000000013</v>
      </c>
    </row>
    <row r="1168" spans="1:24" x14ac:dyDescent="0.25">
      <c r="A1168" s="13" t="s">
        <v>69</v>
      </c>
      <c r="B1168" s="13" t="str">
        <f t="shared" si="18"/>
        <v>Midfielder</v>
      </c>
      <c r="C1168" s="7">
        <v>45365.441944444443</v>
      </c>
      <c r="D1168" s="14">
        <v>6599</v>
      </c>
      <c r="E1168" s="14">
        <v>39</v>
      </c>
      <c r="F1168" s="14">
        <v>28</v>
      </c>
      <c r="G1168" s="14">
        <v>16</v>
      </c>
      <c r="H1168" s="14">
        <v>68.599999999999994</v>
      </c>
      <c r="I1168" s="14">
        <f>'PIVOT TABLES'!$B$26</f>
        <v>60.283999999999999</v>
      </c>
      <c r="J1168" s="14">
        <f>'PIVOT TABLES'!$B$27-'PIVOT TABLES'!$B$26</f>
        <v>30.142000000000003</v>
      </c>
      <c r="K1168" s="14">
        <f>'PIVOT TABLES'!$B$28-'PIVOT TABLES'!$B$27</f>
        <v>30.141999999999996</v>
      </c>
      <c r="L1168" s="14">
        <f>200-SUM(Table3[[#This Row],[D - LIGHT]:[D - VIGOROUS]])</f>
        <v>79.432000000000002</v>
      </c>
      <c r="M1168" s="14">
        <f>'PIVOT TABLES'!$I$26</f>
        <v>65.603999999999999</v>
      </c>
      <c r="N1168" s="14">
        <f>'PIVOT TABLES'!$I$27-'PIVOT TABLES'!$I$26</f>
        <v>32.802000000000007</v>
      </c>
      <c r="O1168" s="14">
        <f>'PIVOT TABLES'!$I$28-'PIVOT TABLES'!$I$27</f>
        <v>32.801999999999992</v>
      </c>
      <c r="P1168" s="14">
        <f>200-SUM(Table3[[#This Row],[M - LIGHT]:[M - VIGOROUS]])</f>
        <v>68.792000000000002</v>
      </c>
      <c r="Q1168" s="14">
        <f>'PIVOT TABLES'!$P$26</f>
        <v>62.64</v>
      </c>
      <c r="R1168" s="14">
        <f>'PIVOT TABLES'!$P$27-'PIVOT TABLES'!$P$26</f>
        <v>31.320000000000007</v>
      </c>
      <c r="S1168" s="14">
        <f>'PIVOT TABLES'!$P$28-'PIVOT TABLES'!$P$27</f>
        <v>31.319999999999993</v>
      </c>
      <c r="T1168" s="14">
        <f>200-SUM(Table3[[#This Row],[W - LIGHT]:[W - VIGOROUS]])</f>
        <v>74.72</v>
      </c>
      <c r="U1168" s="14">
        <f>'PIVOT TABLES'!$W$26</f>
        <v>55.895999999999994</v>
      </c>
      <c r="V1168" s="14">
        <f>'PIVOT TABLES'!$W$27-'PIVOT TABLES'!$W$26</f>
        <v>27.948</v>
      </c>
      <c r="W1168" s="14">
        <f>'PIVOT TABLES'!$W$28-'PIVOT TABLES'!$W$27</f>
        <v>27.947999999999993</v>
      </c>
      <c r="X1168" s="14">
        <f>200-SUM(Table3[[#This Row],[S - LIGHT]:[S - VIGOROUS]])</f>
        <v>88.208000000000013</v>
      </c>
    </row>
    <row r="1169" spans="1:24" x14ac:dyDescent="0.25">
      <c r="A1169" s="44" t="s">
        <v>70</v>
      </c>
      <c r="B1169" s="13" t="str">
        <f t="shared" si="18"/>
        <v>Winger</v>
      </c>
      <c r="C1169" s="7">
        <v>45366.422453703701</v>
      </c>
      <c r="D1169" s="14">
        <v>7295</v>
      </c>
      <c r="E1169" s="14">
        <v>170</v>
      </c>
      <c r="F1169" s="14">
        <v>26</v>
      </c>
      <c r="G1169" s="14">
        <v>21</v>
      </c>
      <c r="H1169" s="14">
        <v>79.510000000000005</v>
      </c>
      <c r="I1169" s="14">
        <f>'PIVOT TABLES'!$B$26</f>
        <v>60.283999999999999</v>
      </c>
      <c r="J1169" s="14">
        <f>'PIVOT TABLES'!$B$27-'PIVOT TABLES'!$B$26</f>
        <v>30.142000000000003</v>
      </c>
      <c r="K1169" s="14">
        <f>'PIVOT TABLES'!$B$28-'PIVOT TABLES'!$B$27</f>
        <v>30.141999999999996</v>
      </c>
      <c r="L1169" s="14">
        <f>200-SUM(Table3[[#This Row],[D - LIGHT]:[D - VIGOROUS]])</f>
        <v>79.432000000000002</v>
      </c>
      <c r="M1169" s="14">
        <f>'PIVOT TABLES'!$I$26</f>
        <v>65.603999999999999</v>
      </c>
      <c r="N1169" s="14">
        <f>'PIVOT TABLES'!$I$27-'PIVOT TABLES'!$I$26</f>
        <v>32.802000000000007</v>
      </c>
      <c r="O1169" s="14">
        <f>'PIVOT TABLES'!$I$28-'PIVOT TABLES'!$I$27</f>
        <v>32.801999999999992</v>
      </c>
      <c r="P1169" s="14">
        <f>200-SUM(Table3[[#This Row],[M - LIGHT]:[M - VIGOROUS]])</f>
        <v>68.792000000000002</v>
      </c>
      <c r="Q1169" s="14">
        <f>'PIVOT TABLES'!$P$26</f>
        <v>62.64</v>
      </c>
      <c r="R1169" s="14">
        <f>'PIVOT TABLES'!$P$27-'PIVOT TABLES'!$P$26</f>
        <v>31.320000000000007</v>
      </c>
      <c r="S1169" s="14">
        <f>'PIVOT TABLES'!$P$28-'PIVOT TABLES'!$P$27</f>
        <v>31.319999999999993</v>
      </c>
      <c r="T1169" s="14">
        <f>200-SUM(Table3[[#This Row],[W - LIGHT]:[W - VIGOROUS]])</f>
        <v>74.72</v>
      </c>
      <c r="U1169" s="14">
        <f>'PIVOT TABLES'!$W$26</f>
        <v>55.895999999999994</v>
      </c>
      <c r="V1169" s="14">
        <f>'PIVOT TABLES'!$W$27-'PIVOT TABLES'!$W$26</f>
        <v>27.948</v>
      </c>
      <c r="W1169" s="14">
        <f>'PIVOT TABLES'!$W$28-'PIVOT TABLES'!$W$27</f>
        <v>27.947999999999993</v>
      </c>
      <c r="X1169" s="14">
        <f>200-SUM(Table3[[#This Row],[S - LIGHT]:[S - VIGOROUS]])</f>
        <v>88.208000000000013</v>
      </c>
    </row>
    <row r="1170" spans="1:24" x14ac:dyDescent="0.25">
      <c r="A1170" s="44" t="s">
        <v>53</v>
      </c>
      <c r="B1170" s="13" t="str">
        <f t="shared" si="18"/>
        <v>Midfielder</v>
      </c>
      <c r="C1170" s="7">
        <v>45366.422453703701</v>
      </c>
      <c r="D1170" s="14">
        <v>11028</v>
      </c>
      <c r="E1170" s="14">
        <v>36</v>
      </c>
      <c r="F1170" s="14">
        <v>29</v>
      </c>
      <c r="G1170" s="14">
        <v>30</v>
      </c>
      <c r="H1170" s="14">
        <v>113.12</v>
      </c>
      <c r="I1170" s="14">
        <f>'PIVOT TABLES'!$B$26</f>
        <v>60.283999999999999</v>
      </c>
      <c r="J1170" s="14">
        <f>'PIVOT TABLES'!$B$27-'PIVOT TABLES'!$B$26</f>
        <v>30.142000000000003</v>
      </c>
      <c r="K1170" s="14">
        <f>'PIVOT TABLES'!$B$28-'PIVOT TABLES'!$B$27</f>
        <v>30.141999999999996</v>
      </c>
      <c r="L1170" s="14">
        <f>200-SUM(Table3[[#This Row],[D - LIGHT]:[D - VIGOROUS]])</f>
        <v>79.432000000000002</v>
      </c>
      <c r="M1170" s="14">
        <f>'PIVOT TABLES'!$I$26</f>
        <v>65.603999999999999</v>
      </c>
      <c r="N1170" s="14">
        <f>'PIVOT TABLES'!$I$27-'PIVOT TABLES'!$I$26</f>
        <v>32.802000000000007</v>
      </c>
      <c r="O1170" s="14">
        <f>'PIVOT TABLES'!$I$28-'PIVOT TABLES'!$I$27</f>
        <v>32.801999999999992</v>
      </c>
      <c r="P1170" s="14">
        <f>200-SUM(Table3[[#This Row],[M - LIGHT]:[M - VIGOROUS]])</f>
        <v>68.792000000000002</v>
      </c>
      <c r="Q1170" s="14">
        <f>'PIVOT TABLES'!$P$26</f>
        <v>62.64</v>
      </c>
      <c r="R1170" s="14">
        <f>'PIVOT TABLES'!$P$27-'PIVOT TABLES'!$P$26</f>
        <v>31.320000000000007</v>
      </c>
      <c r="S1170" s="14">
        <f>'PIVOT TABLES'!$P$28-'PIVOT TABLES'!$P$27</f>
        <v>31.319999999999993</v>
      </c>
      <c r="T1170" s="14">
        <f>200-SUM(Table3[[#This Row],[W - LIGHT]:[W - VIGOROUS]])</f>
        <v>74.72</v>
      </c>
      <c r="U1170" s="14">
        <f>'PIVOT TABLES'!$W$26</f>
        <v>55.895999999999994</v>
      </c>
      <c r="V1170" s="14">
        <f>'PIVOT TABLES'!$W$27-'PIVOT TABLES'!$W$26</f>
        <v>27.948</v>
      </c>
      <c r="W1170" s="14">
        <f>'PIVOT TABLES'!$W$28-'PIVOT TABLES'!$W$27</f>
        <v>27.947999999999993</v>
      </c>
      <c r="X1170" s="14">
        <f>200-SUM(Table3[[#This Row],[S - LIGHT]:[S - VIGOROUS]])</f>
        <v>88.208000000000013</v>
      </c>
    </row>
    <row r="1171" spans="1:24" x14ac:dyDescent="0.25">
      <c r="A1171" s="44" t="s">
        <v>55</v>
      </c>
      <c r="B1171" s="13" t="str">
        <f t="shared" si="18"/>
        <v>Striker</v>
      </c>
      <c r="C1171" s="7">
        <v>45366.422453703701</v>
      </c>
      <c r="D1171" s="14">
        <v>7132</v>
      </c>
      <c r="E1171" s="14">
        <v>82</v>
      </c>
      <c r="F1171" s="14">
        <v>25</v>
      </c>
      <c r="G1171" s="14">
        <v>25</v>
      </c>
      <c r="H1171" s="14">
        <v>75.28</v>
      </c>
      <c r="I1171" s="14">
        <f>'PIVOT TABLES'!$B$26</f>
        <v>60.283999999999999</v>
      </c>
      <c r="J1171" s="14">
        <f>'PIVOT TABLES'!$B$27-'PIVOT TABLES'!$B$26</f>
        <v>30.142000000000003</v>
      </c>
      <c r="K1171" s="14">
        <f>'PIVOT TABLES'!$B$28-'PIVOT TABLES'!$B$27</f>
        <v>30.141999999999996</v>
      </c>
      <c r="L1171" s="14">
        <f>200-SUM(Table3[[#This Row],[D - LIGHT]:[D - VIGOROUS]])</f>
        <v>79.432000000000002</v>
      </c>
      <c r="M1171" s="14">
        <f>'PIVOT TABLES'!$I$26</f>
        <v>65.603999999999999</v>
      </c>
      <c r="N1171" s="14">
        <f>'PIVOT TABLES'!$I$27-'PIVOT TABLES'!$I$26</f>
        <v>32.802000000000007</v>
      </c>
      <c r="O1171" s="14">
        <f>'PIVOT TABLES'!$I$28-'PIVOT TABLES'!$I$27</f>
        <v>32.801999999999992</v>
      </c>
      <c r="P1171" s="14">
        <f>200-SUM(Table3[[#This Row],[M - LIGHT]:[M - VIGOROUS]])</f>
        <v>68.792000000000002</v>
      </c>
      <c r="Q1171" s="14">
        <f>'PIVOT TABLES'!$P$26</f>
        <v>62.64</v>
      </c>
      <c r="R1171" s="14">
        <f>'PIVOT TABLES'!$P$27-'PIVOT TABLES'!$P$26</f>
        <v>31.320000000000007</v>
      </c>
      <c r="S1171" s="14">
        <f>'PIVOT TABLES'!$P$28-'PIVOT TABLES'!$P$27</f>
        <v>31.319999999999993</v>
      </c>
      <c r="T1171" s="14">
        <f>200-SUM(Table3[[#This Row],[W - LIGHT]:[W - VIGOROUS]])</f>
        <v>74.72</v>
      </c>
      <c r="U1171" s="14">
        <f>'PIVOT TABLES'!$W$26</f>
        <v>55.895999999999994</v>
      </c>
      <c r="V1171" s="14">
        <f>'PIVOT TABLES'!$W$27-'PIVOT TABLES'!$W$26</f>
        <v>27.948</v>
      </c>
      <c r="W1171" s="14">
        <f>'PIVOT TABLES'!$W$28-'PIVOT TABLES'!$W$27</f>
        <v>27.947999999999993</v>
      </c>
      <c r="X1171" s="14">
        <f>200-SUM(Table3[[#This Row],[S - LIGHT]:[S - VIGOROUS]])</f>
        <v>88.208000000000013</v>
      </c>
    </row>
    <row r="1172" spans="1:24" x14ac:dyDescent="0.25">
      <c r="A1172" s="44" t="s">
        <v>1</v>
      </c>
      <c r="B1172" s="13" t="str">
        <f t="shared" si="18"/>
        <v>Defender</v>
      </c>
      <c r="C1172" s="7">
        <v>45366.422453703701</v>
      </c>
      <c r="D1172" s="14">
        <v>7036</v>
      </c>
      <c r="E1172" s="14">
        <v>38</v>
      </c>
      <c r="F1172" s="14">
        <v>12</v>
      </c>
      <c r="G1172" s="14">
        <v>17</v>
      </c>
      <c r="H1172" s="14">
        <v>72.319999999999993</v>
      </c>
      <c r="I1172" s="14">
        <f>'PIVOT TABLES'!$B$26</f>
        <v>60.283999999999999</v>
      </c>
      <c r="J1172" s="14">
        <f>'PIVOT TABLES'!$B$27-'PIVOT TABLES'!$B$26</f>
        <v>30.142000000000003</v>
      </c>
      <c r="K1172" s="14">
        <f>'PIVOT TABLES'!$B$28-'PIVOT TABLES'!$B$27</f>
        <v>30.141999999999996</v>
      </c>
      <c r="L1172" s="14">
        <f>200-SUM(Table3[[#This Row],[D - LIGHT]:[D - VIGOROUS]])</f>
        <v>79.432000000000002</v>
      </c>
      <c r="M1172" s="14">
        <f>'PIVOT TABLES'!$I$26</f>
        <v>65.603999999999999</v>
      </c>
      <c r="N1172" s="14">
        <f>'PIVOT TABLES'!$I$27-'PIVOT TABLES'!$I$26</f>
        <v>32.802000000000007</v>
      </c>
      <c r="O1172" s="14">
        <f>'PIVOT TABLES'!$I$28-'PIVOT TABLES'!$I$27</f>
        <v>32.801999999999992</v>
      </c>
      <c r="P1172" s="14">
        <f>200-SUM(Table3[[#This Row],[M - LIGHT]:[M - VIGOROUS]])</f>
        <v>68.792000000000002</v>
      </c>
      <c r="Q1172" s="14">
        <f>'PIVOT TABLES'!$P$26</f>
        <v>62.64</v>
      </c>
      <c r="R1172" s="14">
        <f>'PIVOT TABLES'!$P$27-'PIVOT TABLES'!$P$26</f>
        <v>31.320000000000007</v>
      </c>
      <c r="S1172" s="14">
        <f>'PIVOT TABLES'!$P$28-'PIVOT TABLES'!$P$27</f>
        <v>31.319999999999993</v>
      </c>
      <c r="T1172" s="14">
        <f>200-SUM(Table3[[#This Row],[W - LIGHT]:[W - VIGOROUS]])</f>
        <v>74.72</v>
      </c>
      <c r="U1172" s="14">
        <f>'PIVOT TABLES'!$W$26</f>
        <v>55.895999999999994</v>
      </c>
      <c r="V1172" s="14">
        <f>'PIVOT TABLES'!$W$27-'PIVOT TABLES'!$W$26</f>
        <v>27.948</v>
      </c>
      <c r="W1172" s="14">
        <f>'PIVOT TABLES'!$W$28-'PIVOT TABLES'!$W$27</f>
        <v>27.947999999999993</v>
      </c>
      <c r="X1172" s="14">
        <f>200-SUM(Table3[[#This Row],[S - LIGHT]:[S - VIGOROUS]])</f>
        <v>88.208000000000013</v>
      </c>
    </row>
    <row r="1173" spans="1:24" x14ac:dyDescent="0.25">
      <c r="A1173" s="44" t="s">
        <v>56</v>
      </c>
      <c r="B1173" s="13" t="str">
        <f t="shared" si="18"/>
        <v>Midfielder</v>
      </c>
      <c r="C1173" s="7">
        <v>45366.422453703701</v>
      </c>
      <c r="D1173" s="14">
        <v>11035</v>
      </c>
      <c r="E1173" s="14">
        <v>170</v>
      </c>
      <c r="F1173" s="14">
        <v>40</v>
      </c>
      <c r="G1173" s="14">
        <v>20</v>
      </c>
      <c r="H1173" s="14">
        <v>117.45</v>
      </c>
      <c r="I1173" s="14">
        <f>'PIVOT TABLES'!$B$26</f>
        <v>60.283999999999999</v>
      </c>
      <c r="J1173" s="14">
        <f>'PIVOT TABLES'!$B$27-'PIVOT TABLES'!$B$26</f>
        <v>30.142000000000003</v>
      </c>
      <c r="K1173" s="14">
        <f>'PIVOT TABLES'!$B$28-'PIVOT TABLES'!$B$27</f>
        <v>30.141999999999996</v>
      </c>
      <c r="L1173" s="14">
        <f>200-SUM(Table3[[#This Row],[D - LIGHT]:[D - VIGOROUS]])</f>
        <v>79.432000000000002</v>
      </c>
      <c r="M1173" s="14">
        <f>'PIVOT TABLES'!$I$26</f>
        <v>65.603999999999999</v>
      </c>
      <c r="N1173" s="14">
        <f>'PIVOT TABLES'!$I$27-'PIVOT TABLES'!$I$26</f>
        <v>32.802000000000007</v>
      </c>
      <c r="O1173" s="14">
        <f>'PIVOT TABLES'!$I$28-'PIVOT TABLES'!$I$27</f>
        <v>32.801999999999992</v>
      </c>
      <c r="P1173" s="14">
        <f>200-SUM(Table3[[#This Row],[M - LIGHT]:[M - VIGOROUS]])</f>
        <v>68.792000000000002</v>
      </c>
      <c r="Q1173" s="14">
        <f>'PIVOT TABLES'!$P$26</f>
        <v>62.64</v>
      </c>
      <c r="R1173" s="14">
        <f>'PIVOT TABLES'!$P$27-'PIVOT TABLES'!$P$26</f>
        <v>31.320000000000007</v>
      </c>
      <c r="S1173" s="14">
        <f>'PIVOT TABLES'!$P$28-'PIVOT TABLES'!$P$27</f>
        <v>31.319999999999993</v>
      </c>
      <c r="T1173" s="14">
        <f>200-SUM(Table3[[#This Row],[W - LIGHT]:[W - VIGOROUS]])</f>
        <v>74.72</v>
      </c>
      <c r="U1173" s="14">
        <f>'PIVOT TABLES'!$W$26</f>
        <v>55.895999999999994</v>
      </c>
      <c r="V1173" s="14">
        <f>'PIVOT TABLES'!$W$27-'PIVOT TABLES'!$W$26</f>
        <v>27.948</v>
      </c>
      <c r="W1173" s="14">
        <f>'PIVOT TABLES'!$W$28-'PIVOT TABLES'!$W$27</f>
        <v>27.947999999999993</v>
      </c>
      <c r="X1173" s="14">
        <f>200-SUM(Table3[[#This Row],[S - LIGHT]:[S - VIGOROUS]])</f>
        <v>88.208000000000013</v>
      </c>
    </row>
    <row r="1174" spans="1:24" x14ac:dyDescent="0.25">
      <c r="A1174" s="44" t="s">
        <v>2</v>
      </c>
      <c r="B1174" s="13" t="str">
        <f t="shared" si="18"/>
        <v>Defender</v>
      </c>
      <c r="C1174" s="7">
        <v>45366.422453703701</v>
      </c>
      <c r="D1174" s="14">
        <v>13720</v>
      </c>
      <c r="E1174" s="14">
        <v>345</v>
      </c>
      <c r="F1174" s="14">
        <v>56</v>
      </c>
      <c r="G1174" s="14">
        <v>46</v>
      </c>
      <c r="H1174" s="14">
        <v>150.71</v>
      </c>
      <c r="I1174" s="14">
        <f>'PIVOT TABLES'!$B$26</f>
        <v>60.283999999999999</v>
      </c>
      <c r="J1174" s="14">
        <f>'PIVOT TABLES'!$B$27-'PIVOT TABLES'!$B$26</f>
        <v>30.142000000000003</v>
      </c>
      <c r="K1174" s="14">
        <f>'PIVOT TABLES'!$B$28-'PIVOT TABLES'!$B$27</f>
        <v>30.141999999999996</v>
      </c>
      <c r="L1174" s="14">
        <f>200-SUM(Table3[[#This Row],[D - LIGHT]:[D - VIGOROUS]])</f>
        <v>79.432000000000002</v>
      </c>
      <c r="M1174" s="14">
        <f>'PIVOT TABLES'!$I$26</f>
        <v>65.603999999999999</v>
      </c>
      <c r="N1174" s="14">
        <f>'PIVOT TABLES'!$I$27-'PIVOT TABLES'!$I$26</f>
        <v>32.802000000000007</v>
      </c>
      <c r="O1174" s="14">
        <f>'PIVOT TABLES'!$I$28-'PIVOT TABLES'!$I$27</f>
        <v>32.801999999999992</v>
      </c>
      <c r="P1174" s="14">
        <f>200-SUM(Table3[[#This Row],[M - LIGHT]:[M - VIGOROUS]])</f>
        <v>68.792000000000002</v>
      </c>
      <c r="Q1174" s="14">
        <f>'PIVOT TABLES'!$P$26</f>
        <v>62.64</v>
      </c>
      <c r="R1174" s="14">
        <f>'PIVOT TABLES'!$P$27-'PIVOT TABLES'!$P$26</f>
        <v>31.320000000000007</v>
      </c>
      <c r="S1174" s="14">
        <f>'PIVOT TABLES'!$P$28-'PIVOT TABLES'!$P$27</f>
        <v>31.319999999999993</v>
      </c>
      <c r="T1174" s="14">
        <f>200-SUM(Table3[[#This Row],[W - LIGHT]:[W - VIGOROUS]])</f>
        <v>74.72</v>
      </c>
      <c r="U1174" s="14">
        <f>'PIVOT TABLES'!$W$26</f>
        <v>55.895999999999994</v>
      </c>
      <c r="V1174" s="14">
        <f>'PIVOT TABLES'!$W$27-'PIVOT TABLES'!$W$26</f>
        <v>27.948</v>
      </c>
      <c r="W1174" s="14">
        <f>'PIVOT TABLES'!$W$28-'PIVOT TABLES'!$W$27</f>
        <v>27.947999999999993</v>
      </c>
      <c r="X1174" s="14">
        <f>200-SUM(Table3[[#This Row],[S - LIGHT]:[S - VIGOROUS]])</f>
        <v>88.208000000000013</v>
      </c>
    </row>
    <row r="1175" spans="1:24" x14ac:dyDescent="0.25">
      <c r="A1175" s="44" t="s">
        <v>58</v>
      </c>
      <c r="B1175" s="13" t="str">
        <f t="shared" si="18"/>
        <v>Defender</v>
      </c>
      <c r="C1175" s="7">
        <v>45366.422453703701</v>
      </c>
      <c r="D1175" s="14">
        <v>14079</v>
      </c>
      <c r="E1175" s="14">
        <v>188</v>
      </c>
      <c r="F1175" s="14">
        <v>64</v>
      </c>
      <c r="G1175" s="14">
        <v>59</v>
      </c>
      <c r="H1175" s="14">
        <v>150.16999999999999</v>
      </c>
      <c r="I1175" s="14">
        <f>'PIVOT TABLES'!$B$26</f>
        <v>60.283999999999999</v>
      </c>
      <c r="J1175" s="14">
        <f>'PIVOT TABLES'!$B$27-'PIVOT TABLES'!$B$26</f>
        <v>30.142000000000003</v>
      </c>
      <c r="K1175" s="14">
        <f>'PIVOT TABLES'!$B$28-'PIVOT TABLES'!$B$27</f>
        <v>30.141999999999996</v>
      </c>
      <c r="L1175" s="14">
        <f>200-SUM(Table3[[#This Row],[D - LIGHT]:[D - VIGOROUS]])</f>
        <v>79.432000000000002</v>
      </c>
      <c r="M1175" s="14">
        <f>'PIVOT TABLES'!$I$26</f>
        <v>65.603999999999999</v>
      </c>
      <c r="N1175" s="14">
        <f>'PIVOT TABLES'!$I$27-'PIVOT TABLES'!$I$26</f>
        <v>32.802000000000007</v>
      </c>
      <c r="O1175" s="14">
        <f>'PIVOT TABLES'!$I$28-'PIVOT TABLES'!$I$27</f>
        <v>32.801999999999992</v>
      </c>
      <c r="P1175" s="14">
        <f>200-SUM(Table3[[#This Row],[M - LIGHT]:[M - VIGOROUS]])</f>
        <v>68.792000000000002</v>
      </c>
      <c r="Q1175" s="14">
        <f>'PIVOT TABLES'!$P$26</f>
        <v>62.64</v>
      </c>
      <c r="R1175" s="14">
        <f>'PIVOT TABLES'!$P$27-'PIVOT TABLES'!$P$26</f>
        <v>31.320000000000007</v>
      </c>
      <c r="S1175" s="14">
        <f>'PIVOT TABLES'!$P$28-'PIVOT TABLES'!$P$27</f>
        <v>31.319999999999993</v>
      </c>
      <c r="T1175" s="14">
        <f>200-SUM(Table3[[#This Row],[W - LIGHT]:[W - VIGOROUS]])</f>
        <v>74.72</v>
      </c>
      <c r="U1175" s="14">
        <f>'PIVOT TABLES'!$W$26</f>
        <v>55.895999999999994</v>
      </c>
      <c r="V1175" s="14">
        <f>'PIVOT TABLES'!$W$27-'PIVOT TABLES'!$W$26</f>
        <v>27.948</v>
      </c>
      <c r="W1175" s="14">
        <f>'PIVOT TABLES'!$W$28-'PIVOT TABLES'!$W$27</f>
        <v>27.947999999999993</v>
      </c>
      <c r="X1175" s="14">
        <f>200-SUM(Table3[[#This Row],[S - LIGHT]:[S - VIGOROUS]])</f>
        <v>88.208000000000013</v>
      </c>
    </row>
    <row r="1176" spans="1:24" x14ac:dyDescent="0.25">
      <c r="A1176" s="44" t="s">
        <v>3</v>
      </c>
      <c r="B1176" s="13" t="str">
        <f t="shared" si="18"/>
        <v>Defender</v>
      </c>
      <c r="C1176" s="7">
        <v>45366.422453703701</v>
      </c>
      <c r="D1176" s="14">
        <v>9710</v>
      </c>
      <c r="E1176" s="14">
        <v>150</v>
      </c>
      <c r="F1176" s="14">
        <v>28</v>
      </c>
      <c r="G1176" s="14">
        <v>30</v>
      </c>
      <c r="H1176" s="14">
        <v>103.32</v>
      </c>
      <c r="I1176" s="14">
        <f>'PIVOT TABLES'!$B$26</f>
        <v>60.283999999999999</v>
      </c>
      <c r="J1176" s="14">
        <f>'PIVOT TABLES'!$B$27-'PIVOT TABLES'!$B$26</f>
        <v>30.142000000000003</v>
      </c>
      <c r="K1176" s="14">
        <f>'PIVOT TABLES'!$B$28-'PIVOT TABLES'!$B$27</f>
        <v>30.141999999999996</v>
      </c>
      <c r="L1176" s="14">
        <f>200-SUM(Table3[[#This Row],[D - LIGHT]:[D - VIGOROUS]])</f>
        <v>79.432000000000002</v>
      </c>
      <c r="M1176" s="14">
        <f>'PIVOT TABLES'!$I$26</f>
        <v>65.603999999999999</v>
      </c>
      <c r="N1176" s="14">
        <f>'PIVOT TABLES'!$I$27-'PIVOT TABLES'!$I$26</f>
        <v>32.802000000000007</v>
      </c>
      <c r="O1176" s="14">
        <f>'PIVOT TABLES'!$I$28-'PIVOT TABLES'!$I$27</f>
        <v>32.801999999999992</v>
      </c>
      <c r="P1176" s="14">
        <f>200-SUM(Table3[[#This Row],[M - LIGHT]:[M - VIGOROUS]])</f>
        <v>68.792000000000002</v>
      </c>
      <c r="Q1176" s="14">
        <f>'PIVOT TABLES'!$P$26</f>
        <v>62.64</v>
      </c>
      <c r="R1176" s="14">
        <f>'PIVOT TABLES'!$P$27-'PIVOT TABLES'!$P$26</f>
        <v>31.320000000000007</v>
      </c>
      <c r="S1176" s="14">
        <f>'PIVOT TABLES'!$P$28-'PIVOT TABLES'!$P$27</f>
        <v>31.319999999999993</v>
      </c>
      <c r="T1176" s="14">
        <f>200-SUM(Table3[[#This Row],[W - LIGHT]:[W - VIGOROUS]])</f>
        <v>74.72</v>
      </c>
      <c r="U1176" s="14">
        <f>'PIVOT TABLES'!$W$26</f>
        <v>55.895999999999994</v>
      </c>
      <c r="V1176" s="14">
        <f>'PIVOT TABLES'!$W$27-'PIVOT TABLES'!$W$26</f>
        <v>27.948</v>
      </c>
      <c r="W1176" s="14">
        <f>'PIVOT TABLES'!$W$28-'PIVOT TABLES'!$W$27</f>
        <v>27.947999999999993</v>
      </c>
      <c r="X1176" s="14">
        <f>200-SUM(Table3[[#This Row],[S - LIGHT]:[S - VIGOROUS]])</f>
        <v>88.208000000000013</v>
      </c>
    </row>
    <row r="1177" spans="1:24" x14ac:dyDescent="0.25">
      <c r="A1177" s="44" t="s">
        <v>59</v>
      </c>
      <c r="B1177" s="13" t="str">
        <f t="shared" si="18"/>
        <v>Striker</v>
      </c>
      <c r="C1177" s="7">
        <v>45366.422453703701</v>
      </c>
      <c r="D1177" s="14">
        <v>9844</v>
      </c>
      <c r="E1177" s="14">
        <v>302</v>
      </c>
      <c r="F1177" s="14">
        <v>53</v>
      </c>
      <c r="G1177" s="14">
        <v>44</v>
      </c>
      <c r="H1177" s="14">
        <v>110.5</v>
      </c>
      <c r="I1177" s="14">
        <f>'PIVOT TABLES'!$B$26</f>
        <v>60.283999999999999</v>
      </c>
      <c r="J1177" s="14">
        <f>'PIVOT TABLES'!$B$27-'PIVOT TABLES'!$B$26</f>
        <v>30.142000000000003</v>
      </c>
      <c r="K1177" s="14">
        <f>'PIVOT TABLES'!$B$28-'PIVOT TABLES'!$B$27</f>
        <v>30.141999999999996</v>
      </c>
      <c r="L1177" s="14">
        <f>200-SUM(Table3[[#This Row],[D - LIGHT]:[D - VIGOROUS]])</f>
        <v>79.432000000000002</v>
      </c>
      <c r="M1177" s="14">
        <f>'PIVOT TABLES'!$I$26</f>
        <v>65.603999999999999</v>
      </c>
      <c r="N1177" s="14">
        <f>'PIVOT TABLES'!$I$27-'PIVOT TABLES'!$I$26</f>
        <v>32.802000000000007</v>
      </c>
      <c r="O1177" s="14">
        <f>'PIVOT TABLES'!$I$28-'PIVOT TABLES'!$I$27</f>
        <v>32.801999999999992</v>
      </c>
      <c r="P1177" s="14">
        <f>200-SUM(Table3[[#This Row],[M - LIGHT]:[M - VIGOROUS]])</f>
        <v>68.792000000000002</v>
      </c>
      <c r="Q1177" s="14">
        <f>'PIVOT TABLES'!$P$26</f>
        <v>62.64</v>
      </c>
      <c r="R1177" s="14">
        <f>'PIVOT TABLES'!$P$27-'PIVOT TABLES'!$P$26</f>
        <v>31.320000000000007</v>
      </c>
      <c r="S1177" s="14">
        <f>'PIVOT TABLES'!$P$28-'PIVOT TABLES'!$P$27</f>
        <v>31.319999999999993</v>
      </c>
      <c r="T1177" s="14">
        <f>200-SUM(Table3[[#This Row],[W - LIGHT]:[W - VIGOROUS]])</f>
        <v>74.72</v>
      </c>
      <c r="U1177" s="14">
        <f>'PIVOT TABLES'!$W$26</f>
        <v>55.895999999999994</v>
      </c>
      <c r="V1177" s="14">
        <f>'PIVOT TABLES'!$W$27-'PIVOT TABLES'!$W$26</f>
        <v>27.948</v>
      </c>
      <c r="W1177" s="14">
        <f>'PIVOT TABLES'!$W$28-'PIVOT TABLES'!$W$27</f>
        <v>27.947999999999993</v>
      </c>
      <c r="X1177" s="14">
        <f>200-SUM(Table3[[#This Row],[S - LIGHT]:[S - VIGOROUS]])</f>
        <v>88.208000000000013</v>
      </c>
    </row>
    <row r="1178" spans="1:24" x14ac:dyDescent="0.25">
      <c r="A1178" s="44" t="s">
        <v>4</v>
      </c>
      <c r="B1178" s="13" t="str">
        <f t="shared" si="18"/>
        <v>Midfielder</v>
      </c>
      <c r="C1178" s="7">
        <v>45366.422453703701</v>
      </c>
      <c r="D1178" s="14">
        <v>6374</v>
      </c>
      <c r="E1178" s="14">
        <v>27</v>
      </c>
      <c r="F1178" s="14">
        <v>7</v>
      </c>
      <c r="G1178" s="14">
        <v>15</v>
      </c>
      <c r="H1178" s="14">
        <v>65.13</v>
      </c>
      <c r="I1178" s="14">
        <f>'PIVOT TABLES'!$B$26</f>
        <v>60.283999999999999</v>
      </c>
      <c r="J1178" s="14">
        <f>'PIVOT TABLES'!$B$27-'PIVOT TABLES'!$B$26</f>
        <v>30.142000000000003</v>
      </c>
      <c r="K1178" s="14">
        <f>'PIVOT TABLES'!$B$28-'PIVOT TABLES'!$B$27</f>
        <v>30.141999999999996</v>
      </c>
      <c r="L1178" s="14">
        <f>200-SUM(Table3[[#This Row],[D - LIGHT]:[D - VIGOROUS]])</f>
        <v>79.432000000000002</v>
      </c>
      <c r="M1178" s="14">
        <f>'PIVOT TABLES'!$I$26</f>
        <v>65.603999999999999</v>
      </c>
      <c r="N1178" s="14">
        <f>'PIVOT TABLES'!$I$27-'PIVOT TABLES'!$I$26</f>
        <v>32.802000000000007</v>
      </c>
      <c r="O1178" s="14">
        <f>'PIVOT TABLES'!$I$28-'PIVOT TABLES'!$I$27</f>
        <v>32.801999999999992</v>
      </c>
      <c r="P1178" s="14">
        <f>200-SUM(Table3[[#This Row],[M - LIGHT]:[M - VIGOROUS]])</f>
        <v>68.792000000000002</v>
      </c>
      <c r="Q1178" s="14">
        <f>'PIVOT TABLES'!$P$26</f>
        <v>62.64</v>
      </c>
      <c r="R1178" s="14">
        <f>'PIVOT TABLES'!$P$27-'PIVOT TABLES'!$P$26</f>
        <v>31.320000000000007</v>
      </c>
      <c r="S1178" s="14">
        <f>'PIVOT TABLES'!$P$28-'PIVOT TABLES'!$P$27</f>
        <v>31.319999999999993</v>
      </c>
      <c r="T1178" s="14">
        <f>200-SUM(Table3[[#This Row],[W - LIGHT]:[W - VIGOROUS]])</f>
        <v>74.72</v>
      </c>
      <c r="U1178" s="14">
        <f>'PIVOT TABLES'!$W$26</f>
        <v>55.895999999999994</v>
      </c>
      <c r="V1178" s="14">
        <f>'PIVOT TABLES'!$W$27-'PIVOT TABLES'!$W$26</f>
        <v>27.948</v>
      </c>
      <c r="W1178" s="14">
        <f>'PIVOT TABLES'!$W$28-'PIVOT TABLES'!$W$27</f>
        <v>27.947999999999993</v>
      </c>
      <c r="X1178" s="14">
        <f>200-SUM(Table3[[#This Row],[S - LIGHT]:[S - VIGOROUS]])</f>
        <v>88.208000000000013</v>
      </c>
    </row>
    <row r="1179" spans="1:24" x14ac:dyDescent="0.25">
      <c r="A1179" s="44" t="s">
        <v>60</v>
      </c>
      <c r="B1179" s="13" t="str">
        <f t="shared" si="18"/>
        <v>Winger</v>
      </c>
      <c r="C1179" s="7">
        <v>45366.422453703701</v>
      </c>
      <c r="D1179" s="14">
        <v>4344</v>
      </c>
      <c r="E1179" s="14">
        <v>0</v>
      </c>
      <c r="F1179" s="14">
        <v>7</v>
      </c>
      <c r="G1179" s="14">
        <v>9</v>
      </c>
      <c r="H1179" s="14">
        <v>43.9</v>
      </c>
      <c r="I1179" s="14">
        <f>'PIVOT TABLES'!$B$26</f>
        <v>60.283999999999999</v>
      </c>
      <c r="J1179" s="14">
        <f>'PIVOT TABLES'!$B$27-'PIVOT TABLES'!$B$26</f>
        <v>30.142000000000003</v>
      </c>
      <c r="K1179" s="14">
        <f>'PIVOT TABLES'!$B$28-'PIVOT TABLES'!$B$27</f>
        <v>30.141999999999996</v>
      </c>
      <c r="L1179" s="14">
        <f>200-SUM(Table3[[#This Row],[D - LIGHT]:[D - VIGOROUS]])</f>
        <v>79.432000000000002</v>
      </c>
      <c r="M1179" s="14">
        <f>'PIVOT TABLES'!$I$26</f>
        <v>65.603999999999999</v>
      </c>
      <c r="N1179" s="14">
        <f>'PIVOT TABLES'!$I$27-'PIVOT TABLES'!$I$26</f>
        <v>32.802000000000007</v>
      </c>
      <c r="O1179" s="14">
        <f>'PIVOT TABLES'!$I$28-'PIVOT TABLES'!$I$27</f>
        <v>32.801999999999992</v>
      </c>
      <c r="P1179" s="14">
        <f>200-SUM(Table3[[#This Row],[M - LIGHT]:[M - VIGOROUS]])</f>
        <v>68.792000000000002</v>
      </c>
      <c r="Q1179" s="14">
        <f>'PIVOT TABLES'!$P$26</f>
        <v>62.64</v>
      </c>
      <c r="R1179" s="14">
        <f>'PIVOT TABLES'!$P$27-'PIVOT TABLES'!$P$26</f>
        <v>31.320000000000007</v>
      </c>
      <c r="S1179" s="14">
        <f>'PIVOT TABLES'!$P$28-'PIVOT TABLES'!$P$27</f>
        <v>31.319999999999993</v>
      </c>
      <c r="T1179" s="14">
        <f>200-SUM(Table3[[#This Row],[W - LIGHT]:[W - VIGOROUS]])</f>
        <v>74.72</v>
      </c>
      <c r="U1179" s="14">
        <f>'PIVOT TABLES'!$W$26</f>
        <v>55.895999999999994</v>
      </c>
      <c r="V1179" s="14">
        <f>'PIVOT TABLES'!$W$27-'PIVOT TABLES'!$W$26</f>
        <v>27.948</v>
      </c>
      <c r="W1179" s="14">
        <f>'PIVOT TABLES'!$W$28-'PIVOT TABLES'!$W$27</f>
        <v>27.947999999999993</v>
      </c>
      <c r="X1179" s="14">
        <f>200-SUM(Table3[[#This Row],[S - LIGHT]:[S - VIGOROUS]])</f>
        <v>88.208000000000013</v>
      </c>
    </row>
    <row r="1180" spans="1:24" x14ac:dyDescent="0.25">
      <c r="A1180" s="44" t="s">
        <v>71</v>
      </c>
      <c r="B1180" s="13" t="str">
        <f t="shared" si="18"/>
        <v>Midfielder</v>
      </c>
      <c r="C1180" s="7">
        <v>45366.422453703701</v>
      </c>
      <c r="D1180" s="14">
        <v>4401</v>
      </c>
      <c r="E1180" s="14">
        <v>0</v>
      </c>
      <c r="F1180" s="14">
        <v>6</v>
      </c>
      <c r="G1180" s="14">
        <v>7</v>
      </c>
      <c r="H1180" s="14">
        <v>44.39</v>
      </c>
      <c r="I1180" s="14">
        <f>'PIVOT TABLES'!$B$26</f>
        <v>60.283999999999999</v>
      </c>
      <c r="J1180" s="14">
        <f>'PIVOT TABLES'!$B$27-'PIVOT TABLES'!$B$26</f>
        <v>30.142000000000003</v>
      </c>
      <c r="K1180" s="14">
        <f>'PIVOT TABLES'!$B$28-'PIVOT TABLES'!$B$27</f>
        <v>30.141999999999996</v>
      </c>
      <c r="L1180" s="14">
        <f>200-SUM(Table3[[#This Row],[D - LIGHT]:[D - VIGOROUS]])</f>
        <v>79.432000000000002</v>
      </c>
      <c r="M1180" s="14">
        <f>'PIVOT TABLES'!$I$26</f>
        <v>65.603999999999999</v>
      </c>
      <c r="N1180" s="14">
        <f>'PIVOT TABLES'!$I$27-'PIVOT TABLES'!$I$26</f>
        <v>32.802000000000007</v>
      </c>
      <c r="O1180" s="14">
        <f>'PIVOT TABLES'!$I$28-'PIVOT TABLES'!$I$27</f>
        <v>32.801999999999992</v>
      </c>
      <c r="P1180" s="14">
        <f>200-SUM(Table3[[#This Row],[M - LIGHT]:[M - VIGOROUS]])</f>
        <v>68.792000000000002</v>
      </c>
      <c r="Q1180" s="14">
        <f>'PIVOT TABLES'!$P$26</f>
        <v>62.64</v>
      </c>
      <c r="R1180" s="14">
        <f>'PIVOT TABLES'!$P$27-'PIVOT TABLES'!$P$26</f>
        <v>31.320000000000007</v>
      </c>
      <c r="S1180" s="14">
        <f>'PIVOT TABLES'!$P$28-'PIVOT TABLES'!$P$27</f>
        <v>31.319999999999993</v>
      </c>
      <c r="T1180" s="14">
        <f>200-SUM(Table3[[#This Row],[W - LIGHT]:[W - VIGOROUS]])</f>
        <v>74.72</v>
      </c>
      <c r="U1180" s="14">
        <f>'PIVOT TABLES'!$W$26</f>
        <v>55.895999999999994</v>
      </c>
      <c r="V1180" s="14">
        <f>'PIVOT TABLES'!$W$27-'PIVOT TABLES'!$W$26</f>
        <v>27.948</v>
      </c>
      <c r="W1180" s="14">
        <f>'PIVOT TABLES'!$W$28-'PIVOT TABLES'!$W$27</f>
        <v>27.947999999999993</v>
      </c>
      <c r="X1180" s="14">
        <f>200-SUM(Table3[[#This Row],[S - LIGHT]:[S - VIGOROUS]])</f>
        <v>88.208000000000013</v>
      </c>
    </row>
    <row r="1181" spans="1:24" x14ac:dyDescent="0.25">
      <c r="A1181" s="44" t="s">
        <v>5</v>
      </c>
      <c r="B1181" s="13" t="str">
        <f t="shared" si="18"/>
        <v>Midfielder</v>
      </c>
      <c r="C1181" s="7">
        <v>45366.422453703701</v>
      </c>
      <c r="D1181" s="14">
        <v>8225</v>
      </c>
      <c r="E1181" s="14">
        <v>42</v>
      </c>
      <c r="F1181" s="14">
        <v>27</v>
      </c>
      <c r="G1181" s="14">
        <v>21</v>
      </c>
      <c r="H1181" s="14">
        <v>85.01</v>
      </c>
      <c r="I1181" s="14">
        <f>'PIVOT TABLES'!$B$26</f>
        <v>60.283999999999999</v>
      </c>
      <c r="J1181" s="14">
        <f>'PIVOT TABLES'!$B$27-'PIVOT TABLES'!$B$26</f>
        <v>30.142000000000003</v>
      </c>
      <c r="K1181" s="14">
        <f>'PIVOT TABLES'!$B$28-'PIVOT TABLES'!$B$27</f>
        <v>30.141999999999996</v>
      </c>
      <c r="L1181" s="14">
        <f>200-SUM(Table3[[#This Row],[D - LIGHT]:[D - VIGOROUS]])</f>
        <v>79.432000000000002</v>
      </c>
      <c r="M1181" s="14">
        <f>'PIVOT TABLES'!$I$26</f>
        <v>65.603999999999999</v>
      </c>
      <c r="N1181" s="14">
        <f>'PIVOT TABLES'!$I$27-'PIVOT TABLES'!$I$26</f>
        <v>32.802000000000007</v>
      </c>
      <c r="O1181" s="14">
        <f>'PIVOT TABLES'!$I$28-'PIVOT TABLES'!$I$27</f>
        <v>32.801999999999992</v>
      </c>
      <c r="P1181" s="14">
        <f>200-SUM(Table3[[#This Row],[M - LIGHT]:[M - VIGOROUS]])</f>
        <v>68.792000000000002</v>
      </c>
      <c r="Q1181" s="14">
        <f>'PIVOT TABLES'!$P$26</f>
        <v>62.64</v>
      </c>
      <c r="R1181" s="14">
        <f>'PIVOT TABLES'!$P$27-'PIVOT TABLES'!$P$26</f>
        <v>31.320000000000007</v>
      </c>
      <c r="S1181" s="14">
        <f>'PIVOT TABLES'!$P$28-'PIVOT TABLES'!$P$27</f>
        <v>31.319999999999993</v>
      </c>
      <c r="T1181" s="14">
        <f>200-SUM(Table3[[#This Row],[W - LIGHT]:[W - VIGOROUS]])</f>
        <v>74.72</v>
      </c>
      <c r="U1181" s="14">
        <f>'PIVOT TABLES'!$W$26</f>
        <v>55.895999999999994</v>
      </c>
      <c r="V1181" s="14">
        <f>'PIVOT TABLES'!$W$27-'PIVOT TABLES'!$W$26</f>
        <v>27.948</v>
      </c>
      <c r="W1181" s="14">
        <f>'PIVOT TABLES'!$W$28-'PIVOT TABLES'!$W$27</f>
        <v>27.947999999999993</v>
      </c>
      <c r="X1181" s="14">
        <f>200-SUM(Table3[[#This Row],[S - LIGHT]:[S - VIGOROUS]])</f>
        <v>88.208000000000013</v>
      </c>
    </row>
    <row r="1182" spans="1:24" x14ac:dyDescent="0.25">
      <c r="A1182" s="44" t="s">
        <v>6</v>
      </c>
      <c r="B1182" s="13" t="str">
        <f t="shared" si="18"/>
        <v>Midfielder</v>
      </c>
      <c r="C1182" s="7">
        <v>45366.422453703701</v>
      </c>
      <c r="D1182" s="14">
        <v>8908</v>
      </c>
      <c r="E1182" s="14">
        <v>121</v>
      </c>
      <c r="F1182" s="14">
        <v>23</v>
      </c>
      <c r="G1182" s="14">
        <v>19</v>
      </c>
      <c r="H1182" s="14">
        <v>94.01</v>
      </c>
      <c r="I1182" s="14">
        <f>'PIVOT TABLES'!$B$26</f>
        <v>60.283999999999999</v>
      </c>
      <c r="J1182" s="14">
        <f>'PIVOT TABLES'!$B$27-'PIVOT TABLES'!$B$26</f>
        <v>30.142000000000003</v>
      </c>
      <c r="K1182" s="14">
        <f>'PIVOT TABLES'!$B$28-'PIVOT TABLES'!$B$27</f>
        <v>30.141999999999996</v>
      </c>
      <c r="L1182" s="14">
        <f>200-SUM(Table3[[#This Row],[D - LIGHT]:[D - VIGOROUS]])</f>
        <v>79.432000000000002</v>
      </c>
      <c r="M1182" s="14">
        <f>'PIVOT TABLES'!$I$26</f>
        <v>65.603999999999999</v>
      </c>
      <c r="N1182" s="14">
        <f>'PIVOT TABLES'!$I$27-'PIVOT TABLES'!$I$26</f>
        <v>32.802000000000007</v>
      </c>
      <c r="O1182" s="14">
        <f>'PIVOT TABLES'!$I$28-'PIVOT TABLES'!$I$27</f>
        <v>32.801999999999992</v>
      </c>
      <c r="P1182" s="14">
        <f>200-SUM(Table3[[#This Row],[M - LIGHT]:[M - VIGOROUS]])</f>
        <v>68.792000000000002</v>
      </c>
      <c r="Q1182" s="14">
        <f>'PIVOT TABLES'!$P$26</f>
        <v>62.64</v>
      </c>
      <c r="R1182" s="14">
        <f>'PIVOT TABLES'!$P$27-'PIVOT TABLES'!$P$26</f>
        <v>31.320000000000007</v>
      </c>
      <c r="S1182" s="14">
        <f>'PIVOT TABLES'!$P$28-'PIVOT TABLES'!$P$27</f>
        <v>31.319999999999993</v>
      </c>
      <c r="T1182" s="14">
        <f>200-SUM(Table3[[#This Row],[W - LIGHT]:[W - VIGOROUS]])</f>
        <v>74.72</v>
      </c>
      <c r="U1182" s="14">
        <f>'PIVOT TABLES'!$W$26</f>
        <v>55.895999999999994</v>
      </c>
      <c r="V1182" s="14">
        <f>'PIVOT TABLES'!$W$27-'PIVOT TABLES'!$W$26</f>
        <v>27.948</v>
      </c>
      <c r="W1182" s="14">
        <f>'PIVOT TABLES'!$W$28-'PIVOT TABLES'!$W$27</f>
        <v>27.947999999999993</v>
      </c>
      <c r="X1182" s="14">
        <f>200-SUM(Table3[[#This Row],[S - LIGHT]:[S - VIGOROUS]])</f>
        <v>88.208000000000013</v>
      </c>
    </row>
    <row r="1183" spans="1:24" x14ac:dyDescent="0.25">
      <c r="A1183" s="44" t="s">
        <v>62</v>
      </c>
      <c r="B1183" s="13" t="str">
        <f t="shared" si="18"/>
        <v>Midfielder</v>
      </c>
      <c r="C1183" s="7">
        <v>45366.422453703701</v>
      </c>
      <c r="D1183" s="14">
        <v>9229</v>
      </c>
      <c r="E1183" s="14">
        <v>41</v>
      </c>
      <c r="F1183" s="14">
        <v>34</v>
      </c>
      <c r="G1183" s="14">
        <v>28</v>
      </c>
      <c r="H1183" s="14">
        <v>95.44</v>
      </c>
      <c r="I1183" s="14">
        <f>'PIVOT TABLES'!$B$26</f>
        <v>60.283999999999999</v>
      </c>
      <c r="J1183" s="14">
        <f>'PIVOT TABLES'!$B$27-'PIVOT TABLES'!$B$26</f>
        <v>30.142000000000003</v>
      </c>
      <c r="K1183" s="14">
        <f>'PIVOT TABLES'!$B$28-'PIVOT TABLES'!$B$27</f>
        <v>30.141999999999996</v>
      </c>
      <c r="L1183" s="14">
        <f>200-SUM(Table3[[#This Row],[D - LIGHT]:[D - VIGOROUS]])</f>
        <v>79.432000000000002</v>
      </c>
      <c r="M1183" s="14">
        <f>'PIVOT TABLES'!$I$26</f>
        <v>65.603999999999999</v>
      </c>
      <c r="N1183" s="14">
        <f>'PIVOT TABLES'!$I$27-'PIVOT TABLES'!$I$26</f>
        <v>32.802000000000007</v>
      </c>
      <c r="O1183" s="14">
        <f>'PIVOT TABLES'!$I$28-'PIVOT TABLES'!$I$27</f>
        <v>32.801999999999992</v>
      </c>
      <c r="P1183" s="14">
        <f>200-SUM(Table3[[#This Row],[M - LIGHT]:[M - VIGOROUS]])</f>
        <v>68.792000000000002</v>
      </c>
      <c r="Q1183" s="14">
        <f>'PIVOT TABLES'!$P$26</f>
        <v>62.64</v>
      </c>
      <c r="R1183" s="14">
        <f>'PIVOT TABLES'!$P$27-'PIVOT TABLES'!$P$26</f>
        <v>31.320000000000007</v>
      </c>
      <c r="S1183" s="14">
        <f>'PIVOT TABLES'!$P$28-'PIVOT TABLES'!$P$27</f>
        <v>31.319999999999993</v>
      </c>
      <c r="T1183" s="14">
        <f>200-SUM(Table3[[#This Row],[W - LIGHT]:[W - VIGOROUS]])</f>
        <v>74.72</v>
      </c>
      <c r="U1183" s="14">
        <f>'PIVOT TABLES'!$W$26</f>
        <v>55.895999999999994</v>
      </c>
      <c r="V1183" s="14">
        <f>'PIVOT TABLES'!$W$27-'PIVOT TABLES'!$W$26</f>
        <v>27.948</v>
      </c>
      <c r="W1183" s="14">
        <f>'PIVOT TABLES'!$W$28-'PIVOT TABLES'!$W$27</f>
        <v>27.947999999999993</v>
      </c>
      <c r="X1183" s="14">
        <f>200-SUM(Table3[[#This Row],[S - LIGHT]:[S - VIGOROUS]])</f>
        <v>88.208000000000013</v>
      </c>
    </row>
    <row r="1184" spans="1:24" x14ac:dyDescent="0.25">
      <c r="A1184" s="44" t="s">
        <v>64</v>
      </c>
      <c r="B1184" s="13" t="str">
        <f t="shared" si="18"/>
        <v>Midfielder</v>
      </c>
      <c r="C1184" s="7">
        <v>45366.422453703701</v>
      </c>
      <c r="D1184" s="14">
        <v>10978</v>
      </c>
      <c r="E1184" s="14">
        <v>61</v>
      </c>
      <c r="F1184" s="14">
        <v>24</v>
      </c>
      <c r="G1184" s="14">
        <v>32</v>
      </c>
      <c r="H1184" s="14">
        <v>113.21</v>
      </c>
      <c r="I1184" s="14">
        <f>'PIVOT TABLES'!$B$26</f>
        <v>60.283999999999999</v>
      </c>
      <c r="J1184" s="14">
        <f>'PIVOT TABLES'!$B$27-'PIVOT TABLES'!$B$26</f>
        <v>30.142000000000003</v>
      </c>
      <c r="K1184" s="14">
        <f>'PIVOT TABLES'!$B$28-'PIVOT TABLES'!$B$27</f>
        <v>30.141999999999996</v>
      </c>
      <c r="L1184" s="14">
        <f>200-SUM(Table3[[#This Row],[D - LIGHT]:[D - VIGOROUS]])</f>
        <v>79.432000000000002</v>
      </c>
      <c r="M1184" s="14">
        <f>'PIVOT TABLES'!$I$26</f>
        <v>65.603999999999999</v>
      </c>
      <c r="N1184" s="14">
        <f>'PIVOT TABLES'!$I$27-'PIVOT TABLES'!$I$26</f>
        <v>32.802000000000007</v>
      </c>
      <c r="O1184" s="14">
        <f>'PIVOT TABLES'!$I$28-'PIVOT TABLES'!$I$27</f>
        <v>32.801999999999992</v>
      </c>
      <c r="P1184" s="14">
        <f>200-SUM(Table3[[#This Row],[M - LIGHT]:[M - VIGOROUS]])</f>
        <v>68.792000000000002</v>
      </c>
      <c r="Q1184" s="14">
        <f>'PIVOT TABLES'!$P$26</f>
        <v>62.64</v>
      </c>
      <c r="R1184" s="14">
        <f>'PIVOT TABLES'!$P$27-'PIVOT TABLES'!$P$26</f>
        <v>31.320000000000007</v>
      </c>
      <c r="S1184" s="14">
        <f>'PIVOT TABLES'!$P$28-'PIVOT TABLES'!$P$27</f>
        <v>31.319999999999993</v>
      </c>
      <c r="T1184" s="14">
        <f>200-SUM(Table3[[#This Row],[W - LIGHT]:[W - VIGOROUS]])</f>
        <v>74.72</v>
      </c>
      <c r="U1184" s="14">
        <f>'PIVOT TABLES'!$W$26</f>
        <v>55.895999999999994</v>
      </c>
      <c r="V1184" s="14">
        <f>'PIVOT TABLES'!$W$27-'PIVOT TABLES'!$W$26</f>
        <v>27.948</v>
      </c>
      <c r="W1184" s="14">
        <f>'PIVOT TABLES'!$W$28-'PIVOT TABLES'!$W$27</f>
        <v>27.947999999999993</v>
      </c>
      <c r="X1184" s="14">
        <f>200-SUM(Table3[[#This Row],[S - LIGHT]:[S - VIGOROUS]])</f>
        <v>88.208000000000013</v>
      </c>
    </row>
    <row r="1185" spans="1:24" x14ac:dyDescent="0.25">
      <c r="A1185" s="44" t="s">
        <v>65</v>
      </c>
      <c r="B1185" s="13" t="str">
        <f t="shared" si="18"/>
        <v>Winger</v>
      </c>
      <c r="C1185" s="7">
        <v>45366.422453703701</v>
      </c>
      <c r="D1185" s="14">
        <v>5188</v>
      </c>
      <c r="E1185" s="14">
        <v>3</v>
      </c>
      <c r="F1185" s="14">
        <v>12</v>
      </c>
      <c r="G1185" s="14">
        <v>6</v>
      </c>
      <c r="H1185" s="14">
        <v>52.57</v>
      </c>
      <c r="I1185" s="14">
        <f>'PIVOT TABLES'!$B$26</f>
        <v>60.283999999999999</v>
      </c>
      <c r="J1185" s="14">
        <f>'PIVOT TABLES'!$B$27-'PIVOT TABLES'!$B$26</f>
        <v>30.142000000000003</v>
      </c>
      <c r="K1185" s="14">
        <f>'PIVOT TABLES'!$B$28-'PIVOT TABLES'!$B$27</f>
        <v>30.141999999999996</v>
      </c>
      <c r="L1185" s="14">
        <f>200-SUM(Table3[[#This Row],[D - LIGHT]:[D - VIGOROUS]])</f>
        <v>79.432000000000002</v>
      </c>
      <c r="M1185" s="14">
        <f>'PIVOT TABLES'!$I$26</f>
        <v>65.603999999999999</v>
      </c>
      <c r="N1185" s="14">
        <f>'PIVOT TABLES'!$I$27-'PIVOT TABLES'!$I$26</f>
        <v>32.802000000000007</v>
      </c>
      <c r="O1185" s="14">
        <f>'PIVOT TABLES'!$I$28-'PIVOT TABLES'!$I$27</f>
        <v>32.801999999999992</v>
      </c>
      <c r="P1185" s="14">
        <f>200-SUM(Table3[[#This Row],[M - LIGHT]:[M - VIGOROUS]])</f>
        <v>68.792000000000002</v>
      </c>
      <c r="Q1185" s="14">
        <f>'PIVOT TABLES'!$P$26</f>
        <v>62.64</v>
      </c>
      <c r="R1185" s="14">
        <f>'PIVOT TABLES'!$P$27-'PIVOT TABLES'!$P$26</f>
        <v>31.320000000000007</v>
      </c>
      <c r="S1185" s="14">
        <f>'PIVOT TABLES'!$P$28-'PIVOT TABLES'!$P$27</f>
        <v>31.319999999999993</v>
      </c>
      <c r="T1185" s="14">
        <f>200-SUM(Table3[[#This Row],[W - LIGHT]:[W - VIGOROUS]])</f>
        <v>74.72</v>
      </c>
      <c r="U1185" s="14">
        <f>'PIVOT TABLES'!$W$26</f>
        <v>55.895999999999994</v>
      </c>
      <c r="V1185" s="14">
        <f>'PIVOT TABLES'!$W$27-'PIVOT TABLES'!$W$26</f>
        <v>27.948</v>
      </c>
      <c r="W1185" s="14">
        <f>'PIVOT TABLES'!$W$28-'PIVOT TABLES'!$W$27</f>
        <v>27.947999999999993</v>
      </c>
      <c r="X1185" s="14">
        <f>200-SUM(Table3[[#This Row],[S - LIGHT]:[S - VIGOROUS]])</f>
        <v>88.208000000000013</v>
      </c>
    </row>
    <row r="1186" spans="1:24" x14ac:dyDescent="0.25">
      <c r="A1186" s="44" t="s">
        <v>66</v>
      </c>
      <c r="B1186" s="13" t="str">
        <f t="shared" si="18"/>
        <v>Striker</v>
      </c>
      <c r="C1186" s="7">
        <v>45366.422453703701</v>
      </c>
      <c r="D1186" s="14">
        <v>7845</v>
      </c>
      <c r="E1186" s="14">
        <v>44</v>
      </c>
      <c r="F1186" s="14">
        <v>18</v>
      </c>
      <c r="G1186" s="14">
        <v>22</v>
      </c>
      <c r="H1186" s="14">
        <v>80.930000000000007</v>
      </c>
      <c r="I1186" s="14">
        <f>'PIVOT TABLES'!$B$26</f>
        <v>60.283999999999999</v>
      </c>
      <c r="J1186" s="14">
        <f>'PIVOT TABLES'!$B$27-'PIVOT TABLES'!$B$26</f>
        <v>30.142000000000003</v>
      </c>
      <c r="K1186" s="14">
        <f>'PIVOT TABLES'!$B$28-'PIVOT TABLES'!$B$27</f>
        <v>30.141999999999996</v>
      </c>
      <c r="L1186" s="14">
        <f>200-SUM(Table3[[#This Row],[D - LIGHT]:[D - VIGOROUS]])</f>
        <v>79.432000000000002</v>
      </c>
      <c r="M1186" s="14">
        <f>'PIVOT TABLES'!$I$26</f>
        <v>65.603999999999999</v>
      </c>
      <c r="N1186" s="14">
        <f>'PIVOT TABLES'!$I$27-'PIVOT TABLES'!$I$26</f>
        <v>32.802000000000007</v>
      </c>
      <c r="O1186" s="14">
        <f>'PIVOT TABLES'!$I$28-'PIVOT TABLES'!$I$27</f>
        <v>32.801999999999992</v>
      </c>
      <c r="P1186" s="14">
        <f>200-SUM(Table3[[#This Row],[M - LIGHT]:[M - VIGOROUS]])</f>
        <v>68.792000000000002</v>
      </c>
      <c r="Q1186" s="14">
        <f>'PIVOT TABLES'!$P$26</f>
        <v>62.64</v>
      </c>
      <c r="R1186" s="14">
        <f>'PIVOT TABLES'!$P$27-'PIVOT TABLES'!$P$26</f>
        <v>31.320000000000007</v>
      </c>
      <c r="S1186" s="14">
        <f>'PIVOT TABLES'!$P$28-'PIVOT TABLES'!$P$27</f>
        <v>31.319999999999993</v>
      </c>
      <c r="T1186" s="14">
        <f>200-SUM(Table3[[#This Row],[W - LIGHT]:[W - VIGOROUS]])</f>
        <v>74.72</v>
      </c>
      <c r="U1186" s="14">
        <f>'PIVOT TABLES'!$W$26</f>
        <v>55.895999999999994</v>
      </c>
      <c r="V1186" s="14">
        <f>'PIVOT TABLES'!$W$27-'PIVOT TABLES'!$W$26</f>
        <v>27.948</v>
      </c>
      <c r="W1186" s="14">
        <f>'PIVOT TABLES'!$W$28-'PIVOT TABLES'!$W$27</f>
        <v>27.947999999999993</v>
      </c>
      <c r="X1186" s="14">
        <f>200-SUM(Table3[[#This Row],[S - LIGHT]:[S - VIGOROUS]])</f>
        <v>88.208000000000013</v>
      </c>
    </row>
    <row r="1187" spans="1:24" x14ac:dyDescent="0.25">
      <c r="A1187" s="44" t="s">
        <v>95</v>
      </c>
      <c r="B1187" s="13" t="str">
        <f t="shared" si="18"/>
        <v>Winger</v>
      </c>
      <c r="C1187" s="7">
        <v>45366.422453703701</v>
      </c>
      <c r="D1187" s="14">
        <v>10715</v>
      </c>
      <c r="E1187" s="14">
        <v>198</v>
      </c>
      <c r="F1187" s="14">
        <v>43</v>
      </c>
      <c r="G1187" s="14">
        <v>38</v>
      </c>
      <c r="H1187" s="14">
        <v>115.57</v>
      </c>
      <c r="I1187" s="14">
        <f>'PIVOT TABLES'!$B$26</f>
        <v>60.283999999999999</v>
      </c>
      <c r="J1187" s="14">
        <f>'PIVOT TABLES'!$B$27-'PIVOT TABLES'!$B$26</f>
        <v>30.142000000000003</v>
      </c>
      <c r="K1187" s="14">
        <f>'PIVOT TABLES'!$B$28-'PIVOT TABLES'!$B$27</f>
        <v>30.141999999999996</v>
      </c>
      <c r="L1187" s="14">
        <f>200-SUM(Table3[[#This Row],[D - LIGHT]:[D - VIGOROUS]])</f>
        <v>79.432000000000002</v>
      </c>
      <c r="M1187" s="14">
        <f>'PIVOT TABLES'!$I$26</f>
        <v>65.603999999999999</v>
      </c>
      <c r="N1187" s="14">
        <f>'PIVOT TABLES'!$I$27-'PIVOT TABLES'!$I$26</f>
        <v>32.802000000000007</v>
      </c>
      <c r="O1187" s="14">
        <f>'PIVOT TABLES'!$I$28-'PIVOT TABLES'!$I$27</f>
        <v>32.801999999999992</v>
      </c>
      <c r="P1187" s="14">
        <f>200-SUM(Table3[[#This Row],[M - LIGHT]:[M - VIGOROUS]])</f>
        <v>68.792000000000002</v>
      </c>
      <c r="Q1187" s="14">
        <f>'PIVOT TABLES'!$P$26</f>
        <v>62.64</v>
      </c>
      <c r="R1187" s="14">
        <f>'PIVOT TABLES'!$P$27-'PIVOT TABLES'!$P$26</f>
        <v>31.320000000000007</v>
      </c>
      <c r="S1187" s="14">
        <f>'PIVOT TABLES'!$P$28-'PIVOT TABLES'!$P$27</f>
        <v>31.319999999999993</v>
      </c>
      <c r="T1187" s="14">
        <f>200-SUM(Table3[[#This Row],[W - LIGHT]:[W - VIGOROUS]])</f>
        <v>74.72</v>
      </c>
      <c r="U1187" s="14">
        <f>'PIVOT TABLES'!$W$26</f>
        <v>55.895999999999994</v>
      </c>
      <c r="V1187" s="14">
        <f>'PIVOT TABLES'!$W$27-'PIVOT TABLES'!$W$26</f>
        <v>27.948</v>
      </c>
      <c r="W1187" s="14">
        <f>'PIVOT TABLES'!$W$28-'PIVOT TABLES'!$W$27</f>
        <v>27.947999999999993</v>
      </c>
      <c r="X1187" s="14">
        <f>200-SUM(Table3[[#This Row],[S - LIGHT]:[S - VIGOROUS]])</f>
        <v>88.208000000000013</v>
      </c>
    </row>
    <row r="1188" spans="1:24" x14ac:dyDescent="0.25">
      <c r="A1188" s="44" t="s">
        <v>96</v>
      </c>
      <c r="B1188" s="13" t="str">
        <f t="shared" si="18"/>
        <v>Winger</v>
      </c>
      <c r="C1188" s="7">
        <v>45366.422453703701</v>
      </c>
      <c r="D1188" s="14">
        <v>10312</v>
      </c>
      <c r="E1188" s="14">
        <v>232</v>
      </c>
      <c r="F1188" s="14">
        <v>40</v>
      </c>
      <c r="G1188" s="14">
        <v>32</v>
      </c>
      <c r="H1188" s="14">
        <v>112.32</v>
      </c>
      <c r="I1188" s="14">
        <f>'PIVOT TABLES'!$B$26</f>
        <v>60.283999999999999</v>
      </c>
      <c r="J1188" s="14">
        <f>'PIVOT TABLES'!$B$27-'PIVOT TABLES'!$B$26</f>
        <v>30.142000000000003</v>
      </c>
      <c r="K1188" s="14">
        <f>'PIVOT TABLES'!$B$28-'PIVOT TABLES'!$B$27</f>
        <v>30.141999999999996</v>
      </c>
      <c r="L1188" s="14">
        <f>200-SUM(Table3[[#This Row],[D - LIGHT]:[D - VIGOROUS]])</f>
        <v>79.432000000000002</v>
      </c>
      <c r="M1188" s="14">
        <f>'PIVOT TABLES'!$I$26</f>
        <v>65.603999999999999</v>
      </c>
      <c r="N1188" s="14">
        <f>'PIVOT TABLES'!$I$27-'PIVOT TABLES'!$I$26</f>
        <v>32.802000000000007</v>
      </c>
      <c r="O1188" s="14">
        <f>'PIVOT TABLES'!$I$28-'PIVOT TABLES'!$I$27</f>
        <v>32.801999999999992</v>
      </c>
      <c r="P1188" s="14">
        <f>200-SUM(Table3[[#This Row],[M - LIGHT]:[M - VIGOROUS]])</f>
        <v>68.792000000000002</v>
      </c>
      <c r="Q1188" s="14">
        <f>'PIVOT TABLES'!$P$26</f>
        <v>62.64</v>
      </c>
      <c r="R1188" s="14">
        <f>'PIVOT TABLES'!$P$27-'PIVOT TABLES'!$P$26</f>
        <v>31.320000000000007</v>
      </c>
      <c r="S1188" s="14">
        <f>'PIVOT TABLES'!$P$28-'PIVOT TABLES'!$P$27</f>
        <v>31.319999999999993</v>
      </c>
      <c r="T1188" s="14">
        <f>200-SUM(Table3[[#This Row],[W - LIGHT]:[W - VIGOROUS]])</f>
        <v>74.72</v>
      </c>
      <c r="U1188" s="14">
        <f>'PIVOT TABLES'!$W$26</f>
        <v>55.895999999999994</v>
      </c>
      <c r="V1188" s="14">
        <f>'PIVOT TABLES'!$W$27-'PIVOT TABLES'!$W$26</f>
        <v>27.948</v>
      </c>
      <c r="W1188" s="14">
        <f>'PIVOT TABLES'!$W$28-'PIVOT TABLES'!$W$27</f>
        <v>27.947999999999993</v>
      </c>
      <c r="X1188" s="14">
        <f>200-SUM(Table3[[#This Row],[S - LIGHT]:[S - VIGOROUS]])</f>
        <v>88.208000000000013</v>
      </c>
    </row>
    <row r="1189" spans="1:24" x14ac:dyDescent="0.25">
      <c r="A1189" s="44" t="s">
        <v>8</v>
      </c>
      <c r="B1189" s="13" t="str">
        <f t="shared" si="18"/>
        <v>Striker</v>
      </c>
      <c r="C1189" s="7">
        <v>45366.422453703701</v>
      </c>
      <c r="D1189" s="14">
        <v>5225</v>
      </c>
      <c r="E1189" s="14">
        <v>0</v>
      </c>
      <c r="F1189" s="14">
        <v>9</v>
      </c>
      <c r="G1189" s="14">
        <v>18</v>
      </c>
      <c r="H1189" s="14">
        <v>52.97</v>
      </c>
      <c r="I1189" s="14">
        <f>'PIVOT TABLES'!$B$26</f>
        <v>60.283999999999999</v>
      </c>
      <c r="J1189" s="14">
        <f>'PIVOT TABLES'!$B$27-'PIVOT TABLES'!$B$26</f>
        <v>30.142000000000003</v>
      </c>
      <c r="K1189" s="14">
        <f>'PIVOT TABLES'!$B$28-'PIVOT TABLES'!$B$27</f>
        <v>30.141999999999996</v>
      </c>
      <c r="L1189" s="14">
        <f>200-SUM(Table3[[#This Row],[D - LIGHT]:[D - VIGOROUS]])</f>
        <v>79.432000000000002</v>
      </c>
      <c r="M1189" s="14">
        <f>'PIVOT TABLES'!$I$26</f>
        <v>65.603999999999999</v>
      </c>
      <c r="N1189" s="14">
        <f>'PIVOT TABLES'!$I$27-'PIVOT TABLES'!$I$26</f>
        <v>32.802000000000007</v>
      </c>
      <c r="O1189" s="14">
        <f>'PIVOT TABLES'!$I$28-'PIVOT TABLES'!$I$27</f>
        <v>32.801999999999992</v>
      </c>
      <c r="P1189" s="14">
        <f>200-SUM(Table3[[#This Row],[M - LIGHT]:[M - VIGOROUS]])</f>
        <v>68.792000000000002</v>
      </c>
      <c r="Q1189" s="14">
        <f>'PIVOT TABLES'!$P$26</f>
        <v>62.64</v>
      </c>
      <c r="R1189" s="14">
        <f>'PIVOT TABLES'!$P$27-'PIVOT TABLES'!$P$26</f>
        <v>31.320000000000007</v>
      </c>
      <c r="S1189" s="14">
        <f>'PIVOT TABLES'!$P$28-'PIVOT TABLES'!$P$27</f>
        <v>31.319999999999993</v>
      </c>
      <c r="T1189" s="14">
        <f>200-SUM(Table3[[#This Row],[W - LIGHT]:[W - VIGOROUS]])</f>
        <v>74.72</v>
      </c>
      <c r="U1189" s="14">
        <f>'PIVOT TABLES'!$W$26</f>
        <v>55.895999999999994</v>
      </c>
      <c r="V1189" s="14">
        <f>'PIVOT TABLES'!$W$27-'PIVOT TABLES'!$W$26</f>
        <v>27.948</v>
      </c>
      <c r="W1189" s="14">
        <f>'PIVOT TABLES'!$W$28-'PIVOT TABLES'!$W$27</f>
        <v>27.947999999999993</v>
      </c>
      <c r="X1189" s="14">
        <f>200-SUM(Table3[[#This Row],[S - LIGHT]:[S - VIGOROUS]])</f>
        <v>88.208000000000013</v>
      </c>
    </row>
    <row r="1190" spans="1:24" x14ac:dyDescent="0.25">
      <c r="A1190" s="44" t="s">
        <v>67</v>
      </c>
      <c r="B1190" s="13" t="str">
        <f t="shared" si="18"/>
        <v>Midfielder</v>
      </c>
      <c r="C1190" s="7">
        <v>45366.422453703701</v>
      </c>
      <c r="D1190" s="14">
        <v>8490</v>
      </c>
      <c r="E1190" s="14">
        <v>94</v>
      </c>
      <c r="F1190" s="14">
        <v>43</v>
      </c>
      <c r="G1190" s="14">
        <v>28</v>
      </c>
      <c r="H1190" s="14">
        <v>90</v>
      </c>
      <c r="I1190" s="14">
        <f>'PIVOT TABLES'!$B$26</f>
        <v>60.283999999999999</v>
      </c>
      <c r="J1190" s="14">
        <f>'PIVOT TABLES'!$B$27-'PIVOT TABLES'!$B$26</f>
        <v>30.142000000000003</v>
      </c>
      <c r="K1190" s="14">
        <f>'PIVOT TABLES'!$B$28-'PIVOT TABLES'!$B$27</f>
        <v>30.141999999999996</v>
      </c>
      <c r="L1190" s="14">
        <f>200-SUM(Table3[[#This Row],[D - LIGHT]:[D - VIGOROUS]])</f>
        <v>79.432000000000002</v>
      </c>
      <c r="M1190" s="14">
        <f>'PIVOT TABLES'!$I$26</f>
        <v>65.603999999999999</v>
      </c>
      <c r="N1190" s="14">
        <f>'PIVOT TABLES'!$I$27-'PIVOT TABLES'!$I$26</f>
        <v>32.802000000000007</v>
      </c>
      <c r="O1190" s="14">
        <f>'PIVOT TABLES'!$I$28-'PIVOT TABLES'!$I$27</f>
        <v>32.801999999999992</v>
      </c>
      <c r="P1190" s="14">
        <f>200-SUM(Table3[[#This Row],[M - LIGHT]:[M - VIGOROUS]])</f>
        <v>68.792000000000002</v>
      </c>
      <c r="Q1190" s="14">
        <f>'PIVOT TABLES'!$P$26</f>
        <v>62.64</v>
      </c>
      <c r="R1190" s="14">
        <f>'PIVOT TABLES'!$P$27-'PIVOT TABLES'!$P$26</f>
        <v>31.320000000000007</v>
      </c>
      <c r="S1190" s="14">
        <f>'PIVOT TABLES'!$P$28-'PIVOT TABLES'!$P$27</f>
        <v>31.319999999999993</v>
      </c>
      <c r="T1190" s="14">
        <f>200-SUM(Table3[[#This Row],[W - LIGHT]:[W - VIGOROUS]])</f>
        <v>74.72</v>
      </c>
      <c r="U1190" s="14">
        <f>'PIVOT TABLES'!$W$26</f>
        <v>55.895999999999994</v>
      </c>
      <c r="V1190" s="14">
        <f>'PIVOT TABLES'!$W$27-'PIVOT TABLES'!$W$26</f>
        <v>27.948</v>
      </c>
      <c r="W1190" s="14">
        <f>'PIVOT TABLES'!$W$28-'PIVOT TABLES'!$W$27</f>
        <v>27.947999999999993</v>
      </c>
      <c r="X1190" s="14">
        <f>200-SUM(Table3[[#This Row],[S - LIGHT]:[S - VIGOROUS]])</f>
        <v>88.208000000000013</v>
      </c>
    </row>
    <row r="1191" spans="1:24" x14ac:dyDescent="0.25">
      <c r="A1191" s="44" t="s">
        <v>9</v>
      </c>
      <c r="B1191" s="13" t="str">
        <f t="shared" si="18"/>
        <v>Striker</v>
      </c>
      <c r="C1191" s="7">
        <v>45366.422453703701</v>
      </c>
      <c r="D1191" s="14">
        <v>4987</v>
      </c>
      <c r="E1191" s="14">
        <v>0</v>
      </c>
      <c r="F1191" s="14">
        <v>5</v>
      </c>
      <c r="G1191" s="14">
        <v>17</v>
      </c>
      <c r="H1191" s="14">
        <v>50.41</v>
      </c>
      <c r="I1191" s="14">
        <f>'PIVOT TABLES'!$B$26</f>
        <v>60.283999999999999</v>
      </c>
      <c r="J1191" s="14">
        <f>'PIVOT TABLES'!$B$27-'PIVOT TABLES'!$B$26</f>
        <v>30.142000000000003</v>
      </c>
      <c r="K1191" s="14">
        <f>'PIVOT TABLES'!$B$28-'PIVOT TABLES'!$B$27</f>
        <v>30.141999999999996</v>
      </c>
      <c r="L1191" s="14">
        <f>200-SUM(Table3[[#This Row],[D - LIGHT]:[D - VIGOROUS]])</f>
        <v>79.432000000000002</v>
      </c>
      <c r="M1191" s="14">
        <f>'PIVOT TABLES'!$I$26</f>
        <v>65.603999999999999</v>
      </c>
      <c r="N1191" s="14">
        <f>'PIVOT TABLES'!$I$27-'PIVOT TABLES'!$I$26</f>
        <v>32.802000000000007</v>
      </c>
      <c r="O1191" s="14">
        <f>'PIVOT TABLES'!$I$28-'PIVOT TABLES'!$I$27</f>
        <v>32.801999999999992</v>
      </c>
      <c r="P1191" s="14">
        <f>200-SUM(Table3[[#This Row],[M - LIGHT]:[M - VIGOROUS]])</f>
        <v>68.792000000000002</v>
      </c>
      <c r="Q1191" s="14">
        <f>'PIVOT TABLES'!$P$26</f>
        <v>62.64</v>
      </c>
      <c r="R1191" s="14">
        <f>'PIVOT TABLES'!$P$27-'PIVOT TABLES'!$P$26</f>
        <v>31.320000000000007</v>
      </c>
      <c r="S1191" s="14">
        <f>'PIVOT TABLES'!$P$28-'PIVOT TABLES'!$P$27</f>
        <v>31.319999999999993</v>
      </c>
      <c r="T1191" s="14">
        <f>200-SUM(Table3[[#This Row],[W - LIGHT]:[W - VIGOROUS]])</f>
        <v>74.72</v>
      </c>
      <c r="U1191" s="14">
        <f>'PIVOT TABLES'!$W$26</f>
        <v>55.895999999999994</v>
      </c>
      <c r="V1191" s="14">
        <f>'PIVOT TABLES'!$W$27-'PIVOT TABLES'!$W$26</f>
        <v>27.948</v>
      </c>
      <c r="W1191" s="14">
        <f>'PIVOT TABLES'!$W$28-'PIVOT TABLES'!$W$27</f>
        <v>27.947999999999993</v>
      </c>
      <c r="X1191" s="14">
        <f>200-SUM(Table3[[#This Row],[S - LIGHT]:[S - VIGOROUS]])</f>
        <v>88.208000000000013</v>
      </c>
    </row>
    <row r="1192" spans="1:24" x14ac:dyDescent="0.25">
      <c r="A1192" s="44" t="s">
        <v>69</v>
      </c>
      <c r="B1192" s="13" t="str">
        <f t="shared" si="18"/>
        <v>Midfielder</v>
      </c>
      <c r="C1192" s="7">
        <v>45366.422453703701</v>
      </c>
      <c r="D1192" s="14">
        <v>7664</v>
      </c>
      <c r="E1192" s="14">
        <v>79</v>
      </c>
      <c r="F1192" s="14">
        <v>37</v>
      </c>
      <c r="G1192" s="14">
        <v>26</v>
      </c>
      <c r="H1192" s="14">
        <v>81.010000000000005</v>
      </c>
      <c r="I1192" s="14">
        <f>'PIVOT TABLES'!$B$26</f>
        <v>60.283999999999999</v>
      </c>
      <c r="J1192" s="14">
        <f>'PIVOT TABLES'!$B$27-'PIVOT TABLES'!$B$26</f>
        <v>30.142000000000003</v>
      </c>
      <c r="K1192" s="14">
        <f>'PIVOT TABLES'!$B$28-'PIVOT TABLES'!$B$27</f>
        <v>30.141999999999996</v>
      </c>
      <c r="L1192" s="14">
        <f>200-SUM(Table3[[#This Row],[D - LIGHT]:[D - VIGOROUS]])</f>
        <v>79.432000000000002</v>
      </c>
      <c r="M1192" s="14">
        <f>'PIVOT TABLES'!$I$26</f>
        <v>65.603999999999999</v>
      </c>
      <c r="N1192" s="14">
        <f>'PIVOT TABLES'!$I$27-'PIVOT TABLES'!$I$26</f>
        <v>32.802000000000007</v>
      </c>
      <c r="O1192" s="14">
        <f>'PIVOT TABLES'!$I$28-'PIVOT TABLES'!$I$27</f>
        <v>32.801999999999992</v>
      </c>
      <c r="P1192" s="14">
        <f>200-SUM(Table3[[#This Row],[M - LIGHT]:[M - VIGOROUS]])</f>
        <v>68.792000000000002</v>
      </c>
      <c r="Q1192" s="14">
        <f>'PIVOT TABLES'!$P$26</f>
        <v>62.64</v>
      </c>
      <c r="R1192" s="14">
        <f>'PIVOT TABLES'!$P$27-'PIVOT TABLES'!$P$26</f>
        <v>31.320000000000007</v>
      </c>
      <c r="S1192" s="14">
        <f>'PIVOT TABLES'!$P$28-'PIVOT TABLES'!$P$27</f>
        <v>31.319999999999993</v>
      </c>
      <c r="T1192" s="14">
        <f>200-SUM(Table3[[#This Row],[W - LIGHT]:[W - VIGOROUS]])</f>
        <v>74.72</v>
      </c>
      <c r="U1192" s="14">
        <f>'PIVOT TABLES'!$W$26</f>
        <v>55.895999999999994</v>
      </c>
      <c r="V1192" s="14">
        <f>'PIVOT TABLES'!$W$27-'PIVOT TABLES'!$W$26</f>
        <v>27.948</v>
      </c>
      <c r="W1192" s="14">
        <f>'PIVOT TABLES'!$W$28-'PIVOT TABLES'!$W$27</f>
        <v>27.947999999999993</v>
      </c>
      <c r="X1192" s="14">
        <f>200-SUM(Table3[[#This Row],[S - LIGHT]:[S - VIGOROUS]])</f>
        <v>88.208000000000013</v>
      </c>
    </row>
    <row r="1193" spans="1:24" x14ac:dyDescent="0.25">
      <c r="A1193" s="44" t="s">
        <v>70</v>
      </c>
      <c r="B1193" s="13" t="str">
        <f t="shared" si="18"/>
        <v>Winger</v>
      </c>
      <c r="C1193" s="7">
        <v>45370.415127314816</v>
      </c>
      <c r="D1193" s="14">
        <v>5703</v>
      </c>
      <c r="E1193" s="14">
        <v>11</v>
      </c>
      <c r="F1193" s="14">
        <v>20</v>
      </c>
      <c r="G1193" s="14">
        <v>28</v>
      </c>
      <c r="H1193" s="14">
        <v>58.72</v>
      </c>
      <c r="I1193" s="14">
        <f>'PIVOT TABLES'!$B$26</f>
        <v>60.283999999999999</v>
      </c>
      <c r="J1193" s="14">
        <f>'PIVOT TABLES'!$B$27-'PIVOT TABLES'!$B$26</f>
        <v>30.142000000000003</v>
      </c>
      <c r="K1193" s="14">
        <f>'PIVOT TABLES'!$B$28-'PIVOT TABLES'!$B$27</f>
        <v>30.141999999999996</v>
      </c>
      <c r="L1193" s="14">
        <f>200-SUM(Table3[[#This Row],[D - LIGHT]:[D - VIGOROUS]])</f>
        <v>79.432000000000002</v>
      </c>
      <c r="M1193" s="14">
        <f>'PIVOT TABLES'!$I$26</f>
        <v>65.603999999999999</v>
      </c>
      <c r="N1193" s="14">
        <f>'PIVOT TABLES'!$I$27-'PIVOT TABLES'!$I$26</f>
        <v>32.802000000000007</v>
      </c>
      <c r="O1193" s="14">
        <f>'PIVOT TABLES'!$I$28-'PIVOT TABLES'!$I$27</f>
        <v>32.801999999999992</v>
      </c>
      <c r="P1193" s="14">
        <f>200-SUM(Table3[[#This Row],[M - LIGHT]:[M - VIGOROUS]])</f>
        <v>68.792000000000002</v>
      </c>
      <c r="Q1193" s="14">
        <f>'PIVOT TABLES'!$P$26</f>
        <v>62.64</v>
      </c>
      <c r="R1193" s="14">
        <f>'PIVOT TABLES'!$P$27-'PIVOT TABLES'!$P$26</f>
        <v>31.320000000000007</v>
      </c>
      <c r="S1193" s="14">
        <f>'PIVOT TABLES'!$P$28-'PIVOT TABLES'!$P$27</f>
        <v>31.319999999999993</v>
      </c>
      <c r="T1193" s="14">
        <f>200-SUM(Table3[[#This Row],[W - LIGHT]:[W - VIGOROUS]])</f>
        <v>74.72</v>
      </c>
      <c r="U1193" s="14">
        <f>'PIVOT TABLES'!$W$26</f>
        <v>55.895999999999994</v>
      </c>
      <c r="V1193" s="14">
        <f>'PIVOT TABLES'!$W$27-'PIVOT TABLES'!$W$26</f>
        <v>27.948</v>
      </c>
      <c r="W1193" s="14">
        <f>'PIVOT TABLES'!$W$28-'PIVOT TABLES'!$W$27</f>
        <v>27.947999999999993</v>
      </c>
      <c r="X1193" s="14">
        <f>200-SUM(Table3[[#This Row],[S - LIGHT]:[S - VIGOROUS]])</f>
        <v>88.208000000000013</v>
      </c>
    </row>
    <row r="1194" spans="1:24" x14ac:dyDescent="0.25">
      <c r="A1194" s="44" t="s">
        <v>53</v>
      </c>
      <c r="B1194" s="13" t="str">
        <f t="shared" si="18"/>
        <v>Midfielder</v>
      </c>
      <c r="C1194" s="7">
        <v>45370.415127314816</v>
      </c>
      <c r="D1194" s="14">
        <v>7368</v>
      </c>
      <c r="E1194" s="14">
        <v>37</v>
      </c>
      <c r="F1194" s="14">
        <v>39</v>
      </c>
      <c r="G1194" s="14">
        <v>52</v>
      </c>
      <c r="H1194" s="14">
        <v>77.39</v>
      </c>
      <c r="I1194" s="14">
        <f>'PIVOT TABLES'!$B$26</f>
        <v>60.283999999999999</v>
      </c>
      <c r="J1194" s="14">
        <f>'PIVOT TABLES'!$B$27-'PIVOT TABLES'!$B$26</f>
        <v>30.142000000000003</v>
      </c>
      <c r="K1194" s="14">
        <f>'PIVOT TABLES'!$B$28-'PIVOT TABLES'!$B$27</f>
        <v>30.141999999999996</v>
      </c>
      <c r="L1194" s="14">
        <f>200-SUM(Table3[[#This Row],[D - LIGHT]:[D - VIGOROUS]])</f>
        <v>79.432000000000002</v>
      </c>
      <c r="M1194" s="14">
        <f>'PIVOT TABLES'!$I$26</f>
        <v>65.603999999999999</v>
      </c>
      <c r="N1194" s="14">
        <f>'PIVOT TABLES'!$I$27-'PIVOT TABLES'!$I$26</f>
        <v>32.802000000000007</v>
      </c>
      <c r="O1194" s="14">
        <f>'PIVOT TABLES'!$I$28-'PIVOT TABLES'!$I$27</f>
        <v>32.801999999999992</v>
      </c>
      <c r="P1194" s="14">
        <f>200-SUM(Table3[[#This Row],[M - LIGHT]:[M - VIGOROUS]])</f>
        <v>68.792000000000002</v>
      </c>
      <c r="Q1194" s="14">
        <f>'PIVOT TABLES'!$P$26</f>
        <v>62.64</v>
      </c>
      <c r="R1194" s="14">
        <f>'PIVOT TABLES'!$P$27-'PIVOT TABLES'!$P$26</f>
        <v>31.320000000000007</v>
      </c>
      <c r="S1194" s="14">
        <f>'PIVOT TABLES'!$P$28-'PIVOT TABLES'!$P$27</f>
        <v>31.319999999999993</v>
      </c>
      <c r="T1194" s="14">
        <f>200-SUM(Table3[[#This Row],[W - LIGHT]:[W - VIGOROUS]])</f>
        <v>74.72</v>
      </c>
      <c r="U1194" s="14">
        <f>'PIVOT TABLES'!$W$26</f>
        <v>55.895999999999994</v>
      </c>
      <c r="V1194" s="14">
        <f>'PIVOT TABLES'!$W$27-'PIVOT TABLES'!$W$26</f>
        <v>27.948</v>
      </c>
      <c r="W1194" s="14">
        <f>'PIVOT TABLES'!$W$28-'PIVOT TABLES'!$W$27</f>
        <v>27.947999999999993</v>
      </c>
      <c r="X1194" s="14">
        <f>200-SUM(Table3[[#This Row],[S - LIGHT]:[S - VIGOROUS]])</f>
        <v>88.208000000000013</v>
      </c>
    </row>
    <row r="1195" spans="1:24" x14ac:dyDescent="0.25">
      <c r="A1195" s="44" t="s">
        <v>55</v>
      </c>
      <c r="B1195" s="13" t="str">
        <f t="shared" si="18"/>
        <v>Striker</v>
      </c>
      <c r="C1195" s="7">
        <v>45370.415127314816</v>
      </c>
      <c r="D1195" s="14">
        <v>6450</v>
      </c>
      <c r="E1195" s="14">
        <v>83</v>
      </c>
      <c r="F1195" s="14">
        <v>35</v>
      </c>
      <c r="G1195" s="14">
        <v>38</v>
      </c>
      <c r="H1195" s="14">
        <v>69.150000000000006</v>
      </c>
      <c r="I1195" s="14">
        <f>'PIVOT TABLES'!$B$26</f>
        <v>60.283999999999999</v>
      </c>
      <c r="J1195" s="14">
        <f>'PIVOT TABLES'!$B$27-'PIVOT TABLES'!$B$26</f>
        <v>30.142000000000003</v>
      </c>
      <c r="K1195" s="14">
        <f>'PIVOT TABLES'!$B$28-'PIVOT TABLES'!$B$27</f>
        <v>30.141999999999996</v>
      </c>
      <c r="L1195" s="14">
        <f>200-SUM(Table3[[#This Row],[D - LIGHT]:[D - VIGOROUS]])</f>
        <v>79.432000000000002</v>
      </c>
      <c r="M1195" s="14">
        <f>'PIVOT TABLES'!$I$26</f>
        <v>65.603999999999999</v>
      </c>
      <c r="N1195" s="14">
        <f>'PIVOT TABLES'!$I$27-'PIVOT TABLES'!$I$26</f>
        <v>32.802000000000007</v>
      </c>
      <c r="O1195" s="14">
        <f>'PIVOT TABLES'!$I$28-'PIVOT TABLES'!$I$27</f>
        <v>32.801999999999992</v>
      </c>
      <c r="P1195" s="14">
        <f>200-SUM(Table3[[#This Row],[M - LIGHT]:[M - VIGOROUS]])</f>
        <v>68.792000000000002</v>
      </c>
      <c r="Q1195" s="14">
        <f>'PIVOT TABLES'!$P$26</f>
        <v>62.64</v>
      </c>
      <c r="R1195" s="14">
        <f>'PIVOT TABLES'!$P$27-'PIVOT TABLES'!$P$26</f>
        <v>31.320000000000007</v>
      </c>
      <c r="S1195" s="14">
        <f>'PIVOT TABLES'!$P$28-'PIVOT TABLES'!$P$27</f>
        <v>31.319999999999993</v>
      </c>
      <c r="T1195" s="14">
        <f>200-SUM(Table3[[#This Row],[W - LIGHT]:[W - VIGOROUS]])</f>
        <v>74.72</v>
      </c>
      <c r="U1195" s="14">
        <f>'PIVOT TABLES'!$W$26</f>
        <v>55.895999999999994</v>
      </c>
      <c r="V1195" s="14">
        <f>'PIVOT TABLES'!$W$27-'PIVOT TABLES'!$W$26</f>
        <v>27.948</v>
      </c>
      <c r="W1195" s="14">
        <f>'PIVOT TABLES'!$W$28-'PIVOT TABLES'!$W$27</f>
        <v>27.947999999999993</v>
      </c>
      <c r="X1195" s="14">
        <f>200-SUM(Table3[[#This Row],[S - LIGHT]:[S - VIGOROUS]])</f>
        <v>88.208000000000013</v>
      </c>
    </row>
    <row r="1196" spans="1:24" x14ac:dyDescent="0.25">
      <c r="A1196" s="44" t="s">
        <v>56</v>
      </c>
      <c r="B1196" s="13" t="str">
        <f t="shared" si="18"/>
        <v>Midfielder</v>
      </c>
      <c r="C1196" s="7">
        <v>45370.415127314816</v>
      </c>
      <c r="D1196" s="14">
        <v>6075</v>
      </c>
      <c r="E1196" s="14">
        <v>10</v>
      </c>
      <c r="F1196" s="14">
        <v>26</v>
      </c>
      <c r="G1196" s="14">
        <v>25</v>
      </c>
      <c r="H1196" s="14">
        <v>62.59</v>
      </c>
      <c r="I1196" s="14">
        <f>'PIVOT TABLES'!$B$26</f>
        <v>60.283999999999999</v>
      </c>
      <c r="J1196" s="14">
        <f>'PIVOT TABLES'!$B$27-'PIVOT TABLES'!$B$26</f>
        <v>30.142000000000003</v>
      </c>
      <c r="K1196" s="14">
        <f>'PIVOT TABLES'!$B$28-'PIVOT TABLES'!$B$27</f>
        <v>30.141999999999996</v>
      </c>
      <c r="L1196" s="14">
        <f>200-SUM(Table3[[#This Row],[D - LIGHT]:[D - VIGOROUS]])</f>
        <v>79.432000000000002</v>
      </c>
      <c r="M1196" s="14">
        <f>'PIVOT TABLES'!$I$26</f>
        <v>65.603999999999999</v>
      </c>
      <c r="N1196" s="14">
        <f>'PIVOT TABLES'!$I$27-'PIVOT TABLES'!$I$26</f>
        <v>32.802000000000007</v>
      </c>
      <c r="O1196" s="14">
        <f>'PIVOT TABLES'!$I$28-'PIVOT TABLES'!$I$27</f>
        <v>32.801999999999992</v>
      </c>
      <c r="P1196" s="14">
        <f>200-SUM(Table3[[#This Row],[M - LIGHT]:[M - VIGOROUS]])</f>
        <v>68.792000000000002</v>
      </c>
      <c r="Q1196" s="14">
        <f>'PIVOT TABLES'!$P$26</f>
        <v>62.64</v>
      </c>
      <c r="R1196" s="14">
        <f>'PIVOT TABLES'!$P$27-'PIVOT TABLES'!$P$26</f>
        <v>31.320000000000007</v>
      </c>
      <c r="S1196" s="14">
        <f>'PIVOT TABLES'!$P$28-'PIVOT TABLES'!$P$27</f>
        <v>31.319999999999993</v>
      </c>
      <c r="T1196" s="14">
        <f>200-SUM(Table3[[#This Row],[W - LIGHT]:[W - VIGOROUS]])</f>
        <v>74.72</v>
      </c>
      <c r="U1196" s="14">
        <f>'PIVOT TABLES'!$W$26</f>
        <v>55.895999999999994</v>
      </c>
      <c r="V1196" s="14">
        <f>'PIVOT TABLES'!$W$27-'PIVOT TABLES'!$W$26</f>
        <v>27.948</v>
      </c>
      <c r="W1196" s="14">
        <f>'PIVOT TABLES'!$W$28-'PIVOT TABLES'!$W$27</f>
        <v>27.947999999999993</v>
      </c>
      <c r="X1196" s="14">
        <f>200-SUM(Table3[[#This Row],[S - LIGHT]:[S - VIGOROUS]])</f>
        <v>88.208000000000013</v>
      </c>
    </row>
    <row r="1197" spans="1:24" x14ac:dyDescent="0.25">
      <c r="A1197" s="44" t="s">
        <v>58</v>
      </c>
      <c r="B1197" s="13" t="str">
        <f t="shared" si="18"/>
        <v>Defender</v>
      </c>
      <c r="C1197" s="7">
        <v>45370.415127314816</v>
      </c>
      <c r="D1197" s="14">
        <v>5435</v>
      </c>
      <c r="E1197" s="14">
        <v>65</v>
      </c>
      <c r="F1197" s="14">
        <v>23</v>
      </c>
      <c r="G1197" s="14">
        <v>32</v>
      </c>
      <c r="H1197" s="14">
        <v>57.86</v>
      </c>
      <c r="I1197" s="14">
        <f>'PIVOT TABLES'!$B$26</f>
        <v>60.283999999999999</v>
      </c>
      <c r="J1197" s="14">
        <f>'PIVOT TABLES'!$B$27-'PIVOT TABLES'!$B$26</f>
        <v>30.142000000000003</v>
      </c>
      <c r="K1197" s="14">
        <f>'PIVOT TABLES'!$B$28-'PIVOT TABLES'!$B$27</f>
        <v>30.141999999999996</v>
      </c>
      <c r="L1197" s="14">
        <f>200-SUM(Table3[[#This Row],[D - LIGHT]:[D - VIGOROUS]])</f>
        <v>79.432000000000002</v>
      </c>
      <c r="M1197" s="14">
        <f>'PIVOT TABLES'!$I$26</f>
        <v>65.603999999999999</v>
      </c>
      <c r="N1197" s="14">
        <f>'PIVOT TABLES'!$I$27-'PIVOT TABLES'!$I$26</f>
        <v>32.802000000000007</v>
      </c>
      <c r="O1197" s="14">
        <f>'PIVOT TABLES'!$I$28-'PIVOT TABLES'!$I$27</f>
        <v>32.801999999999992</v>
      </c>
      <c r="P1197" s="14">
        <f>200-SUM(Table3[[#This Row],[M - LIGHT]:[M - VIGOROUS]])</f>
        <v>68.792000000000002</v>
      </c>
      <c r="Q1197" s="14">
        <f>'PIVOT TABLES'!$P$26</f>
        <v>62.64</v>
      </c>
      <c r="R1197" s="14">
        <f>'PIVOT TABLES'!$P$27-'PIVOT TABLES'!$P$26</f>
        <v>31.320000000000007</v>
      </c>
      <c r="S1197" s="14">
        <f>'PIVOT TABLES'!$P$28-'PIVOT TABLES'!$P$27</f>
        <v>31.319999999999993</v>
      </c>
      <c r="T1197" s="14">
        <f>200-SUM(Table3[[#This Row],[W - LIGHT]:[W - VIGOROUS]])</f>
        <v>74.72</v>
      </c>
      <c r="U1197" s="14">
        <f>'PIVOT TABLES'!$W$26</f>
        <v>55.895999999999994</v>
      </c>
      <c r="V1197" s="14">
        <f>'PIVOT TABLES'!$W$27-'PIVOT TABLES'!$W$26</f>
        <v>27.948</v>
      </c>
      <c r="W1197" s="14">
        <f>'PIVOT TABLES'!$W$28-'PIVOT TABLES'!$W$27</f>
        <v>27.947999999999993</v>
      </c>
      <c r="X1197" s="14">
        <f>200-SUM(Table3[[#This Row],[S - LIGHT]:[S - VIGOROUS]])</f>
        <v>88.208000000000013</v>
      </c>
    </row>
    <row r="1198" spans="1:24" x14ac:dyDescent="0.25">
      <c r="A1198" s="44" t="s">
        <v>94</v>
      </c>
      <c r="B1198" s="13" t="str">
        <f t="shared" si="18"/>
        <v>Defender</v>
      </c>
      <c r="C1198" s="7">
        <v>45370.415127314816</v>
      </c>
      <c r="D1198" s="14">
        <v>5751</v>
      </c>
      <c r="E1198" s="14">
        <v>49</v>
      </c>
      <c r="F1198" s="14">
        <v>14</v>
      </c>
      <c r="G1198" s="14">
        <v>21</v>
      </c>
      <c r="H1198" s="14">
        <v>59.96</v>
      </c>
      <c r="I1198" s="14">
        <f>'PIVOT TABLES'!$B$26</f>
        <v>60.283999999999999</v>
      </c>
      <c r="J1198" s="14">
        <f>'PIVOT TABLES'!$B$27-'PIVOT TABLES'!$B$26</f>
        <v>30.142000000000003</v>
      </c>
      <c r="K1198" s="14">
        <f>'PIVOT TABLES'!$B$28-'PIVOT TABLES'!$B$27</f>
        <v>30.141999999999996</v>
      </c>
      <c r="L1198" s="14">
        <f>200-SUM(Table3[[#This Row],[D - LIGHT]:[D - VIGOROUS]])</f>
        <v>79.432000000000002</v>
      </c>
      <c r="M1198" s="14">
        <f>'PIVOT TABLES'!$I$26</f>
        <v>65.603999999999999</v>
      </c>
      <c r="N1198" s="14">
        <f>'PIVOT TABLES'!$I$27-'PIVOT TABLES'!$I$26</f>
        <v>32.802000000000007</v>
      </c>
      <c r="O1198" s="14">
        <f>'PIVOT TABLES'!$I$28-'PIVOT TABLES'!$I$27</f>
        <v>32.801999999999992</v>
      </c>
      <c r="P1198" s="14">
        <f>200-SUM(Table3[[#This Row],[M - LIGHT]:[M - VIGOROUS]])</f>
        <v>68.792000000000002</v>
      </c>
      <c r="Q1198" s="14">
        <f>'PIVOT TABLES'!$P$26</f>
        <v>62.64</v>
      </c>
      <c r="R1198" s="14">
        <f>'PIVOT TABLES'!$P$27-'PIVOT TABLES'!$P$26</f>
        <v>31.320000000000007</v>
      </c>
      <c r="S1198" s="14">
        <f>'PIVOT TABLES'!$P$28-'PIVOT TABLES'!$P$27</f>
        <v>31.319999999999993</v>
      </c>
      <c r="T1198" s="14">
        <f>200-SUM(Table3[[#This Row],[W - LIGHT]:[W - VIGOROUS]])</f>
        <v>74.72</v>
      </c>
      <c r="U1198" s="14">
        <f>'PIVOT TABLES'!$W$26</f>
        <v>55.895999999999994</v>
      </c>
      <c r="V1198" s="14">
        <f>'PIVOT TABLES'!$W$27-'PIVOT TABLES'!$W$26</f>
        <v>27.948</v>
      </c>
      <c r="W1198" s="14">
        <f>'PIVOT TABLES'!$W$28-'PIVOT TABLES'!$W$27</f>
        <v>27.947999999999993</v>
      </c>
      <c r="X1198" s="14">
        <f>200-SUM(Table3[[#This Row],[S - LIGHT]:[S - VIGOROUS]])</f>
        <v>88.208000000000013</v>
      </c>
    </row>
    <row r="1199" spans="1:24" x14ac:dyDescent="0.25">
      <c r="A1199" s="44" t="s">
        <v>3</v>
      </c>
      <c r="B1199" s="13" t="str">
        <f t="shared" si="18"/>
        <v>Defender</v>
      </c>
      <c r="C1199" s="7">
        <v>45370.415127314816</v>
      </c>
      <c r="D1199" s="14">
        <v>4943</v>
      </c>
      <c r="E1199" s="14">
        <v>11</v>
      </c>
      <c r="F1199" s="14">
        <v>17</v>
      </c>
      <c r="G1199" s="14">
        <v>36</v>
      </c>
      <c r="H1199" s="14">
        <v>51.16</v>
      </c>
      <c r="I1199" s="14">
        <f>'PIVOT TABLES'!$B$26</f>
        <v>60.283999999999999</v>
      </c>
      <c r="J1199" s="14">
        <f>'PIVOT TABLES'!$B$27-'PIVOT TABLES'!$B$26</f>
        <v>30.142000000000003</v>
      </c>
      <c r="K1199" s="14">
        <f>'PIVOT TABLES'!$B$28-'PIVOT TABLES'!$B$27</f>
        <v>30.141999999999996</v>
      </c>
      <c r="L1199" s="14">
        <f>200-SUM(Table3[[#This Row],[D - LIGHT]:[D - VIGOROUS]])</f>
        <v>79.432000000000002</v>
      </c>
      <c r="M1199" s="14">
        <f>'PIVOT TABLES'!$I$26</f>
        <v>65.603999999999999</v>
      </c>
      <c r="N1199" s="14">
        <f>'PIVOT TABLES'!$I$27-'PIVOT TABLES'!$I$26</f>
        <v>32.802000000000007</v>
      </c>
      <c r="O1199" s="14">
        <f>'PIVOT TABLES'!$I$28-'PIVOT TABLES'!$I$27</f>
        <v>32.801999999999992</v>
      </c>
      <c r="P1199" s="14">
        <f>200-SUM(Table3[[#This Row],[M - LIGHT]:[M - VIGOROUS]])</f>
        <v>68.792000000000002</v>
      </c>
      <c r="Q1199" s="14">
        <f>'PIVOT TABLES'!$P$26</f>
        <v>62.64</v>
      </c>
      <c r="R1199" s="14">
        <f>'PIVOT TABLES'!$P$27-'PIVOT TABLES'!$P$26</f>
        <v>31.320000000000007</v>
      </c>
      <c r="S1199" s="14">
        <f>'PIVOT TABLES'!$P$28-'PIVOT TABLES'!$P$27</f>
        <v>31.319999999999993</v>
      </c>
      <c r="T1199" s="14">
        <f>200-SUM(Table3[[#This Row],[W - LIGHT]:[W - VIGOROUS]])</f>
        <v>74.72</v>
      </c>
      <c r="U1199" s="14">
        <f>'PIVOT TABLES'!$W$26</f>
        <v>55.895999999999994</v>
      </c>
      <c r="V1199" s="14">
        <f>'PIVOT TABLES'!$W$27-'PIVOT TABLES'!$W$26</f>
        <v>27.948</v>
      </c>
      <c r="W1199" s="14">
        <f>'PIVOT TABLES'!$W$28-'PIVOT TABLES'!$W$27</f>
        <v>27.947999999999993</v>
      </c>
      <c r="X1199" s="14">
        <f>200-SUM(Table3[[#This Row],[S - LIGHT]:[S - VIGOROUS]])</f>
        <v>88.208000000000013</v>
      </c>
    </row>
    <row r="1200" spans="1:24" x14ac:dyDescent="0.25">
      <c r="A1200" s="44" t="s">
        <v>59</v>
      </c>
      <c r="B1200" s="13" t="str">
        <f t="shared" si="18"/>
        <v>Striker</v>
      </c>
      <c r="C1200" s="7">
        <v>45370.415127314816</v>
      </c>
      <c r="D1200" s="14">
        <v>5842</v>
      </c>
      <c r="E1200" s="14">
        <v>31</v>
      </c>
      <c r="F1200" s="14">
        <v>26</v>
      </c>
      <c r="G1200" s="14">
        <v>36</v>
      </c>
      <c r="H1200" s="14">
        <v>61.11</v>
      </c>
      <c r="I1200" s="14">
        <f>'PIVOT TABLES'!$B$26</f>
        <v>60.283999999999999</v>
      </c>
      <c r="J1200" s="14">
        <f>'PIVOT TABLES'!$B$27-'PIVOT TABLES'!$B$26</f>
        <v>30.142000000000003</v>
      </c>
      <c r="K1200" s="14">
        <f>'PIVOT TABLES'!$B$28-'PIVOT TABLES'!$B$27</f>
        <v>30.141999999999996</v>
      </c>
      <c r="L1200" s="14">
        <f>200-SUM(Table3[[#This Row],[D - LIGHT]:[D - VIGOROUS]])</f>
        <v>79.432000000000002</v>
      </c>
      <c r="M1200" s="14">
        <f>'PIVOT TABLES'!$I$26</f>
        <v>65.603999999999999</v>
      </c>
      <c r="N1200" s="14">
        <f>'PIVOT TABLES'!$I$27-'PIVOT TABLES'!$I$26</f>
        <v>32.802000000000007</v>
      </c>
      <c r="O1200" s="14">
        <f>'PIVOT TABLES'!$I$28-'PIVOT TABLES'!$I$27</f>
        <v>32.801999999999992</v>
      </c>
      <c r="P1200" s="14">
        <f>200-SUM(Table3[[#This Row],[M - LIGHT]:[M - VIGOROUS]])</f>
        <v>68.792000000000002</v>
      </c>
      <c r="Q1200" s="14">
        <f>'PIVOT TABLES'!$P$26</f>
        <v>62.64</v>
      </c>
      <c r="R1200" s="14">
        <f>'PIVOT TABLES'!$P$27-'PIVOT TABLES'!$P$26</f>
        <v>31.320000000000007</v>
      </c>
      <c r="S1200" s="14">
        <f>'PIVOT TABLES'!$P$28-'PIVOT TABLES'!$P$27</f>
        <v>31.319999999999993</v>
      </c>
      <c r="T1200" s="14">
        <f>200-SUM(Table3[[#This Row],[W - LIGHT]:[W - VIGOROUS]])</f>
        <v>74.72</v>
      </c>
      <c r="U1200" s="14">
        <f>'PIVOT TABLES'!$W$26</f>
        <v>55.895999999999994</v>
      </c>
      <c r="V1200" s="14">
        <f>'PIVOT TABLES'!$W$27-'PIVOT TABLES'!$W$26</f>
        <v>27.948</v>
      </c>
      <c r="W1200" s="14">
        <f>'PIVOT TABLES'!$W$28-'PIVOT TABLES'!$W$27</f>
        <v>27.947999999999993</v>
      </c>
      <c r="X1200" s="14">
        <f>200-SUM(Table3[[#This Row],[S - LIGHT]:[S - VIGOROUS]])</f>
        <v>88.208000000000013</v>
      </c>
    </row>
    <row r="1201" spans="1:24" x14ac:dyDescent="0.25">
      <c r="A1201" s="44" t="s">
        <v>4</v>
      </c>
      <c r="B1201" s="13" t="str">
        <f t="shared" si="18"/>
        <v>Midfielder</v>
      </c>
      <c r="C1201" s="7">
        <v>45370.415127314816</v>
      </c>
      <c r="D1201" s="14">
        <v>6174</v>
      </c>
      <c r="E1201" s="14">
        <v>25</v>
      </c>
      <c r="F1201" s="14">
        <v>27</v>
      </c>
      <c r="G1201" s="14">
        <v>27</v>
      </c>
      <c r="H1201" s="14">
        <v>64.11</v>
      </c>
      <c r="I1201" s="14">
        <f>'PIVOT TABLES'!$B$26</f>
        <v>60.283999999999999</v>
      </c>
      <c r="J1201" s="14">
        <f>'PIVOT TABLES'!$B$27-'PIVOT TABLES'!$B$26</f>
        <v>30.142000000000003</v>
      </c>
      <c r="K1201" s="14">
        <f>'PIVOT TABLES'!$B$28-'PIVOT TABLES'!$B$27</f>
        <v>30.141999999999996</v>
      </c>
      <c r="L1201" s="14">
        <f>200-SUM(Table3[[#This Row],[D - LIGHT]:[D - VIGOROUS]])</f>
        <v>79.432000000000002</v>
      </c>
      <c r="M1201" s="14">
        <f>'PIVOT TABLES'!$I$26</f>
        <v>65.603999999999999</v>
      </c>
      <c r="N1201" s="14">
        <f>'PIVOT TABLES'!$I$27-'PIVOT TABLES'!$I$26</f>
        <v>32.802000000000007</v>
      </c>
      <c r="O1201" s="14">
        <f>'PIVOT TABLES'!$I$28-'PIVOT TABLES'!$I$27</f>
        <v>32.801999999999992</v>
      </c>
      <c r="P1201" s="14">
        <f>200-SUM(Table3[[#This Row],[M - LIGHT]:[M - VIGOROUS]])</f>
        <v>68.792000000000002</v>
      </c>
      <c r="Q1201" s="14">
        <f>'PIVOT TABLES'!$P$26</f>
        <v>62.64</v>
      </c>
      <c r="R1201" s="14">
        <f>'PIVOT TABLES'!$P$27-'PIVOT TABLES'!$P$26</f>
        <v>31.320000000000007</v>
      </c>
      <c r="S1201" s="14">
        <f>'PIVOT TABLES'!$P$28-'PIVOT TABLES'!$P$27</f>
        <v>31.319999999999993</v>
      </c>
      <c r="T1201" s="14">
        <f>200-SUM(Table3[[#This Row],[W - LIGHT]:[W - VIGOROUS]])</f>
        <v>74.72</v>
      </c>
      <c r="U1201" s="14">
        <f>'PIVOT TABLES'!$W$26</f>
        <v>55.895999999999994</v>
      </c>
      <c r="V1201" s="14">
        <f>'PIVOT TABLES'!$W$27-'PIVOT TABLES'!$W$26</f>
        <v>27.948</v>
      </c>
      <c r="W1201" s="14">
        <f>'PIVOT TABLES'!$W$28-'PIVOT TABLES'!$W$27</f>
        <v>27.947999999999993</v>
      </c>
      <c r="X1201" s="14">
        <f>200-SUM(Table3[[#This Row],[S - LIGHT]:[S - VIGOROUS]])</f>
        <v>88.208000000000013</v>
      </c>
    </row>
    <row r="1202" spans="1:24" x14ac:dyDescent="0.25">
      <c r="A1202" s="44" t="s">
        <v>60</v>
      </c>
      <c r="B1202" s="13" t="str">
        <f t="shared" si="18"/>
        <v>Winger</v>
      </c>
      <c r="C1202" s="7">
        <v>45370.415127314816</v>
      </c>
      <c r="D1202" s="14">
        <v>6750</v>
      </c>
      <c r="E1202" s="14">
        <v>80</v>
      </c>
      <c r="F1202" s="14">
        <v>38</v>
      </c>
      <c r="G1202" s="14">
        <v>42</v>
      </c>
      <c r="H1202" s="14">
        <v>72.260000000000005</v>
      </c>
      <c r="I1202" s="14">
        <f>'PIVOT TABLES'!$B$26</f>
        <v>60.283999999999999</v>
      </c>
      <c r="J1202" s="14">
        <f>'PIVOT TABLES'!$B$27-'PIVOT TABLES'!$B$26</f>
        <v>30.142000000000003</v>
      </c>
      <c r="K1202" s="14">
        <f>'PIVOT TABLES'!$B$28-'PIVOT TABLES'!$B$27</f>
        <v>30.141999999999996</v>
      </c>
      <c r="L1202" s="14">
        <f>200-SUM(Table3[[#This Row],[D - LIGHT]:[D - VIGOROUS]])</f>
        <v>79.432000000000002</v>
      </c>
      <c r="M1202" s="14">
        <f>'PIVOT TABLES'!$I$26</f>
        <v>65.603999999999999</v>
      </c>
      <c r="N1202" s="14">
        <f>'PIVOT TABLES'!$I$27-'PIVOT TABLES'!$I$26</f>
        <v>32.802000000000007</v>
      </c>
      <c r="O1202" s="14">
        <f>'PIVOT TABLES'!$I$28-'PIVOT TABLES'!$I$27</f>
        <v>32.801999999999992</v>
      </c>
      <c r="P1202" s="14">
        <f>200-SUM(Table3[[#This Row],[M - LIGHT]:[M - VIGOROUS]])</f>
        <v>68.792000000000002</v>
      </c>
      <c r="Q1202" s="14">
        <f>'PIVOT TABLES'!$P$26</f>
        <v>62.64</v>
      </c>
      <c r="R1202" s="14">
        <f>'PIVOT TABLES'!$P$27-'PIVOT TABLES'!$P$26</f>
        <v>31.320000000000007</v>
      </c>
      <c r="S1202" s="14">
        <f>'PIVOT TABLES'!$P$28-'PIVOT TABLES'!$P$27</f>
        <v>31.319999999999993</v>
      </c>
      <c r="T1202" s="14">
        <f>200-SUM(Table3[[#This Row],[W - LIGHT]:[W - VIGOROUS]])</f>
        <v>74.72</v>
      </c>
      <c r="U1202" s="14">
        <f>'PIVOT TABLES'!$W$26</f>
        <v>55.895999999999994</v>
      </c>
      <c r="V1202" s="14">
        <f>'PIVOT TABLES'!$W$27-'PIVOT TABLES'!$W$26</f>
        <v>27.948</v>
      </c>
      <c r="W1202" s="14">
        <f>'PIVOT TABLES'!$W$28-'PIVOT TABLES'!$W$27</f>
        <v>27.947999999999993</v>
      </c>
      <c r="X1202" s="14">
        <f>200-SUM(Table3[[#This Row],[S - LIGHT]:[S - VIGOROUS]])</f>
        <v>88.208000000000013</v>
      </c>
    </row>
    <row r="1203" spans="1:24" x14ac:dyDescent="0.25">
      <c r="A1203" s="44" t="s">
        <v>71</v>
      </c>
      <c r="B1203" s="13" t="str">
        <f t="shared" si="18"/>
        <v>Midfielder</v>
      </c>
      <c r="C1203" s="7">
        <v>45370.415127314816</v>
      </c>
      <c r="D1203" s="14">
        <v>1500</v>
      </c>
      <c r="E1203" s="14">
        <v>2</v>
      </c>
      <c r="F1203" s="14">
        <v>18</v>
      </c>
      <c r="G1203" s="14">
        <v>15</v>
      </c>
      <c r="H1203" s="14">
        <v>16.079999999999998</v>
      </c>
      <c r="I1203" s="14">
        <f>'PIVOT TABLES'!$B$26</f>
        <v>60.283999999999999</v>
      </c>
      <c r="J1203" s="14">
        <f>'PIVOT TABLES'!$B$27-'PIVOT TABLES'!$B$26</f>
        <v>30.142000000000003</v>
      </c>
      <c r="K1203" s="14">
        <f>'PIVOT TABLES'!$B$28-'PIVOT TABLES'!$B$27</f>
        <v>30.141999999999996</v>
      </c>
      <c r="L1203" s="14">
        <f>200-SUM(Table3[[#This Row],[D - LIGHT]:[D - VIGOROUS]])</f>
        <v>79.432000000000002</v>
      </c>
      <c r="M1203" s="14">
        <f>'PIVOT TABLES'!$I$26</f>
        <v>65.603999999999999</v>
      </c>
      <c r="N1203" s="14">
        <f>'PIVOT TABLES'!$I$27-'PIVOT TABLES'!$I$26</f>
        <v>32.802000000000007</v>
      </c>
      <c r="O1203" s="14">
        <f>'PIVOT TABLES'!$I$28-'PIVOT TABLES'!$I$27</f>
        <v>32.801999999999992</v>
      </c>
      <c r="P1203" s="14">
        <f>200-SUM(Table3[[#This Row],[M - LIGHT]:[M - VIGOROUS]])</f>
        <v>68.792000000000002</v>
      </c>
      <c r="Q1203" s="14">
        <f>'PIVOT TABLES'!$P$26</f>
        <v>62.64</v>
      </c>
      <c r="R1203" s="14">
        <f>'PIVOT TABLES'!$P$27-'PIVOT TABLES'!$P$26</f>
        <v>31.320000000000007</v>
      </c>
      <c r="S1203" s="14">
        <f>'PIVOT TABLES'!$P$28-'PIVOT TABLES'!$P$27</f>
        <v>31.319999999999993</v>
      </c>
      <c r="T1203" s="14">
        <f>200-SUM(Table3[[#This Row],[W - LIGHT]:[W - VIGOROUS]])</f>
        <v>74.72</v>
      </c>
      <c r="U1203" s="14">
        <f>'PIVOT TABLES'!$W$26</f>
        <v>55.895999999999994</v>
      </c>
      <c r="V1203" s="14">
        <f>'PIVOT TABLES'!$W$27-'PIVOT TABLES'!$W$26</f>
        <v>27.948</v>
      </c>
      <c r="W1203" s="14">
        <f>'PIVOT TABLES'!$W$28-'PIVOT TABLES'!$W$27</f>
        <v>27.947999999999993</v>
      </c>
      <c r="X1203" s="14">
        <f>200-SUM(Table3[[#This Row],[S - LIGHT]:[S - VIGOROUS]])</f>
        <v>88.208000000000013</v>
      </c>
    </row>
    <row r="1204" spans="1:24" x14ac:dyDescent="0.25">
      <c r="A1204" s="44" t="s">
        <v>5</v>
      </c>
      <c r="B1204" s="13" t="str">
        <f t="shared" si="18"/>
        <v>Midfielder</v>
      </c>
      <c r="C1204" s="7">
        <v>45370.415127314816</v>
      </c>
      <c r="D1204" s="14">
        <v>3190</v>
      </c>
      <c r="E1204" s="14">
        <v>11</v>
      </c>
      <c r="F1204" s="14">
        <v>15</v>
      </c>
      <c r="G1204" s="14">
        <v>37</v>
      </c>
      <c r="H1204" s="14">
        <v>33.57</v>
      </c>
      <c r="I1204" s="14">
        <f>'PIVOT TABLES'!$B$26</f>
        <v>60.283999999999999</v>
      </c>
      <c r="J1204" s="14">
        <f>'PIVOT TABLES'!$B$27-'PIVOT TABLES'!$B$26</f>
        <v>30.142000000000003</v>
      </c>
      <c r="K1204" s="14">
        <f>'PIVOT TABLES'!$B$28-'PIVOT TABLES'!$B$27</f>
        <v>30.141999999999996</v>
      </c>
      <c r="L1204" s="14">
        <f>200-SUM(Table3[[#This Row],[D - LIGHT]:[D - VIGOROUS]])</f>
        <v>79.432000000000002</v>
      </c>
      <c r="M1204" s="14">
        <f>'PIVOT TABLES'!$I$26</f>
        <v>65.603999999999999</v>
      </c>
      <c r="N1204" s="14">
        <f>'PIVOT TABLES'!$I$27-'PIVOT TABLES'!$I$26</f>
        <v>32.802000000000007</v>
      </c>
      <c r="O1204" s="14">
        <f>'PIVOT TABLES'!$I$28-'PIVOT TABLES'!$I$27</f>
        <v>32.801999999999992</v>
      </c>
      <c r="P1204" s="14">
        <f>200-SUM(Table3[[#This Row],[M - LIGHT]:[M - VIGOROUS]])</f>
        <v>68.792000000000002</v>
      </c>
      <c r="Q1204" s="14">
        <f>'PIVOT TABLES'!$P$26</f>
        <v>62.64</v>
      </c>
      <c r="R1204" s="14">
        <f>'PIVOT TABLES'!$P$27-'PIVOT TABLES'!$P$26</f>
        <v>31.320000000000007</v>
      </c>
      <c r="S1204" s="14">
        <f>'PIVOT TABLES'!$P$28-'PIVOT TABLES'!$P$27</f>
        <v>31.319999999999993</v>
      </c>
      <c r="T1204" s="14">
        <f>200-SUM(Table3[[#This Row],[W - LIGHT]:[W - VIGOROUS]])</f>
        <v>74.72</v>
      </c>
      <c r="U1204" s="14">
        <f>'PIVOT TABLES'!$W$26</f>
        <v>55.895999999999994</v>
      </c>
      <c r="V1204" s="14">
        <f>'PIVOT TABLES'!$W$27-'PIVOT TABLES'!$W$26</f>
        <v>27.948</v>
      </c>
      <c r="W1204" s="14">
        <f>'PIVOT TABLES'!$W$28-'PIVOT TABLES'!$W$27</f>
        <v>27.947999999999993</v>
      </c>
      <c r="X1204" s="14">
        <f>200-SUM(Table3[[#This Row],[S - LIGHT]:[S - VIGOROUS]])</f>
        <v>88.208000000000013</v>
      </c>
    </row>
    <row r="1205" spans="1:24" x14ac:dyDescent="0.25">
      <c r="A1205" s="44" t="s">
        <v>6</v>
      </c>
      <c r="B1205" s="13" t="str">
        <f t="shared" si="18"/>
        <v>Midfielder</v>
      </c>
      <c r="C1205" s="7">
        <v>45370.415127314816</v>
      </c>
      <c r="D1205" s="14">
        <v>6466</v>
      </c>
      <c r="E1205" s="14">
        <v>179</v>
      </c>
      <c r="F1205" s="14">
        <v>27</v>
      </c>
      <c r="G1205" s="14">
        <v>35</v>
      </c>
      <c r="H1205" s="14">
        <v>71.81</v>
      </c>
      <c r="I1205" s="14">
        <f>'PIVOT TABLES'!$B$26</f>
        <v>60.283999999999999</v>
      </c>
      <c r="J1205" s="14">
        <f>'PIVOT TABLES'!$B$27-'PIVOT TABLES'!$B$26</f>
        <v>30.142000000000003</v>
      </c>
      <c r="K1205" s="14">
        <f>'PIVOT TABLES'!$B$28-'PIVOT TABLES'!$B$27</f>
        <v>30.141999999999996</v>
      </c>
      <c r="L1205" s="14">
        <f>200-SUM(Table3[[#This Row],[D - LIGHT]:[D - VIGOROUS]])</f>
        <v>79.432000000000002</v>
      </c>
      <c r="M1205" s="14">
        <f>'PIVOT TABLES'!$I$26</f>
        <v>65.603999999999999</v>
      </c>
      <c r="N1205" s="14">
        <f>'PIVOT TABLES'!$I$27-'PIVOT TABLES'!$I$26</f>
        <v>32.802000000000007</v>
      </c>
      <c r="O1205" s="14">
        <f>'PIVOT TABLES'!$I$28-'PIVOT TABLES'!$I$27</f>
        <v>32.801999999999992</v>
      </c>
      <c r="P1205" s="14">
        <f>200-SUM(Table3[[#This Row],[M - LIGHT]:[M - VIGOROUS]])</f>
        <v>68.792000000000002</v>
      </c>
      <c r="Q1205" s="14">
        <f>'PIVOT TABLES'!$P$26</f>
        <v>62.64</v>
      </c>
      <c r="R1205" s="14">
        <f>'PIVOT TABLES'!$P$27-'PIVOT TABLES'!$P$26</f>
        <v>31.320000000000007</v>
      </c>
      <c r="S1205" s="14">
        <f>'PIVOT TABLES'!$P$28-'PIVOT TABLES'!$P$27</f>
        <v>31.319999999999993</v>
      </c>
      <c r="T1205" s="14">
        <f>200-SUM(Table3[[#This Row],[W - LIGHT]:[W - VIGOROUS]])</f>
        <v>74.72</v>
      </c>
      <c r="U1205" s="14">
        <f>'PIVOT TABLES'!$W$26</f>
        <v>55.895999999999994</v>
      </c>
      <c r="V1205" s="14">
        <f>'PIVOT TABLES'!$W$27-'PIVOT TABLES'!$W$26</f>
        <v>27.948</v>
      </c>
      <c r="W1205" s="14">
        <f>'PIVOT TABLES'!$W$28-'PIVOT TABLES'!$W$27</f>
        <v>27.947999999999993</v>
      </c>
      <c r="X1205" s="14">
        <f>200-SUM(Table3[[#This Row],[S - LIGHT]:[S - VIGOROUS]])</f>
        <v>88.208000000000013</v>
      </c>
    </row>
    <row r="1206" spans="1:24" x14ac:dyDescent="0.25">
      <c r="A1206" s="44" t="s">
        <v>62</v>
      </c>
      <c r="B1206" s="13" t="str">
        <f t="shared" si="18"/>
        <v>Midfielder</v>
      </c>
      <c r="C1206" s="7">
        <v>45370.415127314816</v>
      </c>
      <c r="D1206" s="14">
        <v>5545</v>
      </c>
      <c r="E1206" s="14">
        <v>5</v>
      </c>
      <c r="F1206" s="14">
        <v>17</v>
      </c>
      <c r="G1206" s="14">
        <v>27</v>
      </c>
      <c r="H1206" s="14">
        <v>56.82</v>
      </c>
      <c r="I1206" s="14">
        <f>'PIVOT TABLES'!$B$26</f>
        <v>60.283999999999999</v>
      </c>
      <c r="J1206" s="14">
        <f>'PIVOT TABLES'!$B$27-'PIVOT TABLES'!$B$26</f>
        <v>30.142000000000003</v>
      </c>
      <c r="K1206" s="14">
        <f>'PIVOT TABLES'!$B$28-'PIVOT TABLES'!$B$27</f>
        <v>30.141999999999996</v>
      </c>
      <c r="L1206" s="14">
        <f>200-SUM(Table3[[#This Row],[D - LIGHT]:[D - VIGOROUS]])</f>
        <v>79.432000000000002</v>
      </c>
      <c r="M1206" s="14">
        <f>'PIVOT TABLES'!$I$26</f>
        <v>65.603999999999999</v>
      </c>
      <c r="N1206" s="14">
        <f>'PIVOT TABLES'!$I$27-'PIVOT TABLES'!$I$26</f>
        <v>32.802000000000007</v>
      </c>
      <c r="O1206" s="14">
        <f>'PIVOT TABLES'!$I$28-'PIVOT TABLES'!$I$27</f>
        <v>32.801999999999992</v>
      </c>
      <c r="P1206" s="14">
        <f>200-SUM(Table3[[#This Row],[M - LIGHT]:[M - VIGOROUS]])</f>
        <v>68.792000000000002</v>
      </c>
      <c r="Q1206" s="14">
        <f>'PIVOT TABLES'!$P$26</f>
        <v>62.64</v>
      </c>
      <c r="R1206" s="14">
        <f>'PIVOT TABLES'!$P$27-'PIVOT TABLES'!$P$26</f>
        <v>31.320000000000007</v>
      </c>
      <c r="S1206" s="14">
        <f>'PIVOT TABLES'!$P$28-'PIVOT TABLES'!$P$27</f>
        <v>31.319999999999993</v>
      </c>
      <c r="T1206" s="14">
        <f>200-SUM(Table3[[#This Row],[W - LIGHT]:[W - VIGOROUS]])</f>
        <v>74.72</v>
      </c>
      <c r="U1206" s="14">
        <f>'PIVOT TABLES'!$W$26</f>
        <v>55.895999999999994</v>
      </c>
      <c r="V1206" s="14">
        <f>'PIVOT TABLES'!$W$27-'PIVOT TABLES'!$W$26</f>
        <v>27.948</v>
      </c>
      <c r="W1206" s="14">
        <f>'PIVOT TABLES'!$W$28-'PIVOT TABLES'!$W$27</f>
        <v>27.947999999999993</v>
      </c>
      <c r="X1206" s="14">
        <f>200-SUM(Table3[[#This Row],[S - LIGHT]:[S - VIGOROUS]])</f>
        <v>88.208000000000013</v>
      </c>
    </row>
    <row r="1207" spans="1:24" x14ac:dyDescent="0.25">
      <c r="A1207" s="44" t="s">
        <v>64</v>
      </c>
      <c r="B1207" s="13" t="str">
        <f t="shared" si="18"/>
        <v>Midfielder</v>
      </c>
      <c r="C1207" s="7">
        <v>45370.415127314816</v>
      </c>
      <c r="D1207" s="14">
        <v>4681</v>
      </c>
      <c r="E1207" s="14">
        <v>0</v>
      </c>
      <c r="F1207" s="14">
        <v>30</v>
      </c>
      <c r="G1207" s="14">
        <v>32</v>
      </c>
      <c r="H1207" s="14">
        <v>48.65</v>
      </c>
      <c r="I1207" s="14">
        <f>'PIVOT TABLES'!$B$26</f>
        <v>60.283999999999999</v>
      </c>
      <c r="J1207" s="14">
        <f>'PIVOT TABLES'!$B$27-'PIVOT TABLES'!$B$26</f>
        <v>30.142000000000003</v>
      </c>
      <c r="K1207" s="14">
        <f>'PIVOT TABLES'!$B$28-'PIVOT TABLES'!$B$27</f>
        <v>30.141999999999996</v>
      </c>
      <c r="L1207" s="14">
        <f>200-SUM(Table3[[#This Row],[D - LIGHT]:[D - VIGOROUS]])</f>
        <v>79.432000000000002</v>
      </c>
      <c r="M1207" s="14">
        <f>'PIVOT TABLES'!$I$26</f>
        <v>65.603999999999999</v>
      </c>
      <c r="N1207" s="14">
        <f>'PIVOT TABLES'!$I$27-'PIVOT TABLES'!$I$26</f>
        <v>32.802000000000007</v>
      </c>
      <c r="O1207" s="14">
        <f>'PIVOT TABLES'!$I$28-'PIVOT TABLES'!$I$27</f>
        <v>32.801999999999992</v>
      </c>
      <c r="P1207" s="14">
        <f>200-SUM(Table3[[#This Row],[M - LIGHT]:[M - VIGOROUS]])</f>
        <v>68.792000000000002</v>
      </c>
      <c r="Q1207" s="14">
        <f>'PIVOT TABLES'!$P$26</f>
        <v>62.64</v>
      </c>
      <c r="R1207" s="14">
        <f>'PIVOT TABLES'!$P$27-'PIVOT TABLES'!$P$26</f>
        <v>31.320000000000007</v>
      </c>
      <c r="S1207" s="14">
        <f>'PIVOT TABLES'!$P$28-'PIVOT TABLES'!$P$27</f>
        <v>31.319999999999993</v>
      </c>
      <c r="T1207" s="14">
        <f>200-SUM(Table3[[#This Row],[W - LIGHT]:[W - VIGOROUS]])</f>
        <v>74.72</v>
      </c>
      <c r="U1207" s="14">
        <f>'PIVOT TABLES'!$W$26</f>
        <v>55.895999999999994</v>
      </c>
      <c r="V1207" s="14">
        <f>'PIVOT TABLES'!$W$27-'PIVOT TABLES'!$W$26</f>
        <v>27.948</v>
      </c>
      <c r="W1207" s="14">
        <f>'PIVOT TABLES'!$W$28-'PIVOT TABLES'!$W$27</f>
        <v>27.947999999999993</v>
      </c>
      <c r="X1207" s="14">
        <f>200-SUM(Table3[[#This Row],[S - LIGHT]:[S - VIGOROUS]])</f>
        <v>88.208000000000013</v>
      </c>
    </row>
    <row r="1208" spans="1:24" x14ac:dyDescent="0.25">
      <c r="A1208" s="44" t="s">
        <v>65</v>
      </c>
      <c r="B1208" s="13" t="str">
        <f t="shared" si="18"/>
        <v>Winger</v>
      </c>
      <c r="C1208" s="7">
        <v>45370.415127314816</v>
      </c>
      <c r="D1208" s="14">
        <v>5709</v>
      </c>
      <c r="E1208" s="14">
        <v>125</v>
      </c>
      <c r="F1208" s="14">
        <v>34</v>
      </c>
      <c r="G1208" s="14">
        <v>38</v>
      </c>
      <c r="H1208" s="14">
        <v>62.96</v>
      </c>
      <c r="I1208" s="14">
        <f>'PIVOT TABLES'!$B$26</f>
        <v>60.283999999999999</v>
      </c>
      <c r="J1208" s="14">
        <f>'PIVOT TABLES'!$B$27-'PIVOT TABLES'!$B$26</f>
        <v>30.142000000000003</v>
      </c>
      <c r="K1208" s="14">
        <f>'PIVOT TABLES'!$B$28-'PIVOT TABLES'!$B$27</f>
        <v>30.141999999999996</v>
      </c>
      <c r="L1208" s="14">
        <f>200-SUM(Table3[[#This Row],[D - LIGHT]:[D - VIGOROUS]])</f>
        <v>79.432000000000002</v>
      </c>
      <c r="M1208" s="14">
        <f>'PIVOT TABLES'!$I$26</f>
        <v>65.603999999999999</v>
      </c>
      <c r="N1208" s="14">
        <f>'PIVOT TABLES'!$I$27-'PIVOT TABLES'!$I$26</f>
        <v>32.802000000000007</v>
      </c>
      <c r="O1208" s="14">
        <f>'PIVOT TABLES'!$I$28-'PIVOT TABLES'!$I$27</f>
        <v>32.801999999999992</v>
      </c>
      <c r="P1208" s="14">
        <f>200-SUM(Table3[[#This Row],[M - LIGHT]:[M - VIGOROUS]])</f>
        <v>68.792000000000002</v>
      </c>
      <c r="Q1208" s="14">
        <f>'PIVOT TABLES'!$P$26</f>
        <v>62.64</v>
      </c>
      <c r="R1208" s="14">
        <f>'PIVOT TABLES'!$P$27-'PIVOT TABLES'!$P$26</f>
        <v>31.320000000000007</v>
      </c>
      <c r="S1208" s="14">
        <f>'PIVOT TABLES'!$P$28-'PIVOT TABLES'!$P$27</f>
        <v>31.319999999999993</v>
      </c>
      <c r="T1208" s="14">
        <f>200-SUM(Table3[[#This Row],[W - LIGHT]:[W - VIGOROUS]])</f>
        <v>74.72</v>
      </c>
      <c r="U1208" s="14">
        <f>'PIVOT TABLES'!$W$26</f>
        <v>55.895999999999994</v>
      </c>
      <c r="V1208" s="14">
        <f>'PIVOT TABLES'!$W$27-'PIVOT TABLES'!$W$26</f>
        <v>27.948</v>
      </c>
      <c r="W1208" s="14">
        <f>'PIVOT TABLES'!$W$28-'PIVOT TABLES'!$W$27</f>
        <v>27.947999999999993</v>
      </c>
      <c r="X1208" s="14">
        <f>200-SUM(Table3[[#This Row],[S - LIGHT]:[S - VIGOROUS]])</f>
        <v>88.208000000000013</v>
      </c>
    </row>
    <row r="1209" spans="1:24" x14ac:dyDescent="0.25">
      <c r="A1209" s="44" t="s">
        <v>95</v>
      </c>
      <c r="B1209" s="13" t="str">
        <f t="shared" si="18"/>
        <v>Winger</v>
      </c>
      <c r="C1209" s="7">
        <v>45370.415127314816</v>
      </c>
      <c r="D1209" s="14">
        <v>5959</v>
      </c>
      <c r="E1209" s="14">
        <v>43</v>
      </c>
      <c r="F1209" s="14">
        <v>17</v>
      </c>
      <c r="G1209" s="14">
        <v>20</v>
      </c>
      <c r="H1209" s="14">
        <v>61.96</v>
      </c>
      <c r="I1209" s="14">
        <f>'PIVOT TABLES'!$B$26</f>
        <v>60.283999999999999</v>
      </c>
      <c r="J1209" s="14">
        <f>'PIVOT TABLES'!$B$27-'PIVOT TABLES'!$B$26</f>
        <v>30.142000000000003</v>
      </c>
      <c r="K1209" s="14">
        <f>'PIVOT TABLES'!$B$28-'PIVOT TABLES'!$B$27</f>
        <v>30.141999999999996</v>
      </c>
      <c r="L1209" s="14">
        <f>200-SUM(Table3[[#This Row],[D - LIGHT]:[D - VIGOROUS]])</f>
        <v>79.432000000000002</v>
      </c>
      <c r="M1209" s="14">
        <f>'PIVOT TABLES'!$I$26</f>
        <v>65.603999999999999</v>
      </c>
      <c r="N1209" s="14">
        <f>'PIVOT TABLES'!$I$27-'PIVOT TABLES'!$I$26</f>
        <v>32.802000000000007</v>
      </c>
      <c r="O1209" s="14">
        <f>'PIVOT TABLES'!$I$28-'PIVOT TABLES'!$I$27</f>
        <v>32.801999999999992</v>
      </c>
      <c r="P1209" s="14">
        <f>200-SUM(Table3[[#This Row],[M - LIGHT]:[M - VIGOROUS]])</f>
        <v>68.792000000000002</v>
      </c>
      <c r="Q1209" s="14">
        <f>'PIVOT TABLES'!$P$26</f>
        <v>62.64</v>
      </c>
      <c r="R1209" s="14">
        <f>'PIVOT TABLES'!$P$27-'PIVOT TABLES'!$P$26</f>
        <v>31.320000000000007</v>
      </c>
      <c r="S1209" s="14">
        <f>'PIVOT TABLES'!$P$28-'PIVOT TABLES'!$P$27</f>
        <v>31.319999999999993</v>
      </c>
      <c r="T1209" s="14">
        <f>200-SUM(Table3[[#This Row],[W - LIGHT]:[W - VIGOROUS]])</f>
        <v>74.72</v>
      </c>
      <c r="U1209" s="14">
        <f>'PIVOT TABLES'!$W$26</f>
        <v>55.895999999999994</v>
      </c>
      <c r="V1209" s="14">
        <f>'PIVOT TABLES'!$W$27-'PIVOT TABLES'!$W$26</f>
        <v>27.948</v>
      </c>
      <c r="W1209" s="14">
        <f>'PIVOT TABLES'!$W$28-'PIVOT TABLES'!$W$27</f>
        <v>27.947999999999993</v>
      </c>
      <c r="X1209" s="14">
        <f>200-SUM(Table3[[#This Row],[S - LIGHT]:[S - VIGOROUS]])</f>
        <v>88.208000000000013</v>
      </c>
    </row>
    <row r="1210" spans="1:24" x14ac:dyDescent="0.25">
      <c r="A1210" s="44" t="s">
        <v>96</v>
      </c>
      <c r="B1210" s="13" t="str">
        <f t="shared" si="18"/>
        <v>Winger</v>
      </c>
      <c r="C1210" s="7">
        <v>45370.415127314816</v>
      </c>
      <c r="D1210" s="14">
        <v>5577</v>
      </c>
      <c r="E1210" s="14">
        <v>33</v>
      </c>
      <c r="F1210" s="14">
        <v>24</v>
      </c>
      <c r="G1210" s="14">
        <v>13</v>
      </c>
      <c r="H1210" s="14">
        <v>57.98</v>
      </c>
      <c r="I1210" s="14">
        <f>'PIVOT TABLES'!$B$26</f>
        <v>60.283999999999999</v>
      </c>
      <c r="J1210" s="14">
        <f>'PIVOT TABLES'!$B$27-'PIVOT TABLES'!$B$26</f>
        <v>30.142000000000003</v>
      </c>
      <c r="K1210" s="14">
        <f>'PIVOT TABLES'!$B$28-'PIVOT TABLES'!$B$27</f>
        <v>30.141999999999996</v>
      </c>
      <c r="L1210" s="14">
        <f>200-SUM(Table3[[#This Row],[D - LIGHT]:[D - VIGOROUS]])</f>
        <v>79.432000000000002</v>
      </c>
      <c r="M1210" s="14">
        <f>'PIVOT TABLES'!$I$26</f>
        <v>65.603999999999999</v>
      </c>
      <c r="N1210" s="14">
        <f>'PIVOT TABLES'!$I$27-'PIVOT TABLES'!$I$26</f>
        <v>32.802000000000007</v>
      </c>
      <c r="O1210" s="14">
        <f>'PIVOT TABLES'!$I$28-'PIVOT TABLES'!$I$27</f>
        <v>32.801999999999992</v>
      </c>
      <c r="P1210" s="14">
        <f>200-SUM(Table3[[#This Row],[M - LIGHT]:[M - VIGOROUS]])</f>
        <v>68.792000000000002</v>
      </c>
      <c r="Q1210" s="14">
        <f>'PIVOT TABLES'!$P$26</f>
        <v>62.64</v>
      </c>
      <c r="R1210" s="14">
        <f>'PIVOT TABLES'!$P$27-'PIVOT TABLES'!$P$26</f>
        <v>31.320000000000007</v>
      </c>
      <c r="S1210" s="14">
        <f>'PIVOT TABLES'!$P$28-'PIVOT TABLES'!$P$27</f>
        <v>31.319999999999993</v>
      </c>
      <c r="T1210" s="14">
        <f>200-SUM(Table3[[#This Row],[W - LIGHT]:[W - VIGOROUS]])</f>
        <v>74.72</v>
      </c>
      <c r="U1210" s="14">
        <f>'PIVOT TABLES'!$W$26</f>
        <v>55.895999999999994</v>
      </c>
      <c r="V1210" s="14">
        <f>'PIVOT TABLES'!$W$27-'PIVOT TABLES'!$W$26</f>
        <v>27.948</v>
      </c>
      <c r="W1210" s="14">
        <f>'PIVOT TABLES'!$W$28-'PIVOT TABLES'!$W$27</f>
        <v>27.947999999999993</v>
      </c>
      <c r="X1210" s="14">
        <f>200-SUM(Table3[[#This Row],[S - LIGHT]:[S - VIGOROUS]])</f>
        <v>88.208000000000013</v>
      </c>
    </row>
    <row r="1211" spans="1:24" x14ac:dyDescent="0.25">
      <c r="A1211" s="44" t="s">
        <v>8</v>
      </c>
      <c r="B1211" s="13" t="str">
        <f t="shared" si="18"/>
        <v>Striker</v>
      </c>
      <c r="C1211" s="7">
        <v>45370.415127314816</v>
      </c>
      <c r="D1211" s="14">
        <v>5829</v>
      </c>
      <c r="E1211" s="14">
        <v>96</v>
      </c>
      <c r="F1211" s="14">
        <v>32</v>
      </c>
      <c r="G1211" s="14">
        <v>31</v>
      </c>
      <c r="H1211" s="14">
        <v>63.07</v>
      </c>
      <c r="I1211" s="14">
        <f>'PIVOT TABLES'!$B$26</f>
        <v>60.283999999999999</v>
      </c>
      <c r="J1211" s="14">
        <f>'PIVOT TABLES'!$B$27-'PIVOT TABLES'!$B$26</f>
        <v>30.142000000000003</v>
      </c>
      <c r="K1211" s="14">
        <f>'PIVOT TABLES'!$B$28-'PIVOT TABLES'!$B$27</f>
        <v>30.141999999999996</v>
      </c>
      <c r="L1211" s="14">
        <f>200-SUM(Table3[[#This Row],[D - LIGHT]:[D - VIGOROUS]])</f>
        <v>79.432000000000002</v>
      </c>
      <c r="M1211" s="14">
        <f>'PIVOT TABLES'!$I$26</f>
        <v>65.603999999999999</v>
      </c>
      <c r="N1211" s="14">
        <f>'PIVOT TABLES'!$I$27-'PIVOT TABLES'!$I$26</f>
        <v>32.802000000000007</v>
      </c>
      <c r="O1211" s="14">
        <f>'PIVOT TABLES'!$I$28-'PIVOT TABLES'!$I$27</f>
        <v>32.801999999999992</v>
      </c>
      <c r="P1211" s="14">
        <f>200-SUM(Table3[[#This Row],[M - LIGHT]:[M - VIGOROUS]])</f>
        <v>68.792000000000002</v>
      </c>
      <c r="Q1211" s="14">
        <f>'PIVOT TABLES'!$P$26</f>
        <v>62.64</v>
      </c>
      <c r="R1211" s="14">
        <f>'PIVOT TABLES'!$P$27-'PIVOT TABLES'!$P$26</f>
        <v>31.320000000000007</v>
      </c>
      <c r="S1211" s="14">
        <f>'PIVOT TABLES'!$P$28-'PIVOT TABLES'!$P$27</f>
        <v>31.319999999999993</v>
      </c>
      <c r="T1211" s="14">
        <f>200-SUM(Table3[[#This Row],[W - LIGHT]:[W - VIGOROUS]])</f>
        <v>74.72</v>
      </c>
      <c r="U1211" s="14">
        <f>'PIVOT TABLES'!$W$26</f>
        <v>55.895999999999994</v>
      </c>
      <c r="V1211" s="14">
        <f>'PIVOT TABLES'!$W$27-'PIVOT TABLES'!$W$26</f>
        <v>27.948</v>
      </c>
      <c r="W1211" s="14">
        <f>'PIVOT TABLES'!$W$28-'PIVOT TABLES'!$W$27</f>
        <v>27.947999999999993</v>
      </c>
      <c r="X1211" s="14">
        <f>200-SUM(Table3[[#This Row],[S - LIGHT]:[S - VIGOROUS]])</f>
        <v>88.208000000000013</v>
      </c>
    </row>
    <row r="1212" spans="1:24" x14ac:dyDescent="0.25">
      <c r="A1212" s="44" t="s">
        <v>67</v>
      </c>
      <c r="B1212" s="13" t="str">
        <f t="shared" si="18"/>
        <v>Midfielder</v>
      </c>
      <c r="C1212" s="7">
        <v>45370.415127314816</v>
      </c>
      <c r="D1212" s="14">
        <v>5270</v>
      </c>
      <c r="E1212" s="14">
        <v>11</v>
      </c>
      <c r="F1212" s="14">
        <v>41</v>
      </c>
      <c r="G1212" s="14">
        <v>33</v>
      </c>
      <c r="H1212" s="14">
        <v>55.33</v>
      </c>
      <c r="I1212" s="14">
        <f>'PIVOT TABLES'!$B$26</f>
        <v>60.283999999999999</v>
      </c>
      <c r="J1212" s="14">
        <f>'PIVOT TABLES'!$B$27-'PIVOT TABLES'!$B$26</f>
        <v>30.142000000000003</v>
      </c>
      <c r="K1212" s="14">
        <f>'PIVOT TABLES'!$B$28-'PIVOT TABLES'!$B$27</f>
        <v>30.141999999999996</v>
      </c>
      <c r="L1212" s="14">
        <f>200-SUM(Table3[[#This Row],[D - LIGHT]:[D - VIGOROUS]])</f>
        <v>79.432000000000002</v>
      </c>
      <c r="M1212" s="14">
        <f>'PIVOT TABLES'!$I$26</f>
        <v>65.603999999999999</v>
      </c>
      <c r="N1212" s="14">
        <f>'PIVOT TABLES'!$I$27-'PIVOT TABLES'!$I$26</f>
        <v>32.802000000000007</v>
      </c>
      <c r="O1212" s="14">
        <f>'PIVOT TABLES'!$I$28-'PIVOT TABLES'!$I$27</f>
        <v>32.801999999999992</v>
      </c>
      <c r="P1212" s="14">
        <f>200-SUM(Table3[[#This Row],[M - LIGHT]:[M - VIGOROUS]])</f>
        <v>68.792000000000002</v>
      </c>
      <c r="Q1212" s="14">
        <f>'PIVOT TABLES'!$P$26</f>
        <v>62.64</v>
      </c>
      <c r="R1212" s="14">
        <f>'PIVOT TABLES'!$P$27-'PIVOT TABLES'!$P$26</f>
        <v>31.320000000000007</v>
      </c>
      <c r="S1212" s="14">
        <f>'PIVOT TABLES'!$P$28-'PIVOT TABLES'!$P$27</f>
        <v>31.319999999999993</v>
      </c>
      <c r="T1212" s="14">
        <f>200-SUM(Table3[[#This Row],[W - LIGHT]:[W - VIGOROUS]])</f>
        <v>74.72</v>
      </c>
      <c r="U1212" s="14">
        <f>'PIVOT TABLES'!$W$26</f>
        <v>55.895999999999994</v>
      </c>
      <c r="V1212" s="14">
        <f>'PIVOT TABLES'!$W$27-'PIVOT TABLES'!$W$26</f>
        <v>27.948</v>
      </c>
      <c r="W1212" s="14">
        <f>'PIVOT TABLES'!$W$28-'PIVOT TABLES'!$W$27</f>
        <v>27.947999999999993</v>
      </c>
      <c r="X1212" s="14">
        <f>200-SUM(Table3[[#This Row],[S - LIGHT]:[S - VIGOROUS]])</f>
        <v>88.208000000000013</v>
      </c>
    </row>
    <row r="1213" spans="1:24" x14ac:dyDescent="0.25">
      <c r="A1213" s="44" t="s">
        <v>9</v>
      </c>
      <c r="B1213" s="13" t="str">
        <f t="shared" si="18"/>
        <v>Striker</v>
      </c>
      <c r="C1213" s="7">
        <v>45370.415127314816</v>
      </c>
      <c r="D1213" s="14">
        <v>6155</v>
      </c>
      <c r="E1213" s="14">
        <v>121</v>
      </c>
      <c r="F1213" s="14">
        <v>23</v>
      </c>
      <c r="G1213" s="14">
        <v>37</v>
      </c>
      <c r="H1213" s="14">
        <v>66.84</v>
      </c>
      <c r="I1213" s="14">
        <f>'PIVOT TABLES'!$B$26</f>
        <v>60.283999999999999</v>
      </c>
      <c r="J1213" s="14">
        <f>'PIVOT TABLES'!$B$27-'PIVOT TABLES'!$B$26</f>
        <v>30.142000000000003</v>
      </c>
      <c r="K1213" s="14">
        <f>'PIVOT TABLES'!$B$28-'PIVOT TABLES'!$B$27</f>
        <v>30.141999999999996</v>
      </c>
      <c r="L1213" s="14">
        <f>200-SUM(Table3[[#This Row],[D - LIGHT]:[D - VIGOROUS]])</f>
        <v>79.432000000000002</v>
      </c>
      <c r="M1213" s="14">
        <f>'PIVOT TABLES'!$I$26</f>
        <v>65.603999999999999</v>
      </c>
      <c r="N1213" s="14">
        <f>'PIVOT TABLES'!$I$27-'PIVOT TABLES'!$I$26</f>
        <v>32.802000000000007</v>
      </c>
      <c r="O1213" s="14">
        <f>'PIVOT TABLES'!$I$28-'PIVOT TABLES'!$I$27</f>
        <v>32.801999999999992</v>
      </c>
      <c r="P1213" s="14">
        <f>200-SUM(Table3[[#This Row],[M - LIGHT]:[M - VIGOROUS]])</f>
        <v>68.792000000000002</v>
      </c>
      <c r="Q1213" s="14">
        <f>'PIVOT TABLES'!$P$26</f>
        <v>62.64</v>
      </c>
      <c r="R1213" s="14">
        <f>'PIVOT TABLES'!$P$27-'PIVOT TABLES'!$P$26</f>
        <v>31.320000000000007</v>
      </c>
      <c r="S1213" s="14">
        <f>'PIVOT TABLES'!$P$28-'PIVOT TABLES'!$P$27</f>
        <v>31.319999999999993</v>
      </c>
      <c r="T1213" s="14">
        <f>200-SUM(Table3[[#This Row],[W - LIGHT]:[W - VIGOROUS]])</f>
        <v>74.72</v>
      </c>
      <c r="U1213" s="14">
        <f>'PIVOT TABLES'!$W$26</f>
        <v>55.895999999999994</v>
      </c>
      <c r="V1213" s="14">
        <f>'PIVOT TABLES'!$W$27-'PIVOT TABLES'!$W$26</f>
        <v>27.948</v>
      </c>
      <c r="W1213" s="14">
        <f>'PIVOT TABLES'!$W$28-'PIVOT TABLES'!$W$27</f>
        <v>27.947999999999993</v>
      </c>
      <c r="X1213" s="14">
        <f>200-SUM(Table3[[#This Row],[S - LIGHT]:[S - VIGOROUS]])</f>
        <v>88.208000000000013</v>
      </c>
    </row>
    <row r="1214" spans="1:24" x14ac:dyDescent="0.25">
      <c r="A1214" s="44" t="s">
        <v>69</v>
      </c>
      <c r="B1214" s="13" t="str">
        <f t="shared" si="18"/>
        <v>Midfielder</v>
      </c>
      <c r="C1214" s="7">
        <v>45370.415127314816</v>
      </c>
      <c r="D1214" s="14">
        <v>6402</v>
      </c>
      <c r="E1214" s="14">
        <v>46</v>
      </c>
      <c r="F1214" s="14">
        <v>32</v>
      </c>
      <c r="G1214" s="14">
        <v>25</v>
      </c>
      <c r="H1214" s="14">
        <v>67.180000000000007</v>
      </c>
      <c r="I1214" s="14">
        <f>'PIVOT TABLES'!$B$26</f>
        <v>60.283999999999999</v>
      </c>
      <c r="J1214" s="14">
        <f>'PIVOT TABLES'!$B$27-'PIVOT TABLES'!$B$26</f>
        <v>30.142000000000003</v>
      </c>
      <c r="K1214" s="14">
        <f>'PIVOT TABLES'!$B$28-'PIVOT TABLES'!$B$27</f>
        <v>30.141999999999996</v>
      </c>
      <c r="L1214" s="14">
        <f>200-SUM(Table3[[#This Row],[D - LIGHT]:[D - VIGOROUS]])</f>
        <v>79.432000000000002</v>
      </c>
      <c r="M1214" s="14">
        <f>'PIVOT TABLES'!$I$26</f>
        <v>65.603999999999999</v>
      </c>
      <c r="N1214" s="14">
        <f>'PIVOT TABLES'!$I$27-'PIVOT TABLES'!$I$26</f>
        <v>32.802000000000007</v>
      </c>
      <c r="O1214" s="14">
        <f>'PIVOT TABLES'!$I$28-'PIVOT TABLES'!$I$27</f>
        <v>32.801999999999992</v>
      </c>
      <c r="P1214" s="14">
        <f>200-SUM(Table3[[#This Row],[M - LIGHT]:[M - VIGOROUS]])</f>
        <v>68.792000000000002</v>
      </c>
      <c r="Q1214" s="14">
        <f>'PIVOT TABLES'!$P$26</f>
        <v>62.64</v>
      </c>
      <c r="R1214" s="14">
        <f>'PIVOT TABLES'!$P$27-'PIVOT TABLES'!$P$26</f>
        <v>31.320000000000007</v>
      </c>
      <c r="S1214" s="14">
        <f>'PIVOT TABLES'!$P$28-'PIVOT TABLES'!$P$27</f>
        <v>31.319999999999993</v>
      </c>
      <c r="T1214" s="14">
        <f>200-SUM(Table3[[#This Row],[W - LIGHT]:[W - VIGOROUS]])</f>
        <v>74.72</v>
      </c>
      <c r="U1214" s="14">
        <f>'PIVOT TABLES'!$W$26</f>
        <v>55.895999999999994</v>
      </c>
      <c r="V1214" s="14">
        <f>'PIVOT TABLES'!$W$27-'PIVOT TABLES'!$W$26</f>
        <v>27.948</v>
      </c>
      <c r="W1214" s="14">
        <f>'PIVOT TABLES'!$W$28-'PIVOT TABLES'!$W$27</f>
        <v>27.947999999999993</v>
      </c>
      <c r="X1214" s="14">
        <f>200-SUM(Table3[[#This Row],[S - LIGHT]:[S - VIGOROUS]])</f>
        <v>88.208000000000013</v>
      </c>
    </row>
    <row r="1215" spans="1:24" x14ac:dyDescent="0.25">
      <c r="A1215" s="44" t="s">
        <v>70</v>
      </c>
      <c r="B1215" s="13" t="str">
        <f t="shared" si="18"/>
        <v>Winger</v>
      </c>
      <c r="C1215" s="7">
        <v>45371.398935185185</v>
      </c>
      <c r="D1215" s="14">
        <v>4250</v>
      </c>
      <c r="E1215" s="14">
        <v>0</v>
      </c>
      <c r="F1215" s="14">
        <v>3</v>
      </c>
      <c r="G1215" s="14">
        <v>9</v>
      </c>
      <c r="H1215" s="14">
        <v>42.8</v>
      </c>
      <c r="I1215" s="14">
        <f>'PIVOT TABLES'!$B$26</f>
        <v>60.283999999999999</v>
      </c>
      <c r="J1215" s="14">
        <f>'PIVOT TABLES'!$B$27-'PIVOT TABLES'!$B$26</f>
        <v>30.142000000000003</v>
      </c>
      <c r="K1215" s="14">
        <f>'PIVOT TABLES'!$B$28-'PIVOT TABLES'!$B$27</f>
        <v>30.141999999999996</v>
      </c>
      <c r="L1215" s="14">
        <f>200-SUM(Table3[[#This Row],[D - LIGHT]:[D - VIGOROUS]])</f>
        <v>79.432000000000002</v>
      </c>
      <c r="M1215" s="14">
        <f>'PIVOT TABLES'!$I$26</f>
        <v>65.603999999999999</v>
      </c>
      <c r="N1215" s="14">
        <f>'PIVOT TABLES'!$I$27-'PIVOT TABLES'!$I$26</f>
        <v>32.802000000000007</v>
      </c>
      <c r="O1215" s="14">
        <f>'PIVOT TABLES'!$I$28-'PIVOT TABLES'!$I$27</f>
        <v>32.801999999999992</v>
      </c>
      <c r="P1215" s="14">
        <f>200-SUM(Table3[[#This Row],[M - LIGHT]:[M - VIGOROUS]])</f>
        <v>68.792000000000002</v>
      </c>
      <c r="Q1215" s="14">
        <f>'PIVOT TABLES'!$P$26</f>
        <v>62.64</v>
      </c>
      <c r="R1215" s="14">
        <f>'PIVOT TABLES'!$P$27-'PIVOT TABLES'!$P$26</f>
        <v>31.320000000000007</v>
      </c>
      <c r="S1215" s="14">
        <f>'PIVOT TABLES'!$P$28-'PIVOT TABLES'!$P$27</f>
        <v>31.319999999999993</v>
      </c>
      <c r="T1215" s="14">
        <f>200-SUM(Table3[[#This Row],[W - LIGHT]:[W - VIGOROUS]])</f>
        <v>74.72</v>
      </c>
      <c r="U1215" s="14">
        <f>'PIVOT TABLES'!$W$26</f>
        <v>55.895999999999994</v>
      </c>
      <c r="V1215" s="14">
        <f>'PIVOT TABLES'!$W$27-'PIVOT TABLES'!$W$26</f>
        <v>27.948</v>
      </c>
      <c r="W1215" s="14">
        <f>'PIVOT TABLES'!$W$28-'PIVOT TABLES'!$W$27</f>
        <v>27.947999999999993</v>
      </c>
      <c r="X1215" s="14">
        <f>200-SUM(Table3[[#This Row],[S - LIGHT]:[S - VIGOROUS]])</f>
        <v>88.208000000000013</v>
      </c>
    </row>
    <row r="1216" spans="1:24" x14ac:dyDescent="0.25">
      <c r="A1216" s="44" t="s">
        <v>53</v>
      </c>
      <c r="B1216" s="13" t="str">
        <f t="shared" si="18"/>
        <v>Midfielder</v>
      </c>
      <c r="C1216" s="7">
        <v>45371.398935185185</v>
      </c>
      <c r="D1216" s="14">
        <v>4647</v>
      </c>
      <c r="E1216" s="14">
        <v>0</v>
      </c>
      <c r="F1216" s="14">
        <v>13</v>
      </c>
      <c r="G1216" s="14">
        <v>16</v>
      </c>
      <c r="H1216" s="14">
        <v>47.31</v>
      </c>
      <c r="I1216" s="14">
        <f>'PIVOT TABLES'!$B$26</f>
        <v>60.283999999999999</v>
      </c>
      <c r="J1216" s="14">
        <f>'PIVOT TABLES'!$B$27-'PIVOT TABLES'!$B$26</f>
        <v>30.142000000000003</v>
      </c>
      <c r="K1216" s="14">
        <f>'PIVOT TABLES'!$B$28-'PIVOT TABLES'!$B$27</f>
        <v>30.141999999999996</v>
      </c>
      <c r="L1216" s="14">
        <f>200-SUM(Table3[[#This Row],[D - LIGHT]:[D - VIGOROUS]])</f>
        <v>79.432000000000002</v>
      </c>
      <c r="M1216" s="14">
        <f>'PIVOT TABLES'!$I$26</f>
        <v>65.603999999999999</v>
      </c>
      <c r="N1216" s="14">
        <f>'PIVOT TABLES'!$I$27-'PIVOT TABLES'!$I$26</f>
        <v>32.802000000000007</v>
      </c>
      <c r="O1216" s="14">
        <f>'PIVOT TABLES'!$I$28-'PIVOT TABLES'!$I$27</f>
        <v>32.801999999999992</v>
      </c>
      <c r="P1216" s="14">
        <f>200-SUM(Table3[[#This Row],[M - LIGHT]:[M - VIGOROUS]])</f>
        <v>68.792000000000002</v>
      </c>
      <c r="Q1216" s="14">
        <f>'PIVOT TABLES'!$P$26</f>
        <v>62.64</v>
      </c>
      <c r="R1216" s="14">
        <f>'PIVOT TABLES'!$P$27-'PIVOT TABLES'!$P$26</f>
        <v>31.320000000000007</v>
      </c>
      <c r="S1216" s="14">
        <f>'PIVOT TABLES'!$P$28-'PIVOT TABLES'!$P$27</f>
        <v>31.319999999999993</v>
      </c>
      <c r="T1216" s="14">
        <f>200-SUM(Table3[[#This Row],[W - LIGHT]:[W - VIGOROUS]])</f>
        <v>74.72</v>
      </c>
      <c r="U1216" s="14">
        <f>'PIVOT TABLES'!$W$26</f>
        <v>55.895999999999994</v>
      </c>
      <c r="V1216" s="14">
        <f>'PIVOT TABLES'!$W$27-'PIVOT TABLES'!$W$26</f>
        <v>27.948</v>
      </c>
      <c r="W1216" s="14">
        <f>'PIVOT TABLES'!$W$28-'PIVOT TABLES'!$W$27</f>
        <v>27.947999999999993</v>
      </c>
      <c r="X1216" s="14">
        <f>200-SUM(Table3[[#This Row],[S - LIGHT]:[S - VIGOROUS]])</f>
        <v>88.208000000000013</v>
      </c>
    </row>
    <row r="1217" spans="1:24" x14ac:dyDescent="0.25">
      <c r="A1217" s="44" t="s">
        <v>55</v>
      </c>
      <c r="B1217" s="13" t="str">
        <f t="shared" si="18"/>
        <v>Striker</v>
      </c>
      <c r="C1217" s="7">
        <v>45371.398935185185</v>
      </c>
      <c r="D1217" s="14">
        <v>11520</v>
      </c>
      <c r="E1217" s="14">
        <v>190</v>
      </c>
      <c r="F1217" s="14">
        <v>37</v>
      </c>
      <c r="G1217" s="14">
        <v>33</v>
      </c>
      <c r="H1217" s="14">
        <v>123.04</v>
      </c>
      <c r="I1217" s="14">
        <f>'PIVOT TABLES'!$B$26</f>
        <v>60.283999999999999</v>
      </c>
      <c r="J1217" s="14">
        <f>'PIVOT TABLES'!$B$27-'PIVOT TABLES'!$B$26</f>
        <v>30.142000000000003</v>
      </c>
      <c r="K1217" s="14">
        <f>'PIVOT TABLES'!$B$28-'PIVOT TABLES'!$B$27</f>
        <v>30.141999999999996</v>
      </c>
      <c r="L1217" s="14">
        <f>200-SUM(Table3[[#This Row],[D - LIGHT]:[D - VIGOROUS]])</f>
        <v>79.432000000000002</v>
      </c>
      <c r="M1217" s="14">
        <f>'PIVOT TABLES'!$I$26</f>
        <v>65.603999999999999</v>
      </c>
      <c r="N1217" s="14">
        <f>'PIVOT TABLES'!$I$27-'PIVOT TABLES'!$I$26</f>
        <v>32.802000000000007</v>
      </c>
      <c r="O1217" s="14">
        <f>'PIVOT TABLES'!$I$28-'PIVOT TABLES'!$I$27</f>
        <v>32.801999999999992</v>
      </c>
      <c r="P1217" s="14">
        <f>200-SUM(Table3[[#This Row],[M - LIGHT]:[M - VIGOROUS]])</f>
        <v>68.792000000000002</v>
      </c>
      <c r="Q1217" s="14">
        <f>'PIVOT TABLES'!$P$26</f>
        <v>62.64</v>
      </c>
      <c r="R1217" s="14">
        <f>'PIVOT TABLES'!$P$27-'PIVOT TABLES'!$P$26</f>
        <v>31.320000000000007</v>
      </c>
      <c r="S1217" s="14">
        <f>'PIVOT TABLES'!$P$28-'PIVOT TABLES'!$P$27</f>
        <v>31.319999999999993</v>
      </c>
      <c r="T1217" s="14">
        <f>200-SUM(Table3[[#This Row],[W - LIGHT]:[W - VIGOROUS]])</f>
        <v>74.72</v>
      </c>
      <c r="U1217" s="14">
        <f>'PIVOT TABLES'!$W$26</f>
        <v>55.895999999999994</v>
      </c>
      <c r="V1217" s="14">
        <f>'PIVOT TABLES'!$W$27-'PIVOT TABLES'!$W$26</f>
        <v>27.948</v>
      </c>
      <c r="W1217" s="14">
        <f>'PIVOT TABLES'!$W$28-'PIVOT TABLES'!$W$27</f>
        <v>27.947999999999993</v>
      </c>
      <c r="X1217" s="14">
        <f>200-SUM(Table3[[#This Row],[S - LIGHT]:[S - VIGOROUS]])</f>
        <v>88.208000000000013</v>
      </c>
    </row>
    <row r="1218" spans="1:24" x14ac:dyDescent="0.25">
      <c r="A1218" s="44" t="s">
        <v>56</v>
      </c>
      <c r="B1218" s="13" t="str">
        <f t="shared" si="18"/>
        <v>Midfielder</v>
      </c>
      <c r="C1218" s="7">
        <v>45371.398935185185</v>
      </c>
      <c r="D1218" s="14">
        <v>5751</v>
      </c>
      <c r="E1218" s="14">
        <v>7</v>
      </c>
      <c r="F1218" s="14">
        <v>15</v>
      </c>
      <c r="G1218" s="14">
        <v>13</v>
      </c>
      <c r="H1218" s="14">
        <v>58.58</v>
      </c>
      <c r="I1218" s="14">
        <f>'PIVOT TABLES'!$B$26</f>
        <v>60.283999999999999</v>
      </c>
      <c r="J1218" s="14">
        <f>'PIVOT TABLES'!$B$27-'PIVOT TABLES'!$B$26</f>
        <v>30.142000000000003</v>
      </c>
      <c r="K1218" s="14">
        <f>'PIVOT TABLES'!$B$28-'PIVOT TABLES'!$B$27</f>
        <v>30.141999999999996</v>
      </c>
      <c r="L1218" s="14">
        <f>200-SUM(Table3[[#This Row],[D - LIGHT]:[D - VIGOROUS]])</f>
        <v>79.432000000000002</v>
      </c>
      <c r="M1218" s="14">
        <f>'PIVOT TABLES'!$I$26</f>
        <v>65.603999999999999</v>
      </c>
      <c r="N1218" s="14">
        <f>'PIVOT TABLES'!$I$27-'PIVOT TABLES'!$I$26</f>
        <v>32.802000000000007</v>
      </c>
      <c r="O1218" s="14">
        <f>'PIVOT TABLES'!$I$28-'PIVOT TABLES'!$I$27</f>
        <v>32.801999999999992</v>
      </c>
      <c r="P1218" s="14">
        <f>200-SUM(Table3[[#This Row],[M - LIGHT]:[M - VIGOROUS]])</f>
        <v>68.792000000000002</v>
      </c>
      <c r="Q1218" s="14">
        <f>'PIVOT TABLES'!$P$26</f>
        <v>62.64</v>
      </c>
      <c r="R1218" s="14">
        <f>'PIVOT TABLES'!$P$27-'PIVOT TABLES'!$P$26</f>
        <v>31.320000000000007</v>
      </c>
      <c r="S1218" s="14">
        <f>'PIVOT TABLES'!$P$28-'PIVOT TABLES'!$P$27</f>
        <v>31.319999999999993</v>
      </c>
      <c r="T1218" s="14">
        <f>200-SUM(Table3[[#This Row],[W - LIGHT]:[W - VIGOROUS]])</f>
        <v>74.72</v>
      </c>
      <c r="U1218" s="14">
        <f>'PIVOT TABLES'!$W$26</f>
        <v>55.895999999999994</v>
      </c>
      <c r="V1218" s="14">
        <f>'PIVOT TABLES'!$W$27-'PIVOT TABLES'!$W$26</f>
        <v>27.948</v>
      </c>
      <c r="W1218" s="14">
        <f>'PIVOT TABLES'!$W$28-'PIVOT TABLES'!$W$27</f>
        <v>27.947999999999993</v>
      </c>
      <c r="X1218" s="14">
        <f>200-SUM(Table3[[#This Row],[S - LIGHT]:[S - VIGOROUS]])</f>
        <v>88.208000000000013</v>
      </c>
    </row>
    <row r="1219" spans="1:24" x14ac:dyDescent="0.25">
      <c r="A1219" s="44" t="s">
        <v>58</v>
      </c>
      <c r="B1219" s="13" t="str">
        <f t="shared" ref="B1219:B1282" si="19">IF(A1219="Sihle Gum","Defender",IF(A1219="Kenny Langa","Defender",IF(A1219="Tshepang Makara","Defender",IF(A1219="Tshepiso Mahlangu","Defender",IF(A1219="Neo Ramashala","Defender",IF(A1219="Keabetswe Nkogatse","Defender",IF(A1219="Kaketso Harold Majadibodu","Defender",IF(A1219="Samuel Julies","Midfielder",IF(A1219="Frank Mpedi","Midfielder",IF(A1219="Sapholwethu Kelepu","Midfielder",IF(A1219="Manelisi Sithole","Midfielder",IF(A1219="Thabiso Mokoena","Midfielder",IF(A1219="Khomotso Marebane","Midfielder",IF(A1219="Tebogo Mohlamonyane","Midfielder",IF(A1219="Thulani Zandamela","Midfielder",IF(A1219="Mdevulana Camagu","Midfielder",IF(A1219="Promise Mkhuma","Midfielder",IF(A1219="Essien Makwarimba","Midfielder",IF(A1219="Ayanda Mvambi","Winger",IF(A1219="Delano Abrahams","Winger",IF(A1219="Thokozani Sekotlong","Winger",IF(A1219="Maselaelo Seanego","Winger",IF(A1219="Lesedi Motha","Winger",IF(A1219="Malekgene Mampuru","Winger",IF(A1219="Matome Rangata","Winger",IF(A1219="Thabang Sibanyoni","Striker",IF(A1219="Tebogo Makungo","Striker",IF(A1219="Neo Dikgale","Striker",IF(A1219="Kamohelo Pheeane","Striker",IF(A1219="Athenkosi Tonisi","Striker",IF(A1219="Jesse Francis","Striker","####")))))))))))))))))))))))))))))))</f>
        <v>Defender</v>
      </c>
      <c r="C1219" s="7">
        <v>45371.398935185185</v>
      </c>
      <c r="D1219" s="14">
        <v>3856</v>
      </c>
      <c r="E1219" s="14">
        <v>0</v>
      </c>
      <c r="F1219" s="14">
        <v>8</v>
      </c>
      <c r="G1219" s="14">
        <v>7</v>
      </c>
      <c r="H1219" s="14">
        <v>39.020000000000003</v>
      </c>
      <c r="I1219" s="14">
        <f>'PIVOT TABLES'!$B$26</f>
        <v>60.283999999999999</v>
      </c>
      <c r="J1219" s="14">
        <f>'PIVOT TABLES'!$B$27-'PIVOT TABLES'!$B$26</f>
        <v>30.142000000000003</v>
      </c>
      <c r="K1219" s="14">
        <f>'PIVOT TABLES'!$B$28-'PIVOT TABLES'!$B$27</f>
        <v>30.141999999999996</v>
      </c>
      <c r="L1219" s="14">
        <f>200-SUM(Table3[[#This Row],[D - LIGHT]:[D - VIGOROUS]])</f>
        <v>79.432000000000002</v>
      </c>
      <c r="M1219" s="14">
        <f>'PIVOT TABLES'!$I$26</f>
        <v>65.603999999999999</v>
      </c>
      <c r="N1219" s="14">
        <f>'PIVOT TABLES'!$I$27-'PIVOT TABLES'!$I$26</f>
        <v>32.802000000000007</v>
      </c>
      <c r="O1219" s="14">
        <f>'PIVOT TABLES'!$I$28-'PIVOT TABLES'!$I$27</f>
        <v>32.801999999999992</v>
      </c>
      <c r="P1219" s="14">
        <f>200-SUM(Table3[[#This Row],[M - LIGHT]:[M - VIGOROUS]])</f>
        <v>68.792000000000002</v>
      </c>
      <c r="Q1219" s="14">
        <f>'PIVOT TABLES'!$P$26</f>
        <v>62.64</v>
      </c>
      <c r="R1219" s="14">
        <f>'PIVOT TABLES'!$P$27-'PIVOT TABLES'!$P$26</f>
        <v>31.320000000000007</v>
      </c>
      <c r="S1219" s="14">
        <f>'PIVOT TABLES'!$P$28-'PIVOT TABLES'!$P$27</f>
        <v>31.319999999999993</v>
      </c>
      <c r="T1219" s="14">
        <f>200-SUM(Table3[[#This Row],[W - LIGHT]:[W - VIGOROUS]])</f>
        <v>74.72</v>
      </c>
      <c r="U1219" s="14">
        <f>'PIVOT TABLES'!$W$26</f>
        <v>55.895999999999994</v>
      </c>
      <c r="V1219" s="14">
        <f>'PIVOT TABLES'!$W$27-'PIVOT TABLES'!$W$26</f>
        <v>27.948</v>
      </c>
      <c r="W1219" s="14">
        <f>'PIVOT TABLES'!$W$28-'PIVOT TABLES'!$W$27</f>
        <v>27.947999999999993</v>
      </c>
      <c r="X1219" s="14">
        <f>200-SUM(Table3[[#This Row],[S - LIGHT]:[S - VIGOROUS]])</f>
        <v>88.208000000000013</v>
      </c>
    </row>
    <row r="1220" spans="1:24" x14ac:dyDescent="0.25">
      <c r="A1220" s="44" t="s">
        <v>94</v>
      </c>
      <c r="B1220" s="13" t="str">
        <f t="shared" si="19"/>
        <v>Defender</v>
      </c>
      <c r="C1220" s="7">
        <v>45371.398935185185</v>
      </c>
      <c r="D1220" s="14">
        <v>4616</v>
      </c>
      <c r="E1220" s="14">
        <v>0</v>
      </c>
      <c r="F1220" s="14">
        <v>2</v>
      </c>
      <c r="G1220" s="14">
        <v>5</v>
      </c>
      <c r="H1220" s="14">
        <v>46.34</v>
      </c>
      <c r="I1220" s="14">
        <f>'PIVOT TABLES'!$B$26</f>
        <v>60.283999999999999</v>
      </c>
      <c r="J1220" s="14">
        <f>'PIVOT TABLES'!$B$27-'PIVOT TABLES'!$B$26</f>
        <v>30.142000000000003</v>
      </c>
      <c r="K1220" s="14">
        <f>'PIVOT TABLES'!$B$28-'PIVOT TABLES'!$B$27</f>
        <v>30.141999999999996</v>
      </c>
      <c r="L1220" s="14">
        <f>200-SUM(Table3[[#This Row],[D - LIGHT]:[D - VIGOROUS]])</f>
        <v>79.432000000000002</v>
      </c>
      <c r="M1220" s="14">
        <f>'PIVOT TABLES'!$I$26</f>
        <v>65.603999999999999</v>
      </c>
      <c r="N1220" s="14">
        <f>'PIVOT TABLES'!$I$27-'PIVOT TABLES'!$I$26</f>
        <v>32.802000000000007</v>
      </c>
      <c r="O1220" s="14">
        <f>'PIVOT TABLES'!$I$28-'PIVOT TABLES'!$I$27</f>
        <v>32.801999999999992</v>
      </c>
      <c r="P1220" s="14">
        <f>200-SUM(Table3[[#This Row],[M - LIGHT]:[M - VIGOROUS]])</f>
        <v>68.792000000000002</v>
      </c>
      <c r="Q1220" s="14">
        <f>'PIVOT TABLES'!$P$26</f>
        <v>62.64</v>
      </c>
      <c r="R1220" s="14">
        <f>'PIVOT TABLES'!$P$27-'PIVOT TABLES'!$P$26</f>
        <v>31.320000000000007</v>
      </c>
      <c r="S1220" s="14">
        <f>'PIVOT TABLES'!$P$28-'PIVOT TABLES'!$P$27</f>
        <v>31.319999999999993</v>
      </c>
      <c r="T1220" s="14">
        <f>200-SUM(Table3[[#This Row],[W - LIGHT]:[W - VIGOROUS]])</f>
        <v>74.72</v>
      </c>
      <c r="U1220" s="14">
        <f>'PIVOT TABLES'!$W$26</f>
        <v>55.895999999999994</v>
      </c>
      <c r="V1220" s="14">
        <f>'PIVOT TABLES'!$W$27-'PIVOT TABLES'!$W$26</f>
        <v>27.948</v>
      </c>
      <c r="W1220" s="14">
        <f>'PIVOT TABLES'!$W$28-'PIVOT TABLES'!$W$27</f>
        <v>27.947999999999993</v>
      </c>
      <c r="X1220" s="14">
        <f>200-SUM(Table3[[#This Row],[S - LIGHT]:[S - VIGOROUS]])</f>
        <v>88.208000000000013</v>
      </c>
    </row>
    <row r="1221" spans="1:24" x14ac:dyDescent="0.25">
      <c r="A1221" s="44" t="s">
        <v>3</v>
      </c>
      <c r="B1221" s="13" t="str">
        <f t="shared" si="19"/>
        <v>Defender</v>
      </c>
      <c r="C1221" s="7">
        <v>45371.398935185185</v>
      </c>
      <c r="D1221" s="14">
        <v>9249</v>
      </c>
      <c r="E1221" s="14">
        <v>155</v>
      </c>
      <c r="F1221" s="14">
        <v>19</v>
      </c>
      <c r="G1221" s="14">
        <v>29</v>
      </c>
      <c r="H1221" s="14">
        <v>98.48</v>
      </c>
      <c r="I1221" s="14">
        <f>'PIVOT TABLES'!$B$26</f>
        <v>60.283999999999999</v>
      </c>
      <c r="J1221" s="14">
        <f>'PIVOT TABLES'!$B$27-'PIVOT TABLES'!$B$26</f>
        <v>30.142000000000003</v>
      </c>
      <c r="K1221" s="14">
        <f>'PIVOT TABLES'!$B$28-'PIVOT TABLES'!$B$27</f>
        <v>30.141999999999996</v>
      </c>
      <c r="L1221" s="14">
        <f>200-SUM(Table3[[#This Row],[D - LIGHT]:[D - VIGOROUS]])</f>
        <v>79.432000000000002</v>
      </c>
      <c r="M1221" s="14">
        <f>'PIVOT TABLES'!$I$26</f>
        <v>65.603999999999999</v>
      </c>
      <c r="N1221" s="14">
        <f>'PIVOT TABLES'!$I$27-'PIVOT TABLES'!$I$26</f>
        <v>32.802000000000007</v>
      </c>
      <c r="O1221" s="14">
        <f>'PIVOT TABLES'!$I$28-'PIVOT TABLES'!$I$27</f>
        <v>32.801999999999992</v>
      </c>
      <c r="P1221" s="14">
        <f>200-SUM(Table3[[#This Row],[M - LIGHT]:[M - VIGOROUS]])</f>
        <v>68.792000000000002</v>
      </c>
      <c r="Q1221" s="14">
        <f>'PIVOT TABLES'!$P$26</f>
        <v>62.64</v>
      </c>
      <c r="R1221" s="14">
        <f>'PIVOT TABLES'!$P$27-'PIVOT TABLES'!$P$26</f>
        <v>31.320000000000007</v>
      </c>
      <c r="S1221" s="14">
        <f>'PIVOT TABLES'!$P$28-'PIVOT TABLES'!$P$27</f>
        <v>31.319999999999993</v>
      </c>
      <c r="T1221" s="14">
        <f>200-SUM(Table3[[#This Row],[W - LIGHT]:[W - VIGOROUS]])</f>
        <v>74.72</v>
      </c>
      <c r="U1221" s="14">
        <f>'PIVOT TABLES'!$W$26</f>
        <v>55.895999999999994</v>
      </c>
      <c r="V1221" s="14">
        <f>'PIVOT TABLES'!$W$27-'PIVOT TABLES'!$W$26</f>
        <v>27.948</v>
      </c>
      <c r="W1221" s="14">
        <f>'PIVOT TABLES'!$W$28-'PIVOT TABLES'!$W$27</f>
        <v>27.947999999999993</v>
      </c>
      <c r="X1221" s="14">
        <f>200-SUM(Table3[[#This Row],[S - LIGHT]:[S - VIGOROUS]])</f>
        <v>88.208000000000013</v>
      </c>
    </row>
    <row r="1222" spans="1:24" x14ac:dyDescent="0.25">
      <c r="A1222" s="44" t="s">
        <v>59</v>
      </c>
      <c r="B1222" s="13" t="str">
        <f t="shared" si="19"/>
        <v>Striker</v>
      </c>
      <c r="C1222" s="7">
        <v>45371.398935185185</v>
      </c>
      <c r="D1222" s="14">
        <v>8189</v>
      </c>
      <c r="E1222" s="14">
        <v>212</v>
      </c>
      <c r="F1222" s="14">
        <v>22</v>
      </c>
      <c r="G1222" s="14">
        <v>27</v>
      </c>
      <c r="H1222" s="14">
        <v>89.67</v>
      </c>
      <c r="I1222" s="14">
        <f>'PIVOT TABLES'!$B$26</f>
        <v>60.283999999999999</v>
      </c>
      <c r="J1222" s="14">
        <f>'PIVOT TABLES'!$B$27-'PIVOT TABLES'!$B$26</f>
        <v>30.142000000000003</v>
      </c>
      <c r="K1222" s="14">
        <f>'PIVOT TABLES'!$B$28-'PIVOT TABLES'!$B$27</f>
        <v>30.141999999999996</v>
      </c>
      <c r="L1222" s="14">
        <f>200-SUM(Table3[[#This Row],[D - LIGHT]:[D - VIGOROUS]])</f>
        <v>79.432000000000002</v>
      </c>
      <c r="M1222" s="14">
        <f>'PIVOT TABLES'!$I$26</f>
        <v>65.603999999999999</v>
      </c>
      <c r="N1222" s="14">
        <f>'PIVOT TABLES'!$I$27-'PIVOT TABLES'!$I$26</f>
        <v>32.802000000000007</v>
      </c>
      <c r="O1222" s="14">
        <f>'PIVOT TABLES'!$I$28-'PIVOT TABLES'!$I$27</f>
        <v>32.801999999999992</v>
      </c>
      <c r="P1222" s="14">
        <f>200-SUM(Table3[[#This Row],[M - LIGHT]:[M - VIGOROUS]])</f>
        <v>68.792000000000002</v>
      </c>
      <c r="Q1222" s="14">
        <f>'PIVOT TABLES'!$P$26</f>
        <v>62.64</v>
      </c>
      <c r="R1222" s="14">
        <f>'PIVOT TABLES'!$P$27-'PIVOT TABLES'!$P$26</f>
        <v>31.320000000000007</v>
      </c>
      <c r="S1222" s="14">
        <f>'PIVOT TABLES'!$P$28-'PIVOT TABLES'!$P$27</f>
        <v>31.319999999999993</v>
      </c>
      <c r="T1222" s="14">
        <f>200-SUM(Table3[[#This Row],[W - LIGHT]:[W - VIGOROUS]])</f>
        <v>74.72</v>
      </c>
      <c r="U1222" s="14">
        <f>'PIVOT TABLES'!$W$26</f>
        <v>55.895999999999994</v>
      </c>
      <c r="V1222" s="14">
        <f>'PIVOT TABLES'!$W$27-'PIVOT TABLES'!$W$26</f>
        <v>27.948</v>
      </c>
      <c r="W1222" s="14">
        <f>'PIVOT TABLES'!$W$28-'PIVOT TABLES'!$W$27</f>
        <v>27.947999999999993</v>
      </c>
      <c r="X1222" s="14">
        <f>200-SUM(Table3[[#This Row],[S - LIGHT]:[S - VIGOROUS]])</f>
        <v>88.208000000000013</v>
      </c>
    </row>
    <row r="1223" spans="1:24" x14ac:dyDescent="0.25">
      <c r="A1223" s="44" t="s">
        <v>4</v>
      </c>
      <c r="B1223" s="13" t="str">
        <f t="shared" si="19"/>
        <v>Midfielder</v>
      </c>
      <c r="C1223" s="7">
        <v>45371.398935185185</v>
      </c>
      <c r="D1223" s="14">
        <v>12231</v>
      </c>
      <c r="E1223" s="14">
        <v>119</v>
      </c>
      <c r="F1223" s="14">
        <v>27</v>
      </c>
      <c r="G1223" s="14">
        <v>35</v>
      </c>
      <c r="H1223" s="14">
        <v>127.66</v>
      </c>
      <c r="I1223" s="14">
        <f>'PIVOT TABLES'!$B$26</f>
        <v>60.283999999999999</v>
      </c>
      <c r="J1223" s="14">
        <f>'PIVOT TABLES'!$B$27-'PIVOT TABLES'!$B$26</f>
        <v>30.142000000000003</v>
      </c>
      <c r="K1223" s="14">
        <f>'PIVOT TABLES'!$B$28-'PIVOT TABLES'!$B$27</f>
        <v>30.141999999999996</v>
      </c>
      <c r="L1223" s="14">
        <f>200-SUM(Table3[[#This Row],[D - LIGHT]:[D - VIGOROUS]])</f>
        <v>79.432000000000002</v>
      </c>
      <c r="M1223" s="14">
        <f>'PIVOT TABLES'!$I$26</f>
        <v>65.603999999999999</v>
      </c>
      <c r="N1223" s="14">
        <f>'PIVOT TABLES'!$I$27-'PIVOT TABLES'!$I$26</f>
        <v>32.802000000000007</v>
      </c>
      <c r="O1223" s="14">
        <f>'PIVOT TABLES'!$I$28-'PIVOT TABLES'!$I$27</f>
        <v>32.801999999999992</v>
      </c>
      <c r="P1223" s="14">
        <f>200-SUM(Table3[[#This Row],[M - LIGHT]:[M - VIGOROUS]])</f>
        <v>68.792000000000002</v>
      </c>
      <c r="Q1223" s="14">
        <f>'PIVOT TABLES'!$P$26</f>
        <v>62.64</v>
      </c>
      <c r="R1223" s="14">
        <f>'PIVOT TABLES'!$P$27-'PIVOT TABLES'!$P$26</f>
        <v>31.320000000000007</v>
      </c>
      <c r="S1223" s="14">
        <f>'PIVOT TABLES'!$P$28-'PIVOT TABLES'!$P$27</f>
        <v>31.319999999999993</v>
      </c>
      <c r="T1223" s="14">
        <f>200-SUM(Table3[[#This Row],[W - LIGHT]:[W - VIGOROUS]])</f>
        <v>74.72</v>
      </c>
      <c r="U1223" s="14">
        <f>'PIVOT TABLES'!$W$26</f>
        <v>55.895999999999994</v>
      </c>
      <c r="V1223" s="14">
        <f>'PIVOT TABLES'!$W$27-'PIVOT TABLES'!$W$26</f>
        <v>27.948</v>
      </c>
      <c r="W1223" s="14">
        <f>'PIVOT TABLES'!$W$28-'PIVOT TABLES'!$W$27</f>
        <v>27.947999999999993</v>
      </c>
      <c r="X1223" s="14">
        <f>200-SUM(Table3[[#This Row],[S - LIGHT]:[S - VIGOROUS]])</f>
        <v>88.208000000000013</v>
      </c>
    </row>
    <row r="1224" spans="1:24" x14ac:dyDescent="0.25">
      <c r="A1224" s="44" t="s">
        <v>60</v>
      </c>
      <c r="B1224" s="13" t="str">
        <f t="shared" si="19"/>
        <v>Winger</v>
      </c>
      <c r="C1224" s="7">
        <v>45371.398935185185</v>
      </c>
      <c r="D1224" s="14">
        <v>12069</v>
      </c>
      <c r="E1224" s="14">
        <v>354</v>
      </c>
      <c r="F1224" s="14">
        <v>39</v>
      </c>
      <c r="G1224" s="14">
        <v>35</v>
      </c>
      <c r="H1224" s="14">
        <v>133.57</v>
      </c>
      <c r="I1224" s="14">
        <f>'PIVOT TABLES'!$B$26</f>
        <v>60.283999999999999</v>
      </c>
      <c r="J1224" s="14">
        <f>'PIVOT TABLES'!$B$27-'PIVOT TABLES'!$B$26</f>
        <v>30.142000000000003</v>
      </c>
      <c r="K1224" s="14">
        <f>'PIVOT TABLES'!$B$28-'PIVOT TABLES'!$B$27</f>
        <v>30.141999999999996</v>
      </c>
      <c r="L1224" s="14">
        <f>200-SUM(Table3[[#This Row],[D - LIGHT]:[D - VIGOROUS]])</f>
        <v>79.432000000000002</v>
      </c>
      <c r="M1224" s="14">
        <f>'PIVOT TABLES'!$I$26</f>
        <v>65.603999999999999</v>
      </c>
      <c r="N1224" s="14">
        <f>'PIVOT TABLES'!$I$27-'PIVOT TABLES'!$I$26</f>
        <v>32.802000000000007</v>
      </c>
      <c r="O1224" s="14">
        <f>'PIVOT TABLES'!$I$28-'PIVOT TABLES'!$I$27</f>
        <v>32.801999999999992</v>
      </c>
      <c r="P1224" s="14">
        <f>200-SUM(Table3[[#This Row],[M - LIGHT]:[M - VIGOROUS]])</f>
        <v>68.792000000000002</v>
      </c>
      <c r="Q1224" s="14">
        <f>'PIVOT TABLES'!$P$26</f>
        <v>62.64</v>
      </c>
      <c r="R1224" s="14">
        <f>'PIVOT TABLES'!$P$27-'PIVOT TABLES'!$P$26</f>
        <v>31.320000000000007</v>
      </c>
      <c r="S1224" s="14">
        <f>'PIVOT TABLES'!$P$28-'PIVOT TABLES'!$P$27</f>
        <v>31.319999999999993</v>
      </c>
      <c r="T1224" s="14">
        <f>200-SUM(Table3[[#This Row],[W - LIGHT]:[W - VIGOROUS]])</f>
        <v>74.72</v>
      </c>
      <c r="U1224" s="14">
        <f>'PIVOT TABLES'!$W$26</f>
        <v>55.895999999999994</v>
      </c>
      <c r="V1224" s="14">
        <f>'PIVOT TABLES'!$W$27-'PIVOT TABLES'!$W$26</f>
        <v>27.948</v>
      </c>
      <c r="W1224" s="14">
        <f>'PIVOT TABLES'!$W$28-'PIVOT TABLES'!$W$27</f>
        <v>27.947999999999993</v>
      </c>
      <c r="X1224" s="14">
        <f>200-SUM(Table3[[#This Row],[S - LIGHT]:[S - VIGOROUS]])</f>
        <v>88.208000000000013</v>
      </c>
    </row>
    <row r="1225" spans="1:24" x14ac:dyDescent="0.25">
      <c r="A1225" s="44" t="s">
        <v>71</v>
      </c>
      <c r="B1225" s="13" t="str">
        <f t="shared" si="19"/>
        <v>Midfielder</v>
      </c>
      <c r="C1225" s="7">
        <v>45371.398935185185</v>
      </c>
      <c r="D1225" s="14">
        <v>5858</v>
      </c>
      <c r="E1225" s="14">
        <v>2</v>
      </c>
      <c r="F1225" s="14">
        <v>15</v>
      </c>
      <c r="G1225" s="14">
        <v>12</v>
      </c>
      <c r="H1225" s="14">
        <v>59.48</v>
      </c>
      <c r="I1225" s="14">
        <f>'PIVOT TABLES'!$B$26</f>
        <v>60.283999999999999</v>
      </c>
      <c r="J1225" s="14">
        <f>'PIVOT TABLES'!$B$27-'PIVOT TABLES'!$B$26</f>
        <v>30.142000000000003</v>
      </c>
      <c r="K1225" s="14">
        <f>'PIVOT TABLES'!$B$28-'PIVOT TABLES'!$B$27</f>
        <v>30.141999999999996</v>
      </c>
      <c r="L1225" s="14">
        <f>200-SUM(Table3[[#This Row],[D - LIGHT]:[D - VIGOROUS]])</f>
        <v>79.432000000000002</v>
      </c>
      <c r="M1225" s="14">
        <f>'PIVOT TABLES'!$I$26</f>
        <v>65.603999999999999</v>
      </c>
      <c r="N1225" s="14">
        <f>'PIVOT TABLES'!$I$27-'PIVOT TABLES'!$I$26</f>
        <v>32.802000000000007</v>
      </c>
      <c r="O1225" s="14">
        <f>'PIVOT TABLES'!$I$28-'PIVOT TABLES'!$I$27</f>
        <v>32.801999999999992</v>
      </c>
      <c r="P1225" s="14">
        <f>200-SUM(Table3[[#This Row],[M - LIGHT]:[M - VIGOROUS]])</f>
        <v>68.792000000000002</v>
      </c>
      <c r="Q1225" s="14">
        <f>'PIVOT TABLES'!$P$26</f>
        <v>62.64</v>
      </c>
      <c r="R1225" s="14">
        <f>'PIVOT TABLES'!$P$27-'PIVOT TABLES'!$P$26</f>
        <v>31.320000000000007</v>
      </c>
      <c r="S1225" s="14">
        <f>'PIVOT TABLES'!$P$28-'PIVOT TABLES'!$P$27</f>
        <v>31.319999999999993</v>
      </c>
      <c r="T1225" s="14">
        <f>200-SUM(Table3[[#This Row],[W - LIGHT]:[W - VIGOROUS]])</f>
        <v>74.72</v>
      </c>
      <c r="U1225" s="14">
        <f>'PIVOT TABLES'!$W$26</f>
        <v>55.895999999999994</v>
      </c>
      <c r="V1225" s="14">
        <f>'PIVOT TABLES'!$W$27-'PIVOT TABLES'!$W$26</f>
        <v>27.948</v>
      </c>
      <c r="W1225" s="14">
        <f>'PIVOT TABLES'!$W$28-'PIVOT TABLES'!$W$27</f>
        <v>27.947999999999993</v>
      </c>
      <c r="X1225" s="14">
        <f>200-SUM(Table3[[#This Row],[S - LIGHT]:[S - VIGOROUS]])</f>
        <v>88.208000000000013</v>
      </c>
    </row>
    <row r="1226" spans="1:24" x14ac:dyDescent="0.25">
      <c r="A1226" s="44" t="s">
        <v>5</v>
      </c>
      <c r="B1226" s="13" t="str">
        <f t="shared" si="19"/>
        <v>Midfielder</v>
      </c>
      <c r="C1226" s="7">
        <v>45371.398935185185</v>
      </c>
      <c r="D1226" s="14">
        <v>9133</v>
      </c>
      <c r="E1226" s="14">
        <v>69</v>
      </c>
      <c r="F1226" s="14">
        <v>20</v>
      </c>
      <c r="G1226" s="14">
        <v>22</v>
      </c>
      <c r="H1226" s="14">
        <v>94.64</v>
      </c>
      <c r="I1226" s="14">
        <f>'PIVOT TABLES'!$B$26</f>
        <v>60.283999999999999</v>
      </c>
      <c r="J1226" s="14">
        <f>'PIVOT TABLES'!$B$27-'PIVOT TABLES'!$B$26</f>
        <v>30.142000000000003</v>
      </c>
      <c r="K1226" s="14">
        <f>'PIVOT TABLES'!$B$28-'PIVOT TABLES'!$B$27</f>
        <v>30.141999999999996</v>
      </c>
      <c r="L1226" s="14">
        <f>200-SUM(Table3[[#This Row],[D - LIGHT]:[D - VIGOROUS]])</f>
        <v>79.432000000000002</v>
      </c>
      <c r="M1226" s="14">
        <f>'PIVOT TABLES'!$I$26</f>
        <v>65.603999999999999</v>
      </c>
      <c r="N1226" s="14">
        <f>'PIVOT TABLES'!$I$27-'PIVOT TABLES'!$I$26</f>
        <v>32.802000000000007</v>
      </c>
      <c r="O1226" s="14">
        <f>'PIVOT TABLES'!$I$28-'PIVOT TABLES'!$I$27</f>
        <v>32.801999999999992</v>
      </c>
      <c r="P1226" s="14">
        <f>200-SUM(Table3[[#This Row],[M - LIGHT]:[M - VIGOROUS]])</f>
        <v>68.792000000000002</v>
      </c>
      <c r="Q1226" s="14">
        <f>'PIVOT TABLES'!$P$26</f>
        <v>62.64</v>
      </c>
      <c r="R1226" s="14">
        <f>'PIVOT TABLES'!$P$27-'PIVOT TABLES'!$P$26</f>
        <v>31.320000000000007</v>
      </c>
      <c r="S1226" s="14">
        <f>'PIVOT TABLES'!$P$28-'PIVOT TABLES'!$P$27</f>
        <v>31.319999999999993</v>
      </c>
      <c r="T1226" s="14">
        <f>200-SUM(Table3[[#This Row],[W - LIGHT]:[W - VIGOROUS]])</f>
        <v>74.72</v>
      </c>
      <c r="U1226" s="14">
        <f>'PIVOT TABLES'!$W$26</f>
        <v>55.895999999999994</v>
      </c>
      <c r="V1226" s="14">
        <f>'PIVOT TABLES'!$W$27-'PIVOT TABLES'!$W$26</f>
        <v>27.948</v>
      </c>
      <c r="W1226" s="14">
        <f>'PIVOT TABLES'!$W$28-'PIVOT TABLES'!$W$27</f>
        <v>27.947999999999993</v>
      </c>
      <c r="X1226" s="14">
        <f>200-SUM(Table3[[#This Row],[S - LIGHT]:[S - VIGOROUS]])</f>
        <v>88.208000000000013</v>
      </c>
    </row>
    <row r="1227" spans="1:24" x14ac:dyDescent="0.25">
      <c r="A1227" s="44" t="s">
        <v>6</v>
      </c>
      <c r="B1227" s="13" t="str">
        <f t="shared" si="19"/>
        <v>Midfielder</v>
      </c>
      <c r="C1227" s="7">
        <v>45371.398935185185</v>
      </c>
      <c r="D1227" s="14">
        <v>10434</v>
      </c>
      <c r="E1227" s="14">
        <v>133</v>
      </c>
      <c r="F1227" s="14">
        <v>25</v>
      </c>
      <c r="G1227" s="14">
        <v>28</v>
      </c>
      <c r="H1227" s="14">
        <v>109.89</v>
      </c>
      <c r="I1227" s="14">
        <f>'PIVOT TABLES'!$B$26</f>
        <v>60.283999999999999</v>
      </c>
      <c r="J1227" s="14">
        <f>'PIVOT TABLES'!$B$27-'PIVOT TABLES'!$B$26</f>
        <v>30.142000000000003</v>
      </c>
      <c r="K1227" s="14">
        <f>'PIVOT TABLES'!$B$28-'PIVOT TABLES'!$B$27</f>
        <v>30.141999999999996</v>
      </c>
      <c r="L1227" s="14">
        <f>200-SUM(Table3[[#This Row],[D - LIGHT]:[D - VIGOROUS]])</f>
        <v>79.432000000000002</v>
      </c>
      <c r="M1227" s="14">
        <f>'PIVOT TABLES'!$I$26</f>
        <v>65.603999999999999</v>
      </c>
      <c r="N1227" s="14">
        <f>'PIVOT TABLES'!$I$27-'PIVOT TABLES'!$I$26</f>
        <v>32.802000000000007</v>
      </c>
      <c r="O1227" s="14">
        <f>'PIVOT TABLES'!$I$28-'PIVOT TABLES'!$I$27</f>
        <v>32.801999999999992</v>
      </c>
      <c r="P1227" s="14">
        <f>200-SUM(Table3[[#This Row],[M - LIGHT]:[M - VIGOROUS]])</f>
        <v>68.792000000000002</v>
      </c>
      <c r="Q1227" s="14">
        <f>'PIVOT TABLES'!$P$26</f>
        <v>62.64</v>
      </c>
      <c r="R1227" s="14">
        <f>'PIVOT TABLES'!$P$27-'PIVOT TABLES'!$P$26</f>
        <v>31.320000000000007</v>
      </c>
      <c r="S1227" s="14">
        <f>'PIVOT TABLES'!$P$28-'PIVOT TABLES'!$P$27</f>
        <v>31.319999999999993</v>
      </c>
      <c r="T1227" s="14">
        <f>200-SUM(Table3[[#This Row],[W - LIGHT]:[W - VIGOROUS]])</f>
        <v>74.72</v>
      </c>
      <c r="U1227" s="14">
        <f>'PIVOT TABLES'!$W$26</f>
        <v>55.895999999999994</v>
      </c>
      <c r="V1227" s="14">
        <f>'PIVOT TABLES'!$W$27-'PIVOT TABLES'!$W$26</f>
        <v>27.948</v>
      </c>
      <c r="W1227" s="14">
        <f>'PIVOT TABLES'!$W$28-'PIVOT TABLES'!$W$27</f>
        <v>27.947999999999993</v>
      </c>
      <c r="X1227" s="14">
        <f>200-SUM(Table3[[#This Row],[S - LIGHT]:[S - VIGOROUS]])</f>
        <v>88.208000000000013</v>
      </c>
    </row>
    <row r="1228" spans="1:24" x14ac:dyDescent="0.25">
      <c r="A1228" s="44" t="s">
        <v>62</v>
      </c>
      <c r="B1228" s="13" t="str">
        <f t="shared" si="19"/>
        <v>Midfielder</v>
      </c>
      <c r="C1228" s="7">
        <v>45371.398935185185</v>
      </c>
      <c r="D1228" s="14">
        <v>13118</v>
      </c>
      <c r="E1228" s="14">
        <v>62</v>
      </c>
      <c r="F1228" s="14">
        <v>39</v>
      </c>
      <c r="G1228" s="14">
        <v>32</v>
      </c>
      <c r="H1228" s="14">
        <v>135.24</v>
      </c>
      <c r="I1228" s="14">
        <f>'PIVOT TABLES'!$B$26</f>
        <v>60.283999999999999</v>
      </c>
      <c r="J1228" s="14">
        <f>'PIVOT TABLES'!$B$27-'PIVOT TABLES'!$B$26</f>
        <v>30.142000000000003</v>
      </c>
      <c r="K1228" s="14">
        <f>'PIVOT TABLES'!$B$28-'PIVOT TABLES'!$B$27</f>
        <v>30.141999999999996</v>
      </c>
      <c r="L1228" s="14">
        <f>200-SUM(Table3[[#This Row],[D - LIGHT]:[D - VIGOROUS]])</f>
        <v>79.432000000000002</v>
      </c>
      <c r="M1228" s="14">
        <f>'PIVOT TABLES'!$I$26</f>
        <v>65.603999999999999</v>
      </c>
      <c r="N1228" s="14">
        <f>'PIVOT TABLES'!$I$27-'PIVOT TABLES'!$I$26</f>
        <v>32.802000000000007</v>
      </c>
      <c r="O1228" s="14">
        <f>'PIVOT TABLES'!$I$28-'PIVOT TABLES'!$I$27</f>
        <v>32.801999999999992</v>
      </c>
      <c r="P1228" s="14">
        <f>200-SUM(Table3[[#This Row],[M - LIGHT]:[M - VIGOROUS]])</f>
        <v>68.792000000000002</v>
      </c>
      <c r="Q1228" s="14">
        <f>'PIVOT TABLES'!$P$26</f>
        <v>62.64</v>
      </c>
      <c r="R1228" s="14">
        <f>'PIVOT TABLES'!$P$27-'PIVOT TABLES'!$P$26</f>
        <v>31.320000000000007</v>
      </c>
      <c r="S1228" s="14">
        <f>'PIVOT TABLES'!$P$28-'PIVOT TABLES'!$P$27</f>
        <v>31.319999999999993</v>
      </c>
      <c r="T1228" s="14">
        <f>200-SUM(Table3[[#This Row],[W - LIGHT]:[W - VIGOROUS]])</f>
        <v>74.72</v>
      </c>
      <c r="U1228" s="14">
        <f>'PIVOT TABLES'!$W$26</f>
        <v>55.895999999999994</v>
      </c>
      <c r="V1228" s="14">
        <f>'PIVOT TABLES'!$W$27-'PIVOT TABLES'!$W$26</f>
        <v>27.948</v>
      </c>
      <c r="W1228" s="14">
        <f>'PIVOT TABLES'!$W$28-'PIVOT TABLES'!$W$27</f>
        <v>27.947999999999993</v>
      </c>
      <c r="X1228" s="14">
        <f>200-SUM(Table3[[#This Row],[S - LIGHT]:[S - VIGOROUS]])</f>
        <v>88.208000000000013</v>
      </c>
    </row>
    <row r="1229" spans="1:24" x14ac:dyDescent="0.25">
      <c r="A1229" s="44" t="s">
        <v>64</v>
      </c>
      <c r="B1229" s="13" t="str">
        <f t="shared" si="19"/>
        <v>Midfielder</v>
      </c>
      <c r="C1229" s="7">
        <v>45371.398935185185</v>
      </c>
      <c r="D1229" s="14">
        <v>5170</v>
      </c>
      <c r="E1229" s="14">
        <v>4</v>
      </c>
      <c r="F1229" s="14">
        <v>6</v>
      </c>
      <c r="G1229" s="14">
        <v>17</v>
      </c>
      <c r="H1229" s="14">
        <v>52.4</v>
      </c>
      <c r="I1229" s="14">
        <f>'PIVOT TABLES'!$B$26</f>
        <v>60.283999999999999</v>
      </c>
      <c r="J1229" s="14">
        <f>'PIVOT TABLES'!$B$27-'PIVOT TABLES'!$B$26</f>
        <v>30.142000000000003</v>
      </c>
      <c r="K1229" s="14">
        <f>'PIVOT TABLES'!$B$28-'PIVOT TABLES'!$B$27</f>
        <v>30.141999999999996</v>
      </c>
      <c r="L1229" s="14">
        <f>200-SUM(Table3[[#This Row],[D - LIGHT]:[D - VIGOROUS]])</f>
        <v>79.432000000000002</v>
      </c>
      <c r="M1229" s="14">
        <f>'PIVOT TABLES'!$I$26</f>
        <v>65.603999999999999</v>
      </c>
      <c r="N1229" s="14">
        <f>'PIVOT TABLES'!$I$27-'PIVOT TABLES'!$I$26</f>
        <v>32.802000000000007</v>
      </c>
      <c r="O1229" s="14">
        <f>'PIVOT TABLES'!$I$28-'PIVOT TABLES'!$I$27</f>
        <v>32.801999999999992</v>
      </c>
      <c r="P1229" s="14">
        <f>200-SUM(Table3[[#This Row],[M - LIGHT]:[M - VIGOROUS]])</f>
        <v>68.792000000000002</v>
      </c>
      <c r="Q1229" s="14">
        <f>'PIVOT TABLES'!$P$26</f>
        <v>62.64</v>
      </c>
      <c r="R1229" s="14">
        <f>'PIVOT TABLES'!$P$27-'PIVOT TABLES'!$P$26</f>
        <v>31.320000000000007</v>
      </c>
      <c r="S1229" s="14">
        <f>'PIVOT TABLES'!$P$28-'PIVOT TABLES'!$P$27</f>
        <v>31.319999999999993</v>
      </c>
      <c r="T1229" s="14">
        <f>200-SUM(Table3[[#This Row],[W - LIGHT]:[W - VIGOROUS]])</f>
        <v>74.72</v>
      </c>
      <c r="U1229" s="14">
        <f>'PIVOT TABLES'!$W$26</f>
        <v>55.895999999999994</v>
      </c>
      <c r="V1229" s="14">
        <f>'PIVOT TABLES'!$W$27-'PIVOT TABLES'!$W$26</f>
        <v>27.948</v>
      </c>
      <c r="W1229" s="14">
        <f>'PIVOT TABLES'!$W$28-'PIVOT TABLES'!$W$27</f>
        <v>27.947999999999993</v>
      </c>
      <c r="X1229" s="14">
        <f>200-SUM(Table3[[#This Row],[S - LIGHT]:[S - VIGOROUS]])</f>
        <v>88.208000000000013</v>
      </c>
    </row>
    <row r="1230" spans="1:24" x14ac:dyDescent="0.25">
      <c r="A1230" s="44" t="s">
        <v>65</v>
      </c>
      <c r="B1230" s="13" t="str">
        <f t="shared" si="19"/>
        <v>Winger</v>
      </c>
      <c r="C1230" s="7">
        <v>45371.398935185185</v>
      </c>
      <c r="D1230" s="14">
        <v>4912</v>
      </c>
      <c r="E1230" s="14">
        <v>0</v>
      </c>
      <c r="F1230" s="14">
        <v>14</v>
      </c>
      <c r="G1230" s="14">
        <v>15</v>
      </c>
      <c r="H1230" s="14">
        <v>49.98</v>
      </c>
      <c r="I1230" s="14">
        <f>'PIVOT TABLES'!$B$26</f>
        <v>60.283999999999999</v>
      </c>
      <c r="J1230" s="14">
        <f>'PIVOT TABLES'!$B$27-'PIVOT TABLES'!$B$26</f>
        <v>30.142000000000003</v>
      </c>
      <c r="K1230" s="14">
        <f>'PIVOT TABLES'!$B$28-'PIVOT TABLES'!$B$27</f>
        <v>30.141999999999996</v>
      </c>
      <c r="L1230" s="14">
        <f>200-SUM(Table3[[#This Row],[D - LIGHT]:[D - VIGOROUS]])</f>
        <v>79.432000000000002</v>
      </c>
      <c r="M1230" s="14">
        <f>'PIVOT TABLES'!$I$26</f>
        <v>65.603999999999999</v>
      </c>
      <c r="N1230" s="14">
        <f>'PIVOT TABLES'!$I$27-'PIVOT TABLES'!$I$26</f>
        <v>32.802000000000007</v>
      </c>
      <c r="O1230" s="14">
        <f>'PIVOT TABLES'!$I$28-'PIVOT TABLES'!$I$27</f>
        <v>32.801999999999992</v>
      </c>
      <c r="P1230" s="14">
        <f>200-SUM(Table3[[#This Row],[M - LIGHT]:[M - VIGOROUS]])</f>
        <v>68.792000000000002</v>
      </c>
      <c r="Q1230" s="14">
        <f>'PIVOT TABLES'!$P$26</f>
        <v>62.64</v>
      </c>
      <c r="R1230" s="14">
        <f>'PIVOT TABLES'!$P$27-'PIVOT TABLES'!$P$26</f>
        <v>31.320000000000007</v>
      </c>
      <c r="S1230" s="14">
        <f>'PIVOT TABLES'!$P$28-'PIVOT TABLES'!$P$27</f>
        <v>31.319999999999993</v>
      </c>
      <c r="T1230" s="14">
        <f>200-SUM(Table3[[#This Row],[W - LIGHT]:[W - VIGOROUS]])</f>
        <v>74.72</v>
      </c>
      <c r="U1230" s="14">
        <f>'PIVOT TABLES'!$W$26</f>
        <v>55.895999999999994</v>
      </c>
      <c r="V1230" s="14">
        <f>'PIVOT TABLES'!$W$27-'PIVOT TABLES'!$W$26</f>
        <v>27.948</v>
      </c>
      <c r="W1230" s="14">
        <f>'PIVOT TABLES'!$W$28-'PIVOT TABLES'!$W$27</f>
        <v>27.947999999999993</v>
      </c>
      <c r="X1230" s="14">
        <f>200-SUM(Table3[[#This Row],[S - LIGHT]:[S - VIGOROUS]])</f>
        <v>88.208000000000013</v>
      </c>
    </row>
    <row r="1231" spans="1:24" x14ac:dyDescent="0.25">
      <c r="A1231" s="44" t="s">
        <v>78</v>
      </c>
      <c r="B1231" s="13" t="str">
        <f t="shared" si="19"/>
        <v>Defender</v>
      </c>
      <c r="C1231" s="7">
        <v>45371.398935185185</v>
      </c>
      <c r="D1231" s="14">
        <v>12564</v>
      </c>
      <c r="E1231" s="14">
        <v>72</v>
      </c>
      <c r="F1231" s="14">
        <v>24</v>
      </c>
      <c r="G1231" s="14">
        <v>21</v>
      </c>
      <c r="H1231" s="14">
        <v>129.18</v>
      </c>
      <c r="I1231" s="14">
        <f>'PIVOT TABLES'!$B$26</f>
        <v>60.283999999999999</v>
      </c>
      <c r="J1231" s="14">
        <f>'PIVOT TABLES'!$B$27-'PIVOT TABLES'!$B$26</f>
        <v>30.142000000000003</v>
      </c>
      <c r="K1231" s="14">
        <f>'PIVOT TABLES'!$B$28-'PIVOT TABLES'!$B$27</f>
        <v>30.141999999999996</v>
      </c>
      <c r="L1231" s="14">
        <f>200-SUM(Table3[[#This Row],[D - LIGHT]:[D - VIGOROUS]])</f>
        <v>79.432000000000002</v>
      </c>
      <c r="M1231" s="14">
        <f>'PIVOT TABLES'!$I$26</f>
        <v>65.603999999999999</v>
      </c>
      <c r="N1231" s="14">
        <f>'PIVOT TABLES'!$I$27-'PIVOT TABLES'!$I$26</f>
        <v>32.802000000000007</v>
      </c>
      <c r="O1231" s="14">
        <f>'PIVOT TABLES'!$I$28-'PIVOT TABLES'!$I$27</f>
        <v>32.801999999999992</v>
      </c>
      <c r="P1231" s="14">
        <f>200-SUM(Table3[[#This Row],[M - LIGHT]:[M - VIGOROUS]])</f>
        <v>68.792000000000002</v>
      </c>
      <c r="Q1231" s="14">
        <f>'PIVOT TABLES'!$P$26</f>
        <v>62.64</v>
      </c>
      <c r="R1231" s="14">
        <f>'PIVOT TABLES'!$P$27-'PIVOT TABLES'!$P$26</f>
        <v>31.320000000000007</v>
      </c>
      <c r="S1231" s="14">
        <f>'PIVOT TABLES'!$P$28-'PIVOT TABLES'!$P$27</f>
        <v>31.319999999999993</v>
      </c>
      <c r="T1231" s="14">
        <f>200-SUM(Table3[[#This Row],[W - LIGHT]:[W - VIGOROUS]])</f>
        <v>74.72</v>
      </c>
      <c r="U1231" s="14">
        <f>'PIVOT TABLES'!$W$26</f>
        <v>55.895999999999994</v>
      </c>
      <c r="V1231" s="14">
        <f>'PIVOT TABLES'!$W$27-'PIVOT TABLES'!$W$26</f>
        <v>27.948</v>
      </c>
      <c r="W1231" s="14">
        <f>'PIVOT TABLES'!$W$28-'PIVOT TABLES'!$W$27</f>
        <v>27.947999999999993</v>
      </c>
      <c r="X1231" s="14">
        <f>200-SUM(Table3[[#This Row],[S - LIGHT]:[S - VIGOROUS]])</f>
        <v>88.208000000000013</v>
      </c>
    </row>
    <row r="1232" spans="1:24" x14ac:dyDescent="0.25">
      <c r="A1232" s="44" t="s">
        <v>96</v>
      </c>
      <c r="B1232" s="13" t="str">
        <f t="shared" si="19"/>
        <v>Winger</v>
      </c>
      <c r="C1232" s="7">
        <v>45371.398935185185</v>
      </c>
      <c r="D1232" s="14">
        <v>7483</v>
      </c>
      <c r="E1232" s="14">
        <v>78</v>
      </c>
      <c r="F1232" s="14">
        <v>32</v>
      </c>
      <c r="G1232" s="14">
        <v>30</v>
      </c>
      <c r="H1232" s="14">
        <v>79.05</v>
      </c>
      <c r="I1232" s="14">
        <f>'PIVOT TABLES'!$B$26</f>
        <v>60.283999999999999</v>
      </c>
      <c r="J1232" s="14">
        <f>'PIVOT TABLES'!$B$27-'PIVOT TABLES'!$B$26</f>
        <v>30.142000000000003</v>
      </c>
      <c r="K1232" s="14">
        <f>'PIVOT TABLES'!$B$28-'PIVOT TABLES'!$B$27</f>
        <v>30.141999999999996</v>
      </c>
      <c r="L1232" s="14">
        <f>200-SUM(Table3[[#This Row],[D - LIGHT]:[D - VIGOROUS]])</f>
        <v>79.432000000000002</v>
      </c>
      <c r="M1232" s="14">
        <f>'PIVOT TABLES'!$I$26</f>
        <v>65.603999999999999</v>
      </c>
      <c r="N1232" s="14">
        <f>'PIVOT TABLES'!$I$27-'PIVOT TABLES'!$I$26</f>
        <v>32.802000000000007</v>
      </c>
      <c r="O1232" s="14">
        <f>'PIVOT TABLES'!$I$28-'PIVOT TABLES'!$I$27</f>
        <v>32.801999999999992</v>
      </c>
      <c r="P1232" s="14">
        <f>200-SUM(Table3[[#This Row],[M - LIGHT]:[M - VIGOROUS]])</f>
        <v>68.792000000000002</v>
      </c>
      <c r="Q1232" s="14">
        <f>'PIVOT TABLES'!$P$26</f>
        <v>62.64</v>
      </c>
      <c r="R1232" s="14">
        <f>'PIVOT TABLES'!$P$27-'PIVOT TABLES'!$P$26</f>
        <v>31.320000000000007</v>
      </c>
      <c r="S1232" s="14">
        <f>'PIVOT TABLES'!$P$28-'PIVOT TABLES'!$P$27</f>
        <v>31.319999999999993</v>
      </c>
      <c r="T1232" s="14">
        <f>200-SUM(Table3[[#This Row],[W - LIGHT]:[W - VIGOROUS]])</f>
        <v>74.72</v>
      </c>
      <c r="U1232" s="14">
        <f>'PIVOT TABLES'!$W$26</f>
        <v>55.895999999999994</v>
      </c>
      <c r="V1232" s="14">
        <f>'PIVOT TABLES'!$W$27-'PIVOT TABLES'!$W$26</f>
        <v>27.948</v>
      </c>
      <c r="W1232" s="14">
        <f>'PIVOT TABLES'!$W$28-'PIVOT TABLES'!$W$27</f>
        <v>27.947999999999993</v>
      </c>
      <c r="X1232" s="14">
        <f>200-SUM(Table3[[#This Row],[S - LIGHT]:[S - VIGOROUS]])</f>
        <v>88.208000000000013</v>
      </c>
    </row>
    <row r="1233" spans="1:24" x14ac:dyDescent="0.25">
      <c r="A1233" s="44" t="s">
        <v>8</v>
      </c>
      <c r="B1233" s="13" t="str">
        <f t="shared" si="19"/>
        <v>Striker</v>
      </c>
      <c r="C1233" s="7">
        <v>45371.398935185185</v>
      </c>
      <c r="D1233" s="14">
        <v>4332</v>
      </c>
      <c r="E1233" s="14">
        <v>14</v>
      </c>
      <c r="F1233" s="14">
        <v>15</v>
      </c>
      <c r="G1233" s="14">
        <v>25</v>
      </c>
      <c r="H1233" s="14">
        <v>44.84</v>
      </c>
      <c r="I1233" s="14">
        <f>'PIVOT TABLES'!$B$26</f>
        <v>60.283999999999999</v>
      </c>
      <c r="J1233" s="14">
        <f>'PIVOT TABLES'!$B$27-'PIVOT TABLES'!$B$26</f>
        <v>30.142000000000003</v>
      </c>
      <c r="K1233" s="14">
        <f>'PIVOT TABLES'!$B$28-'PIVOT TABLES'!$B$27</f>
        <v>30.141999999999996</v>
      </c>
      <c r="L1233" s="14">
        <f>200-SUM(Table3[[#This Row],[D - LIGHT]:[D - VIGOROUS]])</f>
        <v>79.432000000000002</v>
      </c>
      <c r="M1233" s="14">
        <f>'PIVOT TABLES'!$I$26</f>
        <v>65.603999999999999</v>
      </c>
      <c r="N1233" s="14">
        <f>'PIVOT TABLES'!$I$27-'PIVOT TABLES'!$I$26</f>
        <v>32.802000000000007</v>
      </c>
      <c r="O1233" s="14">
        <f>'PIVOT TABLES'!$I$28-'PIVOT TABLES'!$I$27</f>
        <v>32.801999999999992</v>
      </c>
      <c r="P1233" s="14">
        <f>200-SUM(Table3[[#This Row],[M - LIGHT]:[M - VIGOROUS]])</f>
        <v>68.792000000000002</v>
      </c>
      <c r="Q1233" s="14">
        <f>'PIVOT TABLES'!$P$26</f>
        <v>62.64</v>
      </c>
      <c r="R1233" s="14">
        <f>'PIVOT TABLES'!$P$27-'PIVOT TABLES'!$P$26</f>
        <v>31.320000000000007</v>
      </c>
      <c r="S1233" s="14">
        <f>'PIVOT TABLES'!$P$28-'PIVOT TABLES'!$P$27</f>
        <v>31.319999999999993</v>
      </c>
      <c r="T1233" s="14">
        <f>200-SUM(Table3[[#This Row],[W - LIGHT]:[W - VIGOROUS]])</f>
        <v>74.72</v>
      </c>
      <c r="U1233" s="14">
        <f>'PIVOT TABLES'!$W$26</f>
        <v>55.895999999999994</v>
      </c>
      <c r="V1233" s="14">
        <f>'PIVOT TABLES'!$W$27-'PIVOT TABLES'!$W$26</f>
        <v>27.948</v>
      </c>
      <c r="W1233" s="14">
        <f>'PIVOT TABLES'!$W$28-'PIVOT TABLES'!$W$27</f>
        <v>27.947999999999993</v>
      </c>
      <c r="X1233" s="14">
        <f>200-SUM(Table3[[#This Row],[S - LIGHT]:[S - VIGOROUS]])</f>
        <v>88.208000000000013</v>
      </c>
    </row>
    <row r="1234" spans="1:24" x14ac:dyDescent="0.25">
      <c r="A1234" s="44" t="s">
        <v>67</v>
      </c>
      <c r="B1234" s="13" t="str">
        <f t="shared" si="19"/>
        <v>Midfielder</v>
      </c>
      <c r="C1234" s="7">
        <v>45371.398935185185</v>
      </c>
      <c r="D1234" s="14">
        <v>15084</v>
      </c>
      <c r="E1234" s="14">
        <v>113</v>
      </c>
      <c r="F1234" s="14">
        <v>54</v>
      </c>
      <c r="G1234" s="14">
        <v>37</v>
      </c>
      <c r="H1234" s="14">
        <v>157.13</v>
      </c>
      <c r="I1234" s="14">
        <f>'PIVOT TABLES'!$B$26</f>
        <v>60.283999999999999</v>
      </c>
      <c r="J1234" s="14">
        <f>'PIVOT TABLES'!$B$27-'PIVOT TABLES'!$B$26</f>
        <v>30.142000000000003</v>
      </c>
      <c r="K1234" s="14">
        <f>'PIVOT TABLES'!$B$28-'PIVOT TABLES'!$B$27</f>
        <v>30.141999999999996</v>
      </c>
      <c r="L1234" s="14">
        <f>200-SUM(Table3[[#This Row],[D - LIGHT]:[D - VIGOROUS]])</f>
        <v>79.432000000000002</v>
      </c>
      <c r="M1234" s="14">
        <f>'PIVOT TABLES'!$I$26</f>
        <v>65.603999999999999</v>
      </c>
      <c r="N1234" s="14">
        <f>'PIVOT TABLES'!$I$27-'PIVOT TABLES'!$I$26</f>
        <v>32.802000000000007</v>
      </c>
      <c r="O1234" s="14">
        <f>'PIVOT TABLES'!$I$28-'PIVOT TABLES'!$I$27</f>
        <v>32.801999999999992</v>
      </c>
      <c r="P1234" s="14">
        <f>200-SUM(Table3[[#This Row],[M - LIGHT]:[M - VIGOROUS]])</f>
        <v>68.792000000000002</v>
      </c>
      <c r="Q1234" s="14">
        <f>'PIVOT TABLES'!$P$26</f>
        <v>62.64</v>
      </c>
      <c r="R1234" s="14">
        <f>'PIVOT TABLES'!$P$27-'PIVOT TABLES'!$P$26</f>
        <v>31.320000000000007</v>
      </c>
      <c r="S1234" s="14">
        <f>'PIVOT TABLES'!$P$28-'PIVOT TABLES'!$P$27</f>
        <v>31.319999999999993</v>
      </c>
      <c r="T1234" s="14">
        <f>200-SUM(Table3[[#This Row],[W - LIGHT]:[W - VIGOROUS]])</f>
        <v>74.72</v>
      </c>
      <c r="U1234" s="14">
        <f>'PIVOT TABLES'!$W$26</f>
        <v>55.895999999999994</v>
      </c>
      <c r="V1234" s="14">
        <f>'PIVOT TABLES'!$W$27-'PIVOT TABLES'!$W$26</f>
        <v>27.948</v>
      </c>
      <c r="W1234" s="14">
        <f>'PIVOT TABLES'!$W$28-'PIVOT TABLES'!$W$27</f>
        <v>27.947999999999993</v>
      </c>
      <c r="X1234" s="14">
        <f>200-SUM(Table3[[#This Row],[S - LIGHT]:[S - VIGOROUS]])</f>
        <v>88.208000000000013</v>
      </c>
    </row>
    <row r="1235" spans="1:24" x14ac:dyDescent="0.25">
      <c r="A1235" s="44" t="s">
        <v>9</v>
      </c>
      <c r="B1235" s="13" t="str">
        <f t="shared" si="19"/>
        <v>Striker</v>
      </c>
      <c r="C1235" s="7">
        <v>45371.398935185185</v>
      </c>
      <c r="D1235" s="14">
        <v>7936</v>
      </c>
      <c r="E1235" s="14">
        <v>128</v>
      </c>
      <c r="F1235" s="14">
        <v>26</v>
      </c>
      <c r="G1235" s="14">
        <v>26</v>
      </c>
      <c r="H1235" s="14">
        <v>84.76</v>
      </c>
      <c r="I1235" s="14">
        <f>'PIVOT TABLES'!$B$26</f>
        <v>60.283999999999999</v>
      </c>
      <c r="J1235" s="14">
        <f>'PIVOT TABLES'!$B$27-'PIVOT TABLES'!$B$26</f>
        <v>30.142000000000003</v>
      </c>
      <c r="K1235" s="14">
        <f>'PIVOT TABLES'!$B$28-'PIVOT TABLES'!$B$27</f>
        <v>30.141999999999996</v>
      </c>
      <c r="L1235" s="14">
        <f>200-SUM(Table3[[#This Row],[D - LIGHT]:[D - VIGOROUS]])</f>
        <v>79.432000000000002</v>
      </c>
      <c r="M1235" s="14">
        <f>'PIVOT TABLES'!$I$26</f>
        <v>65.603999999999999</v>
      </c>
      <c r="N1235" s="14">
        <f>'PIVOT TABLES'!$I$27-'PIVOT TABLES'!$I$26</f>
        <v>32.802000000000007</v>
      </c>
      <c r="O1235" s="14">
        <f>'PIVOT TABLES'!$I$28-'PIVOT TABLES'!$I$27</f>
        <v>32.801999999999992</v>
      </c>
      <c r="P1235" s="14">
        <f>200-SUM(Table3[[#This Row],[M - LIGHT]:[M - VIGOROUS]])</f>
        <v>68.792000000000002</v>
      </c>
      <c r="Q1235" s="14">
        <f>'PIVOT TABLES'!$P$26</f>
        <v>62.64</v>
      </c>
      <c r="R1235" s="14">
        <f>'PIVOT TABLES'!$P$27-'PIVOT TABLES'!$P$26</f>
        <v>31.320000000000007</v>
      </c>
      <c r="S1235" s="14">
        <f>'PIVOT TABLES'!$P$28-'PIVOT TABLES'!$P$27</f>
        <v>31.319999999999993</v>
      </c>
      <c r="T1235" s="14">
        <f>200-SUM(Table3[[#This Row],[W - LIGHT]:[W - VIGOROUS]])</f>
        <v>74.72</v>
      </c>
      <c r="U1235" s="14">
        <f>'PIVOT TABLES'!$W$26</f>
        <v>55.895999999999994</v>
      </c>
      <c r="V1235" s="14">
        <f>'PIVOT TABLES'!$W$27-'PIVOT TABLES'!$W$26</f>
        <v>27.948</v>
      </c>
      <c r="W1235" s="14">
        <f>'PIVOT TABLES'!$W$28-'PIVOT TABLES'!$W$27</f>
        <v>27.947999999999993</v>
      </c>
      <c r="X1235" s="14">
        <f>200-SUM(Table3[[#This Row],[S - LIGHT]:[S - VIGOROUS]])</f>
        <v>88.208000000000013</v>
      </c>
    </row>
    <row r="1236" spans="1:24" x14ac:dyDescent="0.25">
      <c r="A1236" s="44" t="s">
        <v>69</v>
      </c>
      <c r="B1236" s="13" t="str">
        <f t="shared" si="19"/>
        <v>Midfielder</v>
      </c>
      <c r="C1236" s="7">
        <v>45371.398935185185</v>
      </c>
      <c r="D1236" s="14">
        <v>9412</v>
      </c>
      <c r="E1236" s="14">
        <v>82</v>
      </c>
      <c r="F1236" s="14">
        <v>27</v>
      </c>
      <c r="G1236" s="14">
        <v>27</v>
      </c>
      <c r="H1236" s="14">
        <v>98.2</v>
      </c>
      <c r="I1236" s="14">
        <f>'PIVOT TABLES'!$B$26</f>
        <v>60.283999999999999</v>
      </c>
      <c r="J1236" s="14">
        <f>'PIVOT TABLES'!$B$27-'PIVOT TABLES'!$B$26</f>
        <v>30.142000000000003</v>
      </c>
      <c r="K1236" s="14">
        <f>'PIVOT TABLES'!$B$28-'PIVOT TABLES'!$B$27</f>
        <v>30.141999999999996</v>
      </c>
      <c r="L1236" s="14">
        <f>200-SUM(Table3[[#This Row],[D - LIGHT]:[D - VIGOROUS]])</f>
        <v>79.432000000000002</v>
      </c>
      <c r="M1236" s="14">
        <f>'PIVOT TABLES'!$I$26</f>
        <v>65.603999999999999</v>
      </c>
      <c r="N1236" s="14">
        <f>'PIVOT TABLES'!$I$27-'PIVOT TABLES'!$I$26</f>
        <v>32.802000000000007</v>
      </c>
      <c r="O1236" s="14">
        <f>'PIVOT TABLES'!$I$28-'PIVOT TABLES'!$I$27</f>
        <v>32.801999999999992</v>
      </c>
      <c r="P1236" s="14">
        <f>200-SUM(Table3[[#This Row],[M - LIGHT]:[M - VIGOROUS]])</f>
        <v>68.792000000000002</v>
      </c>
      <c r="Q1236" s="14">
        <f>'PIVOT TABLES'!$P$26</f>
        <v>62.64</v>
      </c>
      <c r="R1236" s="14">
        <f>'PIVOT TABLES'!$P$27-'PIVOT TABLES'!$P$26</f>
        <v>31.320000000000007</v>
      </c>
      <c r="S1236" s="14">
        <f>'PIVOT TABLES'!$P$28-'PIVOT TABLES'!$P$27</f>
        <v>31.319999999999993</v>
      </c>
      <c r="T1236" s="14">
        <f>200-SUM(Table3[[#This Row],[W - LIGHT]:[W - VIGOROUS]])</f>
        <v>74.72</v>
      </c>
      <c r="U1236" s="14">
        <f>'PIVOT TABLES'!$W$26</f>
        <v>55.895999999999994</v>
      </c>
      <c r="V1236" s="14">
        <f>'PIVOT TABLES'!$W$27-'PIVOT TABLES'!$W$26</f>
        <v>27.948</v>
      </c>
      <c r="W1236" s="14">
        <f>'PIVOT TABLES'!$W$28-'PIVOT TABLES'!$W$27</f>
        <v>27.947999999999993</v>
      </c>
      <c r="X1236" s="14">
        <f>200-SUM(Table3[[#This Row],[S - LIGHT]:[S - VIGOROUS]])</f>
        <v>88.208000000000013</v>
      </c>
    </row>
    <row r="1237" spans="1:24" x14ac:dyDescent="0.25">
      <c r="A1237" s="44" t="s">
        <v>70</v>
      </c>
      <c r="B1237" s="13" t="str">
        <f t="shared" si="19"/>
        <v>Winger</v>
      </c>
      <c r="C1237" s="7">
        <v>45373.414456018516</v>
      </c>
      <c r="D1237" s="14">
        <v>6515</v>
      </c>
      <c r="E1237" s="14">
        <v>17</v>
      </c>
      <c r="F1237" s="14">
        <v>13</v>
      </c>
      <c r="G1237" s="14">
        <v>6</v>
      </c>
      <c r="H1237" s="14">
        <v>66.3</v>
      </c>
      <c r="I1237" s="14">
        <f>'PIVOT TABLES'!$B$26</f>
        <v>60.283999999999999</v>
      </c>
      <c r="J1237" s="14">
        <f>'PIVOT TABLES'!$B$27-'PIVOT TABLES'!$B$26</f>
        <v>30.142000000000003</v>
      </c>
      <c r="K1237" s="14">
        <f>'PIVOT TABLES'!$B$28-'PIVOT TABLES'!$B$27</f>
        <v>30.141999999999996</v>
      </c>
      <c r="L1237" s="14">
        <f>200-SUM(Table3[[#This Row],[D - LIGHT]:[D - VIGOROUS]])</f>
        <v>79.432000000000002</v>
      </c>
      <c r="M1237" s="14">
        <f>'PIVOT TABLES'!$I$26</f>
        <v>65.603999999999999</v>
      </c>
      <c r="N1237" s="14">
        <f>'PIVOT TABLES'!$I$27-'PIVOT TABLES'!$I$26</f>
        <v>32.802000000000007</v>
      </c>
      <c r="O1237" s="14">
        <f>'PIVOT TABLES'!$I$28-'PIVOT TABLES'!$I$27</f>
        <v>32.801999999999992</v>
      </c>
      <c r="P1237" s="14">
        <f>200-SUM(Table3[[#This Row],[M - LIGHT]:[M - VIGOROUS]])</f>
        <v>68.792000000000002</v>
      </c>
      <c r="Q1237" s="14">
        <f>'PIVOT TABLES'!$P$26</f>
        <v>62.64</v>
      </c>
      <c r="R1237" s="14">
        <f>'PIVOT TABLES'!$P$27-'PIVOT TABLES'!$P$26</f>
        <v>31.320000000000007</v>
      </c>
      <c r="S1237" s="14">
        <f>'PIVOT TABLES'!$P$28-'PIVOT TABLES'!$P$27</f>
        <v>31.319999999999993</v>
      </c>
      <c r="T1237" s="14">
        <f>200-SUM(Table3[[#This Row],[W - LIGHT]:[W - VIGOROUS]])</f>
        <v>74.72</v>
      </c>
      <c r="U1237" s="14">
        <f>'PIVOT TABLES'!$W$26</f>
        <v>55.895999999999994</v>
      </c>
      <c r="V1237" s="14">
        <f>'PIVOT TABLES'!$W$27-'PIVOT TABLES'!$W$26</f>
        <v>27.948</v>
      </c>
      <c r="W1237" s="14">
        <f>'PIVOT TABLES'!$W$28-'PIVOT TABLES'!$W$27</f>
        <v>27.947999999999993</v>
      </c>
      <c r="X1237" s="14">
        <f>200-SUM(Table3[[#This Row],[S - LIGHT]:[S - VIGOROUS]])</f>
        <v>88.208000000000013</v>
      </c>
    </row>
    <row r="1238" spans="1:24" x14ac:dyDescent="0.25">
      <c r="A1238" s="44" t="s">
        <v>53</v>
      </c>
      <c r="B1238" s="13" t="str">
        <f t="shared" si="19"/>
        <v>Midfielder</v>
      </c>
      <c r="C1238" s="7">
        <v>45373.414456018516</v>
      </c>
      <c r="D1238" s="14">
        <v>6283</v>
      </c>
      <c r="E1238" s="14">
        <v>3</v>
      </c>
      <c r="F1238" s="14">
        <v>16</v>
      </c>
      <c r="G1238" s="14">
        <v>17</v>
      </c>
      <c r="H1238" s="14">
        <v>63.9</v>
      </c>
      <c r="I1238" s="14">
        <f>'PIVOT TABLES'!$B$26</f>
        <v>60.283999999999999</v>
      </c>
      <c r="J1238" s="14">
        <f>'PIVOT TABLES'!$B$27-'PIVOT TABLES'!$B$26</f>
        <v>30.142000000000003</v>
      </c>
      <c r="K1238" s="14">
        <f>'PIVOT TABLES'!$B$28-'PIVOT TABLES'!$B$27</f>
        <v>30.141999999999996</v>
      </c>
      <c r="L1238" s="14">
        <f>200-SUM(Table3[[#This Row],[D - LIGHT]:[D - VIGOROUS]])</f>
        <v>79.432000000000002</v>
      </c>
      <c r="M1238" s="14">
        <f>'PIVOT TABLES'!$I$26</f>
        <v>65.603999999999999</v>
      </c>
      <c r="N1238" s="14">
        <f>'PIVOT TABLES'!$I$27-'PIVOT TABLES'!$I$26</f>
        <v>32.802000000000007</v>
      </c>
      <c r="O1238" s="14">
        <f>'PIVOT TABLES'!$I$28-'PIVOT TABLES'!$I$27</f>
        <v>32.801999999999992</v>
      </c>
      <c r="P1238" s="14">
        <f>200-SUM(Table3[[#This Row],[M - LIGHT]:[M - VIGOROUS]])</f>
        <v>68.792000000000002</v>
      </c>
      <c r="Q1238" s="14">
        <f>'PIVOT TABLES'!$P$26</f>
        <v>62.64</v>
      </c>
      <c r="R1238" s="14">
        <f>'PIVOT TABLES'!$P$27-'PIVOT TABLES'!$P$26</f>
        <v>31.320000000000007</v>
      </c>
      <c r="S1238" s="14">
        <f>'PIVOT TABLES'!$P$28-'PIVOT TABLES'!$P$27</f>
        <v>31.319999999999993</v>
      </c>
      <c r="T1238" s="14">
        <f>200-SUM(Table3[[#This Row],[W - LIGHT]:[W - VIGOROUS]])</f>
        <v>74.72</v>
      </c>
      <c r="U1238" s="14">
        <f>'PIVOT TABLES'!$W$26</f>
        <v>55.895999999999994</v>
      </c>
      <c r="V1238" s="14">
        <f>'PIVOT TABLES'!$W$27-'PIVOT TABLES'!$W$26</f>
        <v>27.948</v>
      </c>
      <c r="W1238" s="14">
        <f>'PIVOT TABLES'!$W$28-'PIVOT TABLES'!$W$27</f>
        <v>27.947999999999993</v>
      </c>
      <c r="X1238" s="14">
        <f>200-SUM(Table3[[#This Row],[S - LIGHT]:[S - VIGOROUS]])</f>
        <v>88.208000000000013</v>
      </c>
    </row>
    <row r="1239" spans="1:24" x14ac:dyDescent="0.25">
      <c r="A1239" s="44" t="s">
        <v>55</v>
      </c>
      <c r="B1239" s="13" t="str">
        <f t="shared" si="19"/>
        <v>Striker</v>
      </c>
      <c r="C1239" s="7">
        <v>45373.414456018516</v>
      </c>
      <c r="D1239" s="14">
        <v>7056</v>
      </c>
      <c r="E1239" s="14">
        <v>11</v>
      </c>
      <c r="F1239" s="14">
        <v>17</v>
      </c>
      <c r="G1239" s="14">
        <v>26</v>
      </c>
      <c r="H1239" s="14">
        <v>72.09</v>
      </c>
      <c r="I1239" s="14">
        <f>'PIVOT TABLES'!$B$26</f>
        <v>60.283999999999999</v>
      </c>
      <c r="J1239" s="14">
        <f>'PIVOT TABLES'!$B$27-'PIVOT TABLES'!$B$26</f>
        <v>30.142000000000003</v>
      </c>
      <c r="K1239" s="14">
        <f>'PIVOT TABLES'!$B$28-'PIVOT TABLES'!$B$27</f>
        <v>30.141999999999996</v>
      </c>
      <c r="L1239" s="14">
        <f>200-SUM(Table3[[#This Row],[D - LIGHT]:[D - VIGOROUS]])</f>
        <v>79.432000000000002</v>
      </c>
      <c r="M1239" s="14">
        <f>'PIVOT TABLES'!$I$26</f>
        <v>65.603999999999999</v>
      </c>
      <c r="N1239" s="14">
        <f>'PIVOT TABLES'!$I$27-'PIVOT TABLES'!$I$26</f>
        <v>32.802000000000007</v>
      </c>
      <c r="O1239" s="14">
        <f>'PIVOT TABLES'!$I$28-'PIVOT TABLES'!$I$27</f>
        <v>32.801999999999992</v>
      </c>
      <c r="P1239" s="14">
        <f>200-SUM(Table3[[#This Row],[M - LIGHT]:[M - VIGOROUS]])</f>
        <v>68.792000000000002</v>
      </c>
      <c r="Q1239" s="14">
        <f>'PIVOT TABLES'!$P$26</f>
        <v>62.64</v>
      </c>
      <c r="R1239" s="14">
        <f>'PIVOT TABLES'!$P$27-'PIVOT TABLES'!$P$26</f>
        <v>31.320000000000007</v>
      </c>
      <c r="S1239" s="14">
        <f>'PIVOT TABLES'!$P$28-'PIVOT TABLES'!$P$27</f>
        <v>31.319999999999993</v>
      </c>
      <c r="T1239" s="14">
        <f>200-SUM(Table3[[#This Row],[W - LIGHT]:[W - VIGOROUS]])</f>
        <v>74.72</v>
      </c>
      <c r="U1239" s="14">
        <f>'PIVOT TABLES'!$W$26</f>
        <v>55.895999999999994</v>
      </c>
      <c r="V1239" s="14">
        <f>'PIVOT TABLES'!$W$27-'PIVOT TABLES'!$W$26</f>
        <v>27.948</v>
      </c>
      <c r="W1239" s="14">
        <f>'PIVOT TABLES'!$W$28-'PIVOT TABLES'!$W$27</f>
        <v>27.947999999999993</v>
      </c>
      <c r="X1239" s="14">
        <f>200-SUM(Table3[[#This Row],[S - LIGHT]:[S - VIGOROUS]])</f>
        <v>88.208000000000013</v>
      </c>
    </row>
    <row r="1240" spans="1:24" x14ac:dyDescent="0.25">
      <c r="A1240" s="44" t="s">
        <v>1</v>
      </c>
      <c r="B1240" s="13" t="str">
        <f t="shared" si="19"/>
        <v>Defender</v>
      </c>
      <c r="C1240" s="7">
        <v>45373.414456018516</v>
      </c>
      <c r="D1240" s="14">
        <v>5807</v>
      </c>
      <c r="E1240" s="14">
        <v>19</v>
      </c>
      <c r="F1240" s="14">
        <v>17</v>
      </c>
      <c r="G1240" s="14">
        <v>14</v>
      </c>
      <c r="H1240" s="14">
        <v>59.6</v>
      </c>
      <c r="I1240" s="14">
        <f>'PIVOT TABLES'!$B$26</f>
        <v>60.283999999999999</v>
      </c>
      <c r="J1240" s="14">
        <f>'PIVOT TABLES'!$B$27-'PIVOT TABLES'!$B$26</f>
        <v>30.142000000000003</v>
      </c>
      <c r="K1240" s="14">
        <f>'PIVOT TABLES'!$B$28-'PIVOT TABLES'!$B$27</f>
        <v>30.141999999999996</v>
      </c>
      <c r="L1240" s="14">
        <f>200-SUM(Table3[[#This Row],[D - LIGHT]:[D - VIGOROUS]])</f>
        <v>79.432000000000002</v>
      </c>
      <c r="M1240" s="14">
        <f>'PIVOT TABLES'!$I$26</f>
        <v>65.603999999999999</v>
      </c>
      <c r="N1240" s="14">
        <f>'PIVOT TABLES'!$I$27-'PIVOT TABLES'!$I$26</f>
        <v>32.802000000000007</v>
      </c>
      <c r="O1240" s="14">
        <f>'PIVOT TABLES'!$I$28-'PIVOT TABLES'!$I$27</f>
        <v>32.801999999999992</v>
      </c>
      <c r="P1240" s="14">
        <f>200-SUM(Table3[[#This Row],[M - LIGHT]:[M - VIGOROUS]])</f>
        <v>68.792000000000002</v>
      </c>
      <c r="Q1240" s="14">
        <f>'PIVOT TABLES'!$P$26</f>
        <v>62.64</v>
      </c>
      <c r="R1240" s="14">
        <f>'PIVOT TABLES'!$P$27-'PIVOT TABLES'!$P$26</f>
        <v>31.320000000000007</v>
      </c>
      <c r="S1240" s="14">
        <f>'PIVOT TABLES'!$P$28-'PIVOT TABLES'!$P$27</f>
        <v>31.319999999999993</v>
      </c>
      <c r="T1240" s="14">
        <f>200-SUM(Table3[[#This Row],[W - LIGHT]:[W - VIGOROUS]])</f>
        <v>74.72</v>
      </c>
      <c r="U1240" s="14">
        <f>'PIVOT TABLES'!$W$26</f>
        <v>55.895999999999994</v>
      </c>
      <c r="V1240" s="14">
        <f>'PIVOT TABLES'!$W$27-'PIVOT TABLES'!$W$26</f>
        <v>27.948</v>
      </c>
      <c r="W1240" s="14">
        <f>'PIVOT TABLES'!$W$28-'PIVOT TABLES'!$W$27</f>
        <v>27.947999999999993</v>
      </c>
      <c r="X1240" s="14">
        <f>200-SUM(Table3[[#This Row],[S - LIGHT]:[S - VIGOROUS]])</f>
        <v>88.208000000000013</v>
      </c>
    </row>
    <row r="1241" spans="1:24" x14ac:dyDescent="0.25">
      <c r="A1241" s="44" t="s">
        <v>56</v>
      </c>
      <c r="B1241" s="13" t="str">
        <f t="shared" si="19"/>
        <v>Midfielder</v>
      </c>
      <c r="C1241" s="7">
        <v>45373.414456018516</v>
      </c>
      <c r="D1241" s="14">
        <v>7348</v>
      </c>
      <c r="E1241" s="14">
        <v>6</v>
      </c>
      <c r="F1241" s="14">
        <v>13</v>
      </c>
      <c r="G1241" s="14">
        <v>17</v>
      </c>
      <c r="H1241" s="14">
        <v>74.52</v>
      </c>
      <c r="I1241" s="14">
        <f>'PIVOT TABLES'!$B$26</f>
        <v>60.283999999999999</v>
      </c>
      <c r="J1241" s="14">
        <f>'PIVOT TABLES'!$B$27-'PIVOT TABLES'!$B$26</f>
        <v>30.142000000000003</v>
      </c>
      <c r="K1241" s="14">
        <f>'PIVOT TABLES'!$B$28-'PIVOT TABLES'!$B$27</f>
        <v>30.141999999999996</v>
      </c>
      <c r="L1241" s="14">
        <f>200-SUM(Table3[[#This Row],[D - LIGHT]:[D - VIGOROUS]])</f>
        <v>79.432000000000002</v>
      </c>
      <c r="M1241" s="14">
        <f>'PIVOT TABLES'!$I$26</f>
        <v>65.603999999999999</v>
      </c>
      <c r="N1241" s="14">
        <f>'PIVOT TABLES'!$I$27-'PIVOT TABLES'!$I$26</f>
        <v>32.802000000000007</v>
      </c>
      <c r="O1241" s="14">
        <f>'PIVOT TABLES'!$I$28-'PIVOT TABLES'!$I$27</f>
        <v>32.801999999999992</v>
      </c>
      <c r="P1241" s="14">
        <f>200-SUM(Table3[[#This Row],[M - LIGHT]:[M - VIGOROUS]])</f>
        <v>68.792000000000002</v>
      </c>
      <c r="Q1241" s="14">
        <f>'PIVOT TABLES'!$P$26</f>
        <v>62.64</v>
      </c>
      <c r="R1241" s="14">
        <f>'PIVOT TABLES'!$P$27-'PIVOT TABLES'!$P$26</f>
        <v>31.320000000000007</v>
      </c>
      <c r="S1241" s="14">
        <f>'PIVOT TABLES'!$P$28-'PIVOT TABLES'!$P$27</f>
        <v>31.319999999999993</v>
      </c>
      <c r="T1241" s="14">
        <f>200-SUM(Table3[[#This Row],[W - LIGHT]:[W - VIGOROUS]])</f>
        <v>74.72</v>
      </c>
      <c r="U1241" s="14">
        <f>'PIVOT TABLES'!$W$26</f>
        <v>55.895999999999994</v>
      </c>
      <c r="V1241" s="14">
        <f>'PIVOT TABLES'!$W$27-'PIVOT TABLES'!$W$26</f>
        <v>27.948</v>
      </c>
      <c r="W1241" s="14">
        <f>'PIVOT TABLES'!$W$28-'PIVOT TABLES'!$W$27</f>
        <v>27.947999999999993</v>
      </c>
      <c r="X1241" s="14">
        <f>200-SUM(Table3[[#This Row],[S - LIGHT]:[S - VIGOROUS]])</f>
        <v>88.208000000000013</v>
      </c>
    </row>
    <row r="1242" spans="1:24" x14ac:dyDescent="0.25">
      <c r="A1242" s="44" t="s">
        <v>58</v>
      </c>
      <c r="B1242" s="13" t="str">
        <f t="shared" si="19"/>
        <v>Defender</v>
      </c>
      <c r="C1242" s="7">
        <v>45373.414456018516</v>
      </c>
      <c r="D1242" s="14">
        <v>6378</v>
      </c>
      <c r="E1242" s="14">
        <v>37</v>
      </c>
      <c r="F1242" s="14">
        <v>25</v>
      </c>
      <c r="G1242" s="14">
        <v>22</v>
      </c>
      <c r="H1242" s="14">
        <v>66.33</v>
      </c>
      <c r="I1242" s="14">
        <f>'PIVOT TABLES'!$B$26</f>
        <v>60.283999999999999</v>
      </c>
      <c r="J1242" s="14">
        <f>'PIVOT TABLES'!$B$27-'PIVOT TABLES'!$B$26</f>
        <v>30.142000000000003</v>
      </c>
      <c r="K1242" s="14">
        <f>'PIVOT TABLES'!$B$28-'PIVOT TABLES'!$B$27</f>
        <v>30.141999999999996</v>
      </c>
      <c r="L1242" s="14">
        <f>200-SUM(Table3[[#This Row],[D - LIGHT]:[D - VIGOROUS]])</f>
        <v>79.432000000000002</v>
      </c>
      <c r="M1242" s="14">
        <f>'PIVOT TABLES'!$I$26</f>
        <v>65.603999999999999</v>
      </c>
      <c r="N1242" s="14">
        <f>'PIVOT TABLES'!$I$27-'PIVOT TABLES'!$I$26</f>
        <v>32.802000000000007</v>
      </c>
      <c r="O1242" s="14">
        <f>'PIVOT TABLES'!$I$28-'PIVOT TABLES'!$I$27</f>
        <v>32.801999999999992</v>
      </c>
      <c r="P1242" s="14">
        <f>200-SUM(Table3[[#This Row],[M - LIGHT]:[M - VIGOROUS]])</f>
        <v>68.792000000000002</v>
      </c>
      <c r="Q1242" s="14">
        <f>'PIVOT TABLES'!$P$26</f>
        <v>62.64</v>
      </c>
      <c r="R1242" s="14">
        <f>'PIVOT TABLES'!$P$27-'PIVOT TABLES'!$P$26</f>
        <v>31.320000000000007</v>
      </c>
      <c r="S1242" s="14">
        <f>'PIVOT TABLES'!$P$28-'PIVOT TABLES'!$P$27</f>
        <v>31.319999999999993</v>
      </c>
      <c r="T1242" s="14">
        <f>200-SUM(Table3[[#This Row],[W - LIGHT]:[W - VIGOROUS]])</f>
        <v>74.72</v>
      </c>
      <c r="U1242" s="14">
        <f>'PIVOT TABLES'!$W$26</f>
        <v>55.895999999999994</v>
      </c>
      <c r="V1242" s="14">
        <f>'PIVOT TABLES'!$W$27-'PIVOT TABLES'!$W$26</f>
        <v>27.948</v>
      </c>
      <c r="W1242" s="14">
        <f>'PIVOT TABLES'!$W$28-'PIVOT TABLES'!$W$27</f>
        <v>27.947999999999993</v>
      </c>
      <c r="X1242" s="14">
        <f>200-SUM(Table3[[#This Row],[S - LIGHT]:[S - VIGOROUS]])</f>
        <v>88.208000000000013</v>
      </c>
    </row>
    <row r="1243" spans="1:24" x14ac:dyDescent="0.25">
      <c r="A1243" s="44" t="s">
        <v>94</v>
      </c>
      <c r="B1243" s="13" t="str">
        <f t="shared" si="19"/>
        <v>Defender</v>
      </c>
      <c r="C1243" s="7">
        <v>45373.414456018516</v>
      </c>
      <c r="D1243" s="14">
        <v>6351</v>
      </c>
      <c r="E1243" s="14">
        <v>33</v>
      </c>
      <c r="F1243" s="14">
        <v>15</v>
      </c>
      <c r="G1243" s="14">
        <v>21</v>
      </c>
      <c r="H1243" s="14">
        <v>65.52</v>
      </c>
      <c r="I1243" s="14">
        <f>'PIVOT TABLES'!$B$26</f>
        <v>60.283999999999999</v>
      </c>
      <c r="J1243" s="14">
        <f>'PIVOT TABLES'!$B$27-'PIVOT TABLES'!$B$26</f>
        <v>30.142000000000003</v>
      </c>
      <c r="K1243" s="14">
        <f>'PIVOT TABLES'!$B$28-'PIVOT TABLES'!$B$27</f>
        <v>30.141999999999996</v>
      </c>
      <c r="L1243" s="14">
        <f>200-SUM(Table3[[#This Row],[D - LIGHT]:[D - VIGOROUS]])</f>
        <v>79.432000000000002</v>
      </c>
      <c r="M1243" s="14">
        <f>'PIVOT TABLES'!$I$26</f>
        <v>65.603999999999999</v>
      </c>
      <c r="N1243" s="14">
        <f>'PIVOT TABLES'!$I$27-'PIVOT TABLES'!$I$26</f>
        <v>32.802000000000007</v>
      </c>
      <c r="O1243" s="14">
        <f>'PIVOT TABLES'!$I$28-'PIVOT TABLES'!$I$27</f>
        <v>32.801999999999992</v>
      </c>
      <c r="P1243" s="14">
        <f>200-SUM(Table3[[#This Row],[M - LIGHT]:[M - VIGOROUS]])</f>
        <v>68.792000000000002</v>
      </c>
      <c r="Q1243" s="14">
        <f>'PIVOT TABLES'!$P$26</f>
        <v>62.64</v>
      </c>
      <c r="R1243" s="14">
        <f>'PIVOT TABLES'!$P$27-'PIVOT TABLES'!$P$26</f>
        <v>31.320000000000007</v>
      </c>
      <c r="S1243" s="14">
        <f>'PIVOT TABLES'!$P$28-'PIVOT TABLES'!$P$27</f>
        <v>31.319999999999993</v>
      </c>
      <c r="T1243" s="14">
        <f>200-SUM(Table3[[#This Row],[W - LIGHT]:[W - VIGOROUS]])</f>
        <v>74.72</v>
      </c>
      <c r="U1243" s="14">
        <f>'PIVOT TABLES'!$W$26</f>
        <v>55.895999999999994</v>
      </c>
      <c r="V1243" s="14">
        <f>'PIVOT TABLES'!$W$27-'PIVOT TABLES'!$W$26</f>
        <v>27.948</v>
      </c>
      <c r="W1243" s="14">
        <f>'PIVOT TABLES'!$W$28-'PIVOT TABLES'!$W$27</f>
        <v>27.947999999999993</v>
      </c>
      <c r="X1243" s="14">
        <f>200-SUM(Table3[[#This Row],[S - LIGHT]:[S - VIGOROUS]])</f>
        <v>88.208000000000013</v>
      </c>
    </row>
    <row r="1244" spans="1:24" x14ac:dyDescent="0.25">
      <c r="A1244" s="44" t="s">
        <v>3</v>
      </c>
      <c r="B1244" s="13" t="str">
        <f t="shared" si="19"/>
        <v>Defender</v>
      </c>
      <c r="C1244" s="7">
        <v>45373.414456018516</v>
      </c>
      <c r="D1244" s="14">
        <v>5799</v>
      </c>
      <c r="E1244" s="14">
        <v>66</v>
      </c>
      <c r="F1244" s="14">
        <v>13</v>
      </c>
      <c r="G1244" s="14">
        <v>19</v>
      </c>
      <c r="H1244" s="14">
        <v>60.87</v>
      </c>
      <c r="I1244" s="14">
        <f>'PIVOT TABLES'!$B$26</f>
        <v>60.283999999999999</v>
      </c>
      <c r="J1244" s="14">
        <f>'PIVOT TABLES'!$B$27-'PIVOT TABLES'!$B$26</f>
        <v>30.142000000000003</v>
      </c>
      <c r="K1244" s="14">
        <f>'PIVOT TABLES'!$B$28-'PIVOT TABLES'!$B$27</f>
        <v>30.141999999999996</v>
      </c>
      <c r="L1244" s="14">
        <f>200-SUM(Table3[[#This Row],[D - LIGHT]:[D - VIGOROUS]])</f>
        <v>79.432000000000002</v>
      </c>
      <c r="M1244" s="14">
        <f>'PIVOT TABLES'!$I$26</f>
        <v>65.603999999999999</v>
      </c>
      <c r="N1244" s="14">
        <f>'PIVOT TABLES'!$I$27-'PIVOT TABLES'!$I$26</f>
        <v>32.802000000000007</v>
      </c>
      <c r="O1244" s="14">
        <f>'PIVOT TABLES'!$I$28-'PIVOT TABLES'!$I$27</f>
        <v>32.801999999999992</v>
      </c>
      <c r="P1244" s="14">
        <f>200-SUM(Table3[[#This Row],[M - LIGHT]:[M - VIGOROUS]])</f>
        <v>68.792000000000002</v>
      </c>
      <c r="Q1244" s="14">
        <f>'PIVOT TABLES'!$P$26</f>
        <v>62.64</v>
      </c>
      <c r="R1244" s="14">
        <f>'PIVOT TABLES'!$P$27-'PIVOT TABLES'!$P$26</f>
        <v>31.320000000000007</v>
      </c>
      <c r="S1244" s="14">
        <f>'PIVOT TABLES'!$P$28-'PIVOT TABLES'!$P$27</f>
        <v>31.319999999999993</v>
      </c>
      <c r="T1244" s="14">
        <f>200-SUM(Table3[[#This Row],[W - LIGHT]:[W - VIGOROUS]])</f>
        <v>74.72</v>
      </c>
      <c r="U1244" s="14">
        <f>'PIVOT TABLES'!$W$26</f>
        <v>55.895999999999994</v>
      </c>
      <c r="V1244" s="14">
        <f>'PIVOT TABLES'!$W$27-'PIVOT TABLES'!$W$26</f>
        <v>27.948</v>
      </c>
      <c r="W1244" s="14">
        <f>'PIVOT TABLES'!$W$28-'PIVOT TABLES'!$W$27</f>
        <v>27.947999999999993</v>
      </c>
      <c r="X1244" s="14">
        <f>200-SUM(Table3[[#This Row],[S - LIGHT]:[S - VIGOROUS]])</f>
        <v>88.208000000000013</v>
      </c>
    </row>
    <row r="1245" spans="1:24" x14ac:dyDescent="0.25">
      <c r="A1245" s="44" t="s">
        <v>59</v>
      </c>
      <c r="B1245" s="13" t="str">
        <f t="shared" si="19"/>
        <v>Striker</v>
      </c>
      <c r="C1245" s="7">
        <v>45373.414456018516</v>
      </c>
      <c r="D1245" s="14">
        <v>6300</v>
      </c>
      <c r="E1245" s="14">
        <v>19</v>
      </c>
      <c r="F1245" s="14">
        <v>28</v>
      </c>
      <c r="G1245" s="14">
        <v>25</v>
      </c>
      <c r="H1245" s="14">
        <v>65.19</v>
      </c>
      <c r="I1245" s="14">
        <f>'PIVOT TABLES'!$B$26</f>
        <v>60.283999999999999</v>
      </c>
      <c r="J1245" s="14">
        <f>'PIVOT TABLES'!$B$27-'PIVOT TABLES'!$B$26</f>
        <v>30.142000000000003</v>
      </c>
      <c r="K1245" s="14">
        <f>'PIVOT TABLES'!$B$28-'PIVOT TABLES'!$B$27</f>
        <v>30.141999999999996</v>
      </c>
      <c r="L1245" s="14">
        <f>200-SUM(Table3[[#This Row],[D - LIGHT]:[D - VIGOROUS]])</f>
        <v>79.432000000000002</v>
      </c>
      <c r="M1245" s="14">
        <f>'PIVOT TABLES'!$I$26</f>
        <v>65.603999999999999</v>
      </c>
      <c r="N1245" s="14">
        <f>'PIVOT TABLES'!$I$27-'PIVOT TABLES'!$I$26</f>
        <v>32.802000000000007</v>
      </c>
      <c r="O1245" s="14">
        <f>'PIVOT TABLES'!$I$28-'PIVOT TABLES'!$I$27</f>
        <v>32.801999999999992</v>
      </c>
      <c r="P1245" s="14">
        <f>200-SUM(Table3[[#This Row],[M - LIGHT]:[M - VIGOROUS]])</f>
        <v>68.792000000000002</v>
      </c>
      <c r="Q1245" s="14">
        <f>'PIVOT TABLES'!$P$26</f>
        <v>62.64</v>
      </c>
      <c r="R1245" s="14">
        <f>'PIVOT TABLES'!$P$27-'PIVOT TABLES'!$P$26</f>
        <v>31.320000000000007</v>
      </c>
      <c r="S1245" s="14">
        <f>'PIVOT TABLES'!$P$28-'PIVOT TABLES'!$P$27</f>
        <v>31.319999999999993</v>
      </c>
      <c r="T1245" s="14">
        <f>200-SUM(Table3[[#This Row],[W - LIGHT]:[W - VIGOROUS]])</f>
        <v>74.72</v>
      </c>
      <c r="U1245" s="14">
        <f>'PIVOT TABLES'!$W$26</f>
        <v>55.895999999999994</v>
      </c>
      <c r="V1245" s="14">
        <f>'PIVOT TABLES'!$W$27-'PIVOT TABLES'!$W$26</f>
        <v>27.948</v>
      </c>
      <c r="W1245" s="14">
        <f>'PIVOT TABLES'!$W$28-'PIVOT TABLES'!$W$27</f>
        <v>27.947999999999993</v>
      </c>
      <c r="X1245" s="14">
        <f>200-SUM(Table3[[#This Row],[S - LIGHT]:[S - VIGOROUS]])</f>
        <v>88.208000000000013</v>
      </c>
    </row>
    <row r="1246" spans="1:24" x14ac:dyDescent="0.25">
      <c r="A1246" s="44" t="s">
        <v>4</v>
      </c>
      <c r="B1246" s="13" t="str">
        <f t="shared" si="19"/>
        <v>Midfielder</v>
      </c>
      <c r="C1246" s="7">
        <v>45373.414456018516</v>
      </c>
      <c r="D1246" s="14">
        <v>6370</v>
      </c>
      <c r="E1246" s="14">
        <v>33</v>
      </c>
      <c r="F1246" s="14">
        <v>10</v>
      </c>
      <c r="G1246" s="14">
        <v>12</v>
      </c>
      <c r="H1246" s="14">
        <v>65.33</v>
      </c>
      <c r="I1246" s="14">
        <f>'PIVOT TABLES'!$B$26</f>
        <v>60.283999999999999</v>
      </c>
      <c r="J1246" s="14">
        <f>'PIVOT TABLES'!$B$27-'PIVOT TABLES'!$B$26</f>
        <v>30.142000000000003</v>
      </c>
      <c r="K1246" s="14">
        <f>'PIVOT TABLES'!$B$28-'PIVOT TABLES'!$B$27</f>
        <v>30.141999999999996</v>
      </c>
      <c r="L1246" s="14">
        <f>200-SUM(Table3[[#This Row],[D - LIGHT]:[D - VIGOROUS]])</f>
        <v>79.432000000000002</v>
      </c>
      <c r="M1246" s="14">
        <f>'PIVOT TABLES'!$I$26</f>
        <v>65.603999999999999</v>
      </c>
      <c r="N1246" s="14">
        <f>'PIVOT TABLES'!$I$27-'PIVOT TABLES'!$I$26</f>
        <v>32.802000000000007</v>
      </c>
      <c r="O1246" s="14">
        <f>'PIVOT TABLES'!$I$28-'PIVOT TABLES'!$I$27</f>
        <v>32.801999999999992</v>
      </c>
      <c r="P1246" s="14">
        <f>200-SUM(Table3[[#This Row],[M - LIGHT]:[M - VIGOROUS]])</f>
        <v>68.792000000000002</v>
      </c>
      <c r="Q1246" s="14">
        <f>'PIVOT TABLES'!$P$26</f>
        <v>62.64</v>
      </c>
      <c r="R1246" s="14">
        <f>'PIVOT TABLES'!$P$27-'PIVOT TABLES'!$P$26</f>
        <v>31.320000000000007</v>
      </c>
      <c r="S1246" s="14">
        <f>'PIVOT TABLES'!$P$28-'PIVOT TABLES'!$P$27</f>
        <v>31.319999999999993</v>
      </c>
      <c r="T1246" s="14">
        <f>200-SUM(Table3[[#This Row],[W - LIGHT]:[W - VIGOROUS]])</f>
        <v>74.72</v>
      </c>
      <c r="U1246" s="14">
        <f>'PIVOT TABLES'!$W$26</f>
        <v>55.895999999999994</v>
      </c>
      <c r="V1246" s="14">
        <f>'PIVOT TABLES'!$W$27-'PIVOT TABLES'!$W$26</f>
        <v>27.948</v>
      </c>
      <c r="W1246" s="14">
        <f>'PIVOT TABLES'!$W$28-'PIVOT TABLES'!$W$27</f>
        <v>27.947999999999993</v>
      </c>
      <c r="X1246" s="14">
        <f>200-SUM(Table3[[#This Row],[S - LIGHT]:[S - VIGOROUS]])</f>
        <v>88.208000000000013</v>
      </c>
    </row>
    <row r="1247" spans="1:24" x14ac:dyDescent="0.25">
      <c r="A1247" s="44" t="s">
        <v>60</v>
      </c>
      <c r="B1247" s="13" t="str">
        <f t="shared" si="19"/>
        <v>Winger</v>
      </c>
      <c r="C1247" s="7">
        <v>45373.414456018516</v>
      </c>
      <c r="D1247" s="14">
        <v>7364</v>
      </c>
      <c r="E1247" s="14">
        <v>53</v>
      </c>
      <c r="F1247" s="14">
        <v>26</v>
      </c>
      <c r="G1247" s="14">
        <v>27</v>
      </c>
      <c r="H1247" s="14">
        <v>76.81</v>
      </c>
      <c r="I1247" s="14">
        <f>'PIVOT TABLES'!$B$26</f>
        <v>60.283999999999999</v>
      </c>
      <c r="J1247" s="14">
        <f>'PIVOT TABLES'!$B$27-'PIVOT TABLES'!$B$26</f>
        <v>30.142000000000003</v>
      </c>
      <c r="K1247" s="14">
        <f>'PIVOT TABLES'!$B$28-'PIVOT TABLES'!$B$27</f>
        <v>30.141999999999996</v>
      </c>
      <c r="L1247" s="14">
        <f>200-SUM(Table3[[#This Row],[D - LIGHT]:[D - VIGOROUS]])</f>
        <v>79.432000000000002</v>
      </c>
      <c r="M1247" s="14">
        <f>'PIVOT TABLES'!$I$26</f>
        <v>65.603999999999999</v>
      </c>
      <c r="N1247" s="14">
        <f>'PIVOT TABLES'!$I$27-'PIVOT TABLES'!$I$26</f>
        <v>32.802000000000007</v>
      </c>
      <c r="O1247" s="14">
        <f>'PIVOT TABLES'!$I$28-'PIVOT TABLES'!$I$27</f>
        <v>32.801999999999992</v>
      </c>
      <c r="P1247" s="14">
        <f>200-SUM(Table3[[#This Row],[M - LIGHT]:[M - VIGOROUS]])</f>
        <v>68.792000000000002</v>
      </c>
      <c r="Q1247" s="14">
        <f>'PIVOT TABLES'!$P$26</f>
        <v>62.64</v>
      </c>
      <c r="R1247" s="14">
        <f>'PIVOT TABLES'!$P$27-'PIVOT TABLES'!$P$26</f>
        <v>31.320000000000007</v>
      </c>
      <c r="S1247" s="14">
        <f>'PIVOT TABLES'!$P$28-'PIVOT TABLES'!$P$27</f>
        <v>31.319999999999993</v>
      </c>
      <c r="T1247" s="14">
        <f>200-SUM(Table3[[#This Row],[W - LIGHT]:[W - VIGOROUS]])</f>
        <v>74.72</v>
      </c>
      <c r="U1247" s="14">
        <f>'PIVOT TABLES'!$W$26</f>
        <v>55.895999999999994</v>
      </c>
      <c r="V1247" s="14">
        <f>'PIVOT TABLES'!$W$27-'PIVOT TABLES'!$W$26</f>
        <v>27.948</v>
      </c>
      <c r="W1247" s="14">
        <f>'PIVOT TABLES'!$W$28-'PIVOT TABLES'!$W$27</f>
        <v>27.947999999999993</v>
      </c>
      <c r="X1247" s="14">
        <f>200-SUM(Table3[[#This Row],[S - LIGHT]:[S - VIGOROUS]])</f>
        <v>88.208000000000013</v>
      </c>
    </row>
    <row r="1248" spans="1:24" x14ac:dyDescent="0.25">
      <c r="A1248" s="44" t="s">
        <v>71</v>
      </c>
      <c r="B1248" s="13" t="str">
        <f t="shared" si="19"/>
        <v>Midfielder</v>
      </c>
      <c r="C1248" s="7">
        <v>45373.414456018516</v>
      </c>
      <c r="D1248" s="14">
        <v>7378</v>
      </c>
      <c r="E1248" s="14">
        <v>52</v>
      </c>
      <c r="F1248" s="14">
        <v>27</v>
      </c>
      <c r="G1248" s="14">
        <v>28</v>
      </c>
      <c r="H1248" s="14">
        <v>76.98</v>
      </c>
      <c r="I1248" s="14">
        <f>'PIVOT TABLES'!$B$26</f>
        <v>60.283999999999999</v>
      </c>
      <c r="J1248" s="14">
        <f>'PIVOT TABLES'!$B$27-'PIVOT TABLES'!$B$26</f>
        <v>30.142000000000003</v>
      </c>
      <c r="K1248" s="14">
        <f>'PIVOT TABLES'!$B$28-'PIVOT TABLES'!$B$27</f>
        <v>30.141999999999996</v>
      </c>
      <c r="L1248" s="14">
        <f>200-SUM(Table3[[#This Row],[D - LIGHT]:[D - VIGOROUS]])</f>
        <v>79.432000000000002</v>
      </c>
      <c r="M1248" s="14">
        <f>'PIVOT TABLES'!$I$26</f>
        <v>65.603999999999999</v>
      </c>
      <c r="N1248" s="14">
        <f>'PIVOT TABLES'!$I$27-'PIVOT TABLES'!$I$26</f>
        <v>32.802000000000007</v>
      </c>
      <c r="O1248" s="14">
        <f>'PIVOT TABLES'!$I$28-'PIVOT TABLES'!$I$27</f>
        <v>32.801999999999992</v>
      </c>
      <c r="P1248" s="14">
        <f>200-SUM(Table3[[#This Row],[M - LIGHT]:[M - VIGOROUS]])</f>
        <v>68.792000000000002</v>
      </c>
      <c r="Q1248" s="14">
        <f>'PIVOT TABLES'!$P$26</f>
        <v>62.64</v>
      </c>
      <c r="R1248" s="14">
        <f>'PIVOT TABLES'!$P$27-'PIVOT TABLES'!$P$26</f>
        <v>31.320000000000007</v>
      </c>
      <c r="S1248" s="14">
        <f>'PIVOT TABLES'!$P$28-'PIVOT TABLES'!$P$27</f>
        <v>31.319999999999993</v>
      </c>
      <c r="T1248" s="14">
        <f>200-SUM(Table3[[#This Row],[W - LIGHT]:[W - VIGOROUS]])</f>
        <v>74.72</v>
      </c>
      <c r="U1248" s="14">
        <f>'PIVOT TABLES'!$W$26</f>
        <v>55.895999999999994</v>
      </c>
      <c r="V1248" s="14">
        <f>'PIVOT TABLES'!$W$27-'PIVOT TABLES'!$W$26</f>
        <v>27.948</v>
      </c>
      <c r="W1248" s="14">
        <f>'PIVOT TABLES'!$W$28-'PIVOT TABLES'!$W$27</f>
        <v>27.947999999999993</v>
      </c>
      <c r="X1248" s="14">
        <f>200-SUM(Table3[[#This Row],[S - LIGHT]:[S - VIGOROUS]])</f>
        <v>88.208000000000013</v>
      </c>
    </row>
    <row r="1249" spans="1:24" x14ac:dyDescent="0.25">
      <c r="A1249" s="44" t="s">
        <v>5</v>
      </c>
      <c r="B1249" s="13" t="str">
        <f t="shared" si="19"/>
        <v>Midfielder</v>
      </c>
      <c r="C1249" s="7">
        <v>45373.414456018516</v>
      </c>
      <c r="D1249" s="14">
        <v>6227</v>
      </c>
      <c r="E1249" s="14">
        <v>58</v>
      </c>
      <c r="F1249" s="14">
        <v>10</v>
      </c>
      <c r="G1249" s="14">
        <v>8</v>
      </c>
      <c r="H1249" s="14">
        <v>64.569999999999993</v>
      </c>
      <c r="I1249" s="14">
        <f>'PIVOT TABLES'!$B$26</f>
        <v>60.283999999999999</v>
      </c>
      <c r="J1249" s="14">
        <f>'PIVOT TABLES'!$B$27-'PIVOT TABLES'!$B$26</f>
        <v>30.142000000000003</v>
      </c>
      <c r="K1249" s="14">
        <f>'PIVOT TABLES'!$B$28-'PIVOT TABLES'!$B$27</f>
        <v>30.141999999999996</v>
      </c>
      <c r="L1249" s="14">
        <f>200-SUM(Table3[[#This Row],[D - LIGHT]:[D - VIGOROUS]])</f>
        <v>79.432000000000002</v>
      </c>
      <c r="M1249" s="14">
        <f>'PIVOT TABLES'!$I$26</f>
        <v>65.603999999999999</v>
      </c>
      <c r="N1249" s="14">
        <f>'PIVOT TABLES'!$I$27-'PIVOT TABLES'!$I$26</f>
        <v>32.802000000000007</v>
      </c>
      <c r="O1249" s="14">
        <f>'PIVOT TABLES'!$I$28-'PIVOT TABLES'!$I$27</f>
        <v>32.801999999999992</v>
      </c>
      <c r="P1249" s="14">
        <f>200-SUM(Table3[[#This Row],[M - LIGHT]:[M - VIGOROUS]])</f>
        <v>68.792000000000002</v>
      </c>
      <c r="Q1249" s="14">
        <f>'PIVOT TABLES'!$P$26</f>
        <v>62.64</v>
      </c>
      <c r="R1249" s="14">
        <f>'PIVOT TABLES'!$P$27-'PIVOT TABLES'!$P$26</f>
        <v>31.320000000000007</v>
      </c>
      <c r="S1249" s="14">
        <f>'PIVOT TABLES'!$P$28-'PIVOT TABLES'!$P$27</f>
        <v>31.319999999999993</v>
      </c>
      <c r="T1249" s="14">
        <f>200-SUM(Table3[[#This Row],[W - LIGHT]:[W - VIGOROUS]])</f>
        <v>74.72</v>
      </c>
      <c r="U1249" s="14">
        <f>'PIVOT TABLES'!$W$26</f>
        <v>55.895999999999994</v>
      </c>
      <c r="V1249" s="14">
        <f>'PIVOT TABLES'!$W$27-'PIVOT TABLES'!$W$26</f>
        <v>27.948</v>
      </c>
      <c r="W1249" s="14">
        <f>'PIVOT TABLES'!$W$28-'PIVOT TABLES'!$W$27</f>
        <v>27.947999999999993</v>
      </c>
      <c r="X1249" s="14">
        <f>200-SUM(Table3[[#This Row],[S - LIGHT]:[S - VIGOROUS]])</f>
        <v>88.208000000000013</v>
      </c>
    </row>
    <row r="1250" spans="1:24" x14ac:dyDescent="0.25">
      <c r="A1250" s="44" t="s">
        <v>6</v>
      </c>
      <c r="B1250" s="13" t="str">
        <f t="shared" si="19"/>
        <v>Midfielder</v>
      </c>
      <c r="C1250" s="7">
        <v>45373.414456018516</v>
      </c>
      <c r="D1250" s="14">
        <v>6642</v>
      </c>
      <c r="E1250" s="14">
        <v>34</v>
      </c>
      <c r="F1250" s="14">
        <v>22</v>
      </c>
      <c r="G1250" s="14">
        <v>25</v>
      </c>
      <c r="H1250" s="14">
        <v>68.819999999999993</v>
      </c>
      <c r="I1250" s="14">
        <f>'PIVOT TABLES'!$B$26</f>
        <v>60.283999999999999</v>
      </c>
      <c r="J1250" s="14">
        <f>'PIVOT TABLES'!$B$27-'PIVOT TABLES'!$B$26</f>
        <v>30.142000000000003</v>
      </c>
      <c r="K1250" s="14">
        <f>'PIVOT TABLES'!$B$28-'PIVOT TABLES'!$B$27</f>
        <v>30.141999999999996</v>
      </c>
      <c r="L1250" s="14">
        <f>200-SUM(Table3[[#This Row],[D - LIGHT]:[D - VIGOROUS]])</f>
        <v>79.432000000000002</v>
      </c>
      <c r="M1250" s="14">
        <f>'PIVOT TABLES'!$I$26</f>
        <v>65.603999999999999</v>
      </c>
      <c r="N1250" s="14">
        <f>'PIVOT TABLES'!$I$27-'PIVOT TABLES'!$I$26</f>
        <v>32.802000000000007</v>
      </c>
      <c r="O1250" s="14">
        <f>'PIVOT TABLES'!$I$28-'PIVOT TABLES'!$I$27</f>
        <v>32.801999999999992</v>
      </c>
      <c r="P1250" s="14">
        <f>200-SUM(Table3[[#This Row],[M - LIGHT]:[M - VIGOROUS]])</f>
        <v>68.792000000000002</v>
      </c>
      <c r="Q1250" s="14">
        <f>'PIVOT TABLES'!$P$26</f>
        <v>62.64</v>
      </c>
      <c r="R1250" s="14">
        <f>'PIVOT TABLES'!$P$27-'PIVOT TABLES'!$P$26</f>
        <v>31.320000000000007</v>
      </c>
      <c r="S1250" s="14">
        <f>'PIVOT TABLES'!$P$28-'PIVOT TABLES'!$P$27</f>
        <v>31.319999999999993</v>
      </c>
      <c r="T1250" s="14">
        <f>200-SUM(Table3[[#This Row],[W - LIGHT]:[W - VIGOROUS]])</f>
        <v>74.72</v>
      </c>
      <c r="U1250" s="14">
        <f>'PIVOT TABLES'!$W$26</f>
        <v>55.895999999999994</v>
      </c>
      <c r="V1250" s="14">
        <f>'PIVOT TABLES'!$W$27-'PIVOT TABLES'!$W$26</f>
        <v>27.948</v>
      </c>
      <c r="W1250" s="14">
        <f>'PIVOT TABLES'!$W$28-'PIVOT TABLES'!$W$27</f>
        <v>27.947999999999993</v>
      </c>
      <c r="X1250" s="14">
        <f>200-SUM(Table3[[#This Row],[S - LIGHT]:[S - VIGOROUS]])</f>
        <v>88.208000000000013</v>
      </c>
    </row>
    <row r="1251" spans="1:24" x14ac:dyDescent="0.25">
      <c r="A1251" s="44" t="s">
        <v>62</v>
      </c>
      <c r="B1251" s="13" t="str">
        <f t="shared" si="19"/>
        <v>Midfielder</v>
      </c>
      <c r="C1251" s="7">
        <v>45373.414456018516</v>
      </c>
      <c r="D1251" s="14">
        <v>5608</v>
      </c>
      <c r="E1251" s="14">
        <v>3</v>
      </c>
      <c r="F1251" s="14">
        <v>16</v>
      </c>
      <c r="G1251" s="14">
        <v>9</v>
      </c>
      <c r="H1251" s="14">
        <v>56.99</v>
      </c>
      <c r="I1251" s="14">
        <f>'PIVOT TABLES'!$B$26</f>
        <v>60.283999999999999</v>
      </c>
      <c r="J1251" s="14">
        <f>'PIVOT TABLES'!$B$27-'PIVOT TABLES'!$B$26</f>
        <v>30.142000000000003</v>
      </c>
      <c r="K1251" s="14">
        <f>'PIVOT TABLES'!$B$28-'PIVOT TABLES'!$B$27</f>
        <v>30.141999999999996</v>
      </c>
      <c r="L1251" s="14">
        <f>200-SUM(Table3[[#This Row],[D - LIGHT]:[D - VIGOROUS]])</f>
        <v>79.432000000000002</v>
      </c>
      <c r="M1251" s="14">
        <f>'PIVOT TABLES'!$I$26</f>
        <v>65.603999999999999</v>
      </c>
      <c r="N1251" s="14">
        <f>'PIVOT TABLES'!$I$27-'PIVOT TABLES'!$I$26</f>
        <v>32.802000000000007</v>
      </c>
      <c r="O1251" s="14">
        <f>'PIVOT TABLES'!$I$28-'PIVOT TABLES'!$I$27</f>
        <v>32.801999999999992</v>
      </c>
      <c r="P1251" s="14">
        <f>200-SUM(Table3[[#This Row],[M - LIGHT]:[M - VIGOROUS]])</f>
        <v>68.792000000000002</v>
      </c>
      <c r="Q1251" s="14">
        <f>'PIVOT TABLES'!$P$26</f>
        <v>62.64</v>
      </c>
      <c r="R1251" s="14">
        <f>'PIVOT TABLES'!$P$27-'PIVOT TABLES'!$P$26</f>
        <v>31.320000000000007</v>
      </c>
      <c r="S1251" s="14">
        <f>'PIVOT TABLES'!$P$28-'PIVOT TABLES'!$P$27</f>
        <v>31.319999999999993</v>
      </c>
      <c r="T1251" s="14">
        <f>200-SUM(Table3[[#This Row],[W - LIGHT]:[W - VIGOROUS]])</f>
        <v>74.72</v>
      </c>
      <c r="U1251" s="14">
        <f>'PIVOT TABLES'!$W$26</f>
        <v>55.895999999999994</v>
      </c>
      <c r="V1251" s="14">
        <f>'PIVOT TABLES'!$W$27-'PIVOT TABLES'!$W$26</f>
        <v>27.948</v>
      </c>
      <c r="W1251" s="14">
        <f>'PIVOT TABLES'!$W$28-'PIVOT TABLES'!$W$27</f>
        <v>27.947999999999993</v>
      </c>
      <c r="X1251" s="14">
        <f>200-SUM(Table3[[#This Row],[S - LIGHT]:[S - VIGOROUS]])</f>
        <v>88.208000000000013</v>
      </c>
    </row>
    <row r="1252" spans="1:24" x14ac:dyDescent="0.25">
      <c r="A1252" s="44" t="s">
        <v>63</v>
      </c>
      <c r="B1252" s="13" t="str">
        <f t="shared" si="19"/>
        <v>Winger</v>
      </c>
      <c r="C1252" s="7">
        <v>45373.414456018516</v>
      </c>
      <c r="D1252" s="14">
        <v>6902</v>
      </c>
      <c r="E1252" s="14">
        <v>87</v>
      </c>
      <c r="F1252" s="14">
        <v>27</v>
      </c>
      <c r="G1252" s="14">
        <v>15</v>
      </c>
      <c r="H1252" s="14">
        <v>73.010000000000005</v>
      </c>
      <c r="I1252" s="14">
        <f>'PIVOT TABLES'!$B$26</f>
        <v>60.283999999999999</v>
      </c>
      <c r="J1252" s="14">
        <f>'PIVOT TABLES'!$B$27-'PIVOT TABLES'!$B$26</f>
        <v>30.142000000000003</v>
      </c>
      <c r="K1252" s="14">
        <f>'PIVOT TABLES'!$B$28-'PIVOT TABLES'!$B$27</f>
        <v>30.141999999999996</v>
      </c>
      <c r="L1252" s="14">
        <f>200-SUM(Table3[[#This Row],[D - LIGHT]:[D - VIGOROUS]])</f>
        <v>79.432000000000002</v>
      </c>
      <c r="M1252" s="14">
        <f>'PIVOT TABLES'!$I$26</f>
        <v>65.603999999999999</v>
      </c>
      <c r="N1252" s="14">
        <f>'PIVOT TABLES'!$I$27-'PIVOT TABLES'!$I$26</f>
        <v>32.802000000000007</v>
      </c>
      <c r="O1252" s="14">
        <f>'PIVOT TABLES'!$I$28-'PIVOT TABLES'!$I$27</f>
        <v>32.801999999999992</v>
      </c>
      <c r="P1252" s="14">
        <f>200-SUM(Table3[[#This Row],[M - LIGHT]:[M - VIGOROUS]])</f>
        <v>68.792000000000002</v>
      </c>
      <c r="Q1252" s="14">
        <f>'PIVOT TABLES'!$P$26</f>
        <v>62.64</v>
      </c>
      <c r="R1252" s="14">
        <f>'PIVOT TABLES'!$P$27-'PIVOT TABLES'!$P$26</f>
        <v>31.320000000000007</v>
      </c>
      <c r="S1252" s="14">
        <f>'PIVOT TABLES'!$P$28-'PIVOT TABLES'!$P$27</f>
        <v>31.319999999999993</v>
      </c>
      <c r="T1252" s="14">
        <f>200-SUM(Table3[[#This Row],[W - LIGHT]:[W - VIGOROUS]])</f>
        <v>74.72</v>
      </c>
      <c r="U1252" s="14">
        <f>'PIVOT TABLES'!$W$26</f>
        <v>55.895999999999994</v>
      </c>
      <c r="V1252" s="14">
        <f>'PIVOT TABLES'!$W$27-'PIVOT TABLES'!$W$26</f>
        <v>27.948</v>
      </c>
      <c r="W1252" s="14">
        <f>'PIVOT TABLES'!$W$28-'PIVOT TABLES'!$W$27</f>
        <v>27.947999999999993</v>
      </c>
      <c r="X1252" s="14">
        <f>200-SUM(Table3[[#This Row],[S - LIGHT]:[S - VIGOROUS]])</f>
        <v>88.208000000000013</v>
      </c>
    </row>
    <row r="1253" spans="1:24" x14ac:dyDescent="0.25">
      <c r="A1253" s="44" t="s">
        <v>64</v>
      </c>
      <c r="B1253" s="13" t="str">
        <f t="shared" si="19"/>
        <v>Midfielder</v>
      </c>
      <c r="C1253" s="7">
        <v>45373.414456018516</v>
      </c>
      <c r="D1253" s="14">
        <v>7422</v>
      </c>
      <c r="E1253" s="14">
        <v>17</v>
      </c>
      <c r="F1253" s="14">
        <v>37</v>
      </c>
      <c r="G1253" s="14">
        <v>41</v>
      </c>
      <c r="H1253" s="14">
        <v>77.03</v>
      </c>
      <c r="I1253" s="14">
        <f>'PIVOT TABLES'!$B$26</f>
        <v>60.283999999999999</v>
      </c>
      <c r="J1253" s="14">
        <f>'PIVOT TABLES'!$B$27-'PIVOT TABLES'!$B$26</f>
        <v>30.142000000000003</v>
      </c>
      <c r="K1253" s="14">
        <f>'PIVOT TABLES'!$B$28-'PIVOT TABLES'!$B$27</f>
        <v>30.141999999999996</v>
      </c>
      <c r="L1253" s="14">
        <f>200-SUM(Table3[[#This Row],[D - LIGHT]:[D - VIGOROUS]])</f>
        <v>79.432000000000002</v>
      </c>
      <c r="M1253" s="14">
        <f>'PIVOT TABLES'!$I$26</f>
        <v>65.603999999999999</v>
      </c>
      <c r="N1253" s="14">
        <f>'PIVOT TABLES'!$I$27-'PIVOT TABLES'!$I$26</f>
        <v>32.802000000000007</v>
      </c>
      <c r="O1253" s="14">
        <f>'PIVOT TABLES'!$I$28-'PIVOT TABLES'!$I$27</f>
        <v>32.801999999999992</v>
      </c>
      <c r="P1253" s="14">
        <f>200-SUM(Table3[[#This Row],[M - LIGHT]:[M - VIGOROUS]])</f>
        <v>68.792000000000002</v>
      </c>
      <c r="Q1253" s="14">
        <f>'PIVOT TABLES'!$P$26</f>
        <v>62.64</v>
      </c>
      <c r="R1253" s="14">
        <f>'PIVOT TABLES'!$P$27-'PIVOT TABLES'!$P$26</f>
        <v>31.320000000000007</v>
      </c>
      <c r="S1253" s="14">
        <f>'PIVOT TABLES'!$P$28-'PIVOT TABLES'!$P$27</f>
        <v>31.319999999999993</v>
      </c>
      <c r="T1253" s="14">
        <f>200-SUM(Table3[[#This Row],[W - LIGHT]:[W - VIGOROUS]])</f>
        <v>74.72</v>
      </c>
      <c r="U1253" s="14">
        <f>'PIVOT TABLES'!$W$26</f>
        <v>55.895999999999994</v>
      </c>
      <c r="V1253" s="14">
        <f>'PIVOT TABLES'!$W$27-'PIVOT TABLES'!$W$26</f>
        <v>27.948</v>
      </c>
      <c r="W1253" s="14">
        <f>'PIVOT TABLES'!$W$28-'PIVOT TABLES'!$W$27</f>
        <v>27.947999999999993</v>
      </c>
      <c r="X1253" s="14">
        <f>200-SUM(Table3[[#This Row],[S - LIGHT]:[S - VIGOROUS]])</f>
        <v>88.208000000000013</v>
      </c>
    </row>
    <row r="1254" spans="1:24" x14ac:dyDescent="0.25">
      <c r="A1254" s="44" t="s">
        <v>65</v>
      </c>
      <c r="B1254" s="13" t="str">
        <f t="shared" si="19"/>
        <v>Winger</v>
      </c>
      <c r="C1254" s="7">
        <v>45373.414456018516</v>
      </c>
      <c r="D1254" s="14">
        <v>5808</v>
      </c>
      <c r="E1254" s="14">
        <v>4</v>
      </c>
      <c r="F1254" s="14">
        <v>33</v>
      </c>
      <c r="G1254" s="14">
        <v>24</v>
      </c>
      <c r="H1254" s="14">
        <v>60</v>
      </c>
      <c r="I1254" s="14">
        <f>'PIVOT TABLES'!$B$26</f>
        <v>60.283999999999999</v>
      </c>
      <c r="J1254" s="14">
        <f>'PIVOT TABLES'!$B$27-'PIVOT TABLES'!$B$26</f>
        <v>30.142000000000003</v>
      </c>
      <c r="K1254" s="14">
        <f>'PIVOT TABLES'!$B$28-'PIVOT TABLES'!$B$27</f>
        <v>30.141999999999996</v>
      </c>
      <c r="L1254" s="14">
        <f>200-SUM(Table3[[#This Row],[D - LIGHT]:[D - VIGOROUS]])</f>
        <v>79.432000000000002</v>
      </c>
      <c r="M1254" s="14">
        <f>'PIVOT TABLES'!$I$26</f>
        <v>65.603999999999999</v>
      </c>
      <c r="N1254" s="14">
        <f>'PIVOT TABLES'!$I$27-'PIVOT TABLES'!$I$26</f>
        <v>32.802000000000007</v>
      </c>
      <c r="O1254" s="14">
        <f>'PIVOT TABLES'!$I$28-'PIVOT TABLES'!$I$27</f>
        <v>32.801999999999992</v>
      </c>
      <c r="P1254" s="14">
        <f>200-SUM(Table3[[#This Row],[M - LIGHT]:[M - VIGOROUS]])</f>
        <v>68.792000000000002</v>
      </c>
      <c r="Q1254" s="14">
        <f>'PIVOT TABLES'!$P$26</f>
        <v>62.64</v>
      </c>
      <c r="R1254" s="14">
        <f>'PIVOT TABLES'!$P$27-'PIVOT TABLES'!$P$26</f>
        <v>31.320000000000007</v>
      </c>
      <c r="S1254" s="14">
        <f>'PIVOT TABLES'!$P$28-'PIVOT TABLES'!$P$27</f>
        <v>31.319999999999993</v>
      </c>
      <c r="T1254" s="14">
        <f>200-SUM(Table3[[#This Row],[W - LIGHT]:[W - VIGOROUS]])</f>
        <v>74.72</v>
      </c>
      <c r="U1254" s="14">
        <f>'PIVOT TABLES'!$W$26</f>
        <v>55.895999999999994</v>
      </c>
      <c r="V1254" s="14">
        <f>'PIVOT TABLES'!$W$27-'PIVOT TABLES'!$W$26</f>
        <v>27.948</v>
      </c>
      <c r="W1254" s="14">
        <f>'PIVOT TABLES'!$W$28-'PIVOT TABLES'!$W$27</f>
        <v>27.947999999999993</v>
      </c>
      <c r="X1254" s="14">
        <f>200-SUM(Table3[[#This Row],[S - LIGHT]:[S - VIGOROUS]])</f>
        <v>88.208000000000013</v>
      </c>
    </row>
    <row r="1255" spans="1:24" x14ac:dyDescent="0.25">
      <c r="A1255" s="44" t="s">
        <v>78</v>
      </c>
      <c r="B1255" s="13" t="str">
        <f t="shared" si="19"/>
        <v>Defender</v>
      </c>
      <c r="C1255" s="7">
        <v>45373.414456018516</v>
      </c>
      <c r="D1255" s="14">
        <v>7151</v>
      </c>
      <c r="E1255" s="14">
        <v>40</v>
      </c>
      <c r="F1255" s="14">
        <v>17</v>
      </c>
      <c r="G1255" s="14">
        <v>18</v>
      </c>
      <c r="H1255" s="14">
        <v>73.75</v>
      </c>
      <c r="I1255" s="14">
        <f>'PIVOT TABLES'!$B$26</f>
        <v>60.283999999999999</v>
      </c>
      <c r="J1255" s="14">
        <f>'PIVOT TABLES'!$B$27-'PIVOT TABLES'!$B$26</f>
        <v>30.142000000000003</v>
      </c>
      <c r="K1255" s="14">
        <f>'PIVOT TABLES'!$B$28-'PIVOT TABLES'!$B$27</f>
        <v>30.141999999999996</v>
      </c>
      <c r="L1255" s="14">
        <f>200-SUM(Table3[[#This Row],[D - LIGHT]:[D - VIGOROUS]])</f>
        <v>79.432000000000002</v>
      </c>
      <c r="M1255" s="14">
        <f>'PIVOT TABLES'!$I$26</f>
        <v>65.603999999999999</v>
      </c>
      <c r="N1255" s="14">
        <f>'PIVOT TABLES'!$I$27-'PIVOT TABLES'!$I$26</f>
        <v>32.802000000000007</v>
      </c>
      <c r="O1255" s="14">
        <f>'PIVOT TABLES'!$I$28-'PIVOT TABLES'!$I$27</f>
        <v>32.801999999999992</v>
      </c>
      <c r="P1255" s="14">
        <f>200-SUM(Table3[[#This Row],[M - LIGHT]:[M - VIGOROUS]])</f>
        <v>68.792000000000002</v>
      </c>
      <c r="Q1255" s="14">
        <f>'PIVOT TABLES'!$P$26</f>
        <v>62.64</v>
      </c>
      <c r="R1255" s="14">
        <f>'PIVOT TABLES'!$P$27-'PIVOT TABLES'!$P$26</f>
        <v>31.320000000000007</v>
      </c>
      <c r="S1255" s="14">
        <f>'PIVOT TABLES'!$P$28-'PIVOT TABLES'!$P$27</f>
        <v>31.319999999999993</v>
      </c>
      <c r="T1255" s="14">
        <f>200-SUM(Table3[[#This Row],[W - LIGHT]:[W - VIGOROUS]])</f>
        <v>74.72</v>
      </c>
      <c r="U1255" s="14">
        <f>'PIVOT TABLES'!$W$26</f>
        <v>55.895999999999994</v>
      </c>
      <c r="V1255" s="14">
        <f>'PIVOT TABLES'!$W$27-'PIVOT TABLES'!$W$26</f>
        <v>27.948</v>
      </c>
      <c r="W1255" s="14">
        <f>'PIVOT TABLES'!$W$28-'PIVOT TABLES'!$W$27</f>
        <v>27.947999999999993</v>
      </c>
      <c r="X1255" s="14">
        <f>200-SUM(Table3[[#This Row],[S - LIGHT]:[S - VIGOROUS]])</f>
        <v>88.208000000000013</v>
      </c>
    </row>
    <row r="1256" spans="1:24" x14ac:dyDescent="0.25">
      <c r="A1256" s="44" t="s">
        <v>96</v>
      </c>
      <c r="B1256" s="13" t="str">
        <f t="shared" si="19"/>
        <v>Winger</v>
      </c>
      <c r="C1256" s="7">
        <v>45373.414456018516</v>
      </c>
      <c r="D1256" s="14">
        <v>6097</v>
      </c>
      <c r="E1256" s="14">
        <v>29</v>
      </c>
      <c r="F1256" s="14">
        <v>20</v>
      </c>
      <c r="G1256" s="14">
        <v>26</v>
      </c>
      <c r="H1256" s="14">
        <v>63.16</v>
      </c>
      <c r="I1256" s="14">
        <f>'PIVOT TABLES'!$B$26</f>
        <v>60.283999999999999</v>
      </c>
      <c r="J1256" s="14">
        <f>'PIVOT TABLES'!$B$27-'PIVOT TABLES'!$B$26</f>
        <v>30.142000000000003</v>
      </c>
      <c r="K1256" s="14">
        <f>'PIVOT TABLES'!$B$28-'PIVOT TABLES'!$B$27</f>
        <v>30.141999999999996</v>
      </c>
      <c r="L1256" s="14">
        <f>200-SUM(Table3[[#This Row],[D - LIGHT]:[D - VIGOROUS]])</f>
        <v>79.432000000000002</v>
      </c>
      <c r="M1256" s="14">
        <f>'PIVOT TABLES'!$I$26</f>
        <v>65.603999999999999</v>
      </c>
      <c r="N1256" s="14">
        <f>'PIVOT TABLES'!$I$27-'PIVOT TABLES'!$I$26</f>
        <v>32.802000000000007</v>
      </c>
      <c r="O1256" s="14">
        <f>'PIVOT TABLES'!$I$28-'PIVOT TABLES'!$I$27</f>
        <v>32.801999999999992</v>
      </c>
      <c r="P1256" s="14">
        <f>200-SUM(Table3[[#This Row],[M - LIGHT]:[M - VIGOROUS]])</f>
        <v>68.792000000000002</v>
      </c>
      <c r="Q1256" s="14">
        <f>'PIVOT TABLES'!$P$26</f>
        <v>62.64</v>
      </c>
      <c r="R1256" s="14">
        <f>'PIVOT TABLES'!$P$27-'PIVOT TABLES'!$P$26</f>
        <v>31.320000000000007</v>
      </c>
      <c r="S1256" s="14">
        <f>'PIVOT TABLES'!$P$28-'PIVOT TABLES'!$P$27</f>
        <v>31.319999999999993</v>
      </c>
      <c r="T1256" s="14">
        <f>200-SUM(Table3[[#This Row],[W - LIGHT]:[W - VIGOROUS]])</f>
        <v>74.72</v>
      </c>
      <c r="U1256" s="14">
        <f>'PIVOT TABLES'!$W$26</f>
        <v>55.895999999999994</v>
      </c>
      <c r="V1256" s="14">
        <f>'PIVOT TABLES'!$W$27-'PIVOT TABLES'!$W$26</f>
        <v>27.948</v>
      </c>
      <c r="W1256" s="14">
        <f>'PIVOT TABLES'!$W$28-'PIVOT TABLES'!$W$27</f>
        <v>27.947999999999993</v>
      </c>
      <c r="X1256" s="14">
        <f>200-SUM(Table3[[#This Row],[S - LIGHT]:[S - VIGOROUS]])</f>
        <v>88.208000000000013</v>
      </c>
    </row>
    <row r="1257" spans="1:24" x14ac:dyDescent="0.25">
      <c r="A1257" s="44" t="s">
        <v>8</v>
      </c>
      <c r="B1257" s="13" t="str">
        <f t="shared" si="19"/>
        <v>Striker</v>
      </c>
      <c r="C1257" s="7">
        <v>45373.414456018516</v>
      </c>
      <c r="D1257" s="14">
        <v>6444</v>
      </c>
      <c r="E1257" s="14">
        <v>28</v>
      </c>
      <c r="F1257" s="14">
        <v>27</v>
      </c>
      <c r="G1257" s="14">
        <v>32</v>
      </c>
      <c r="H1257" s="14">
        <v>67</v>
      </c>
      <c r="I1257" s="14">
        <f>'PIVOT TABLES'!$B$26</f>
        <v>60.283999999999999</v>
      </c>
      <c r="J1257" s="14">
        <f>'PIVOT TABLES'!$B$27-'PIVOT TABLES'!$B$26</f>
        <v>30.142000000000003</v>
      </c>
      <c r="K1257" s="14">
        <f>'PIVOT TABLES'!$B$28-'PIVOT TABLES'!$B$27</f>
        <v>30.141999999999996</v>
      </c>
      <c r="L1257" s="14">
        <f>200-SUM(Table3[[#This Row],[D - LIGHT]:[D - VIGOROUS]])</f>
        <v>79.432000000000002</v>
      </c>
      <c r="M1257" s="14">
        <f>'PIVOT TABLES'!$I$26</f>
        <v>65.603999999999999</v>
      </c>
      <c r="N1257" s="14">
        <f>'PIVOT TABLES'!$I$27-'PIVOT TABLES'!$I$26</f>
        <v>32.802000000000007</v>
      </c>
      <c r="O1257" s="14">
        <f>'PIVOT TABLES'!$I$28-'PIVOT TABLES'!$I$27</f>
        <v>32.801999999999992</v>
      </c>
      <c r="P1257" s="14">
        <f>200-SUM(Table3[[#This Row],[M - LIGHT]:[M - VIGOROUS]])</f>
        <v>68.792000000000002</v>
      </c>
      <c r="Q1257" s="14">
        <f>'PIVOT TABLES'!$P$26</f>
        <v>62.64</v>
      </c>
      <c r="R1257" s="14">
        <f>'PIVOT TABLES'!$P$27-'PIVOT TABLES'!$P$26</f>
        <v>31.320000000000007</v>
      </c>
      <c r="S1257" s="14">
        <f>'PIVOT TABLES'!$P$28-'PIVOT TABLES'!$P$27</f>
        <v>31.319999999999993</v>
      </c>
      <c r="T1257" s="14">
        <f>200-SUM(Table3[[#This Row],[W - LIGHT]:[W - VIGOROUS]])</f>
        <v>74.72</v>
      </c>
      <c r="U1257" s="14">
        <f>'PIVOT TABLES'!$W$26</f>
        <v>55.895999999999994</v>
      </c>
      <c r="V1257" s="14">
        <f>'PIVOT TABLES'!$W$27-'PIVOT TABLES'!$W$26</f>
        <v>27.948</v>
      </c>
      <c r="W1257" s="14">
        <f>'PIVOT TABLES'!$W$28-'PIVOT TABLES'!$W$27</f>
        <v>27.947999999999993</v>
      </c>
      <c r="X1257" s="14">
        <f>200-SUM(Table3[[#This Row],[S - LIGHT]:[S - VIGOROUS]])</f>
        <v>88.208000000000013</v>
      </c>
    </row>
    <row r="1258" spans="1:24" x14ac:dyDescent="0.25">
      <c r="A1258" s="44" t="s">
        <v>67</v>
      </c>
      <c r="B1258" s="13" t="str">
        <f t="shared" si="19"/>
        <v>Midfielder</v>
      </c>
      <c r="C1258" s="7">
        <v>45373.414456018516</v>
      </c>
      <c r="D1258" s="14">
        <v>6995</v>
      </c>
      <c r="E1258" s="14">
        <v>29</v>
      </c>
      <c r="F1258" s="14">
        <v>39</v>
      </c>
      <c r="G1258" s="14">
        <v>25</v>
      </c>
      <c r="H1258" s="14">
        <v>72.88</v>
      </c>
      <c r="I1258" s="14">
        <f>'PIVOT TABLES'!$B$26</f>
        <v>60.283999999999999</v>
      </c>
      <c r="J1258" s="14">
        <f>'PIVOT TABLES'!$B$27-'PIVOT TABLES'!$B$26</f>
        <v>30.142000000000003</v>
      </c>
      <c r="K1258" s="14">
        <f>'PIVOT TABLES'!$B$28-'PIVOT TABLES'!$B$27</f>
        <v>30.141999999999996</v>
      </c>
      <c r="L1258" s="14">
        <f>200-SUM(Table3[[#This Row],[D - LIGHT]:[D - VIGOROUS]])</f>
        <v>79.432000000000002</v>
      </c>
      <c r="M1258" s="14">
        <f>'PIVOT TABLES'!$I$26</f>
        <v>65.603999999999999</v>
      </c>
      <c r="N1258" s="14">
        <f>'PIVOT TABLES'!$I$27-'PIVOT TABLES'!$I$26</f>
        <v>32.802000000000007</v>
      </c>
      <c r="O1258" s="14">
        <f>'PIVOT TABLES'!$I$28-'PIVOT TABLES'!$I$27</f>
        <v>32.801999999999992</v>
      </c>
      <c r="P1258" s="14">
        <f>200-SUM(Table3[[#This Row],[M - LIGHT]:[M - VIGOROUS]])</f>
        <v>68.792000000000002</v>
      </c>
      <c r="Q1258" s="14">
        <f>'PIVOT TABLES'!$P$26</f>
        <v>62.64</v>
      </c>
      <c r="R1258" s="14">
        <f>'PIVOT TABLES'!$P$27-'PIVOT TABLES'!$P$26</f>
        <v>31.320000000000007</v>
      </c>
      <c r="S1258" s="14">
        <f>'PIVOT TABLES'!$P$28-'PIVOT TABLES'!$P$27</f>
        <v>31.319999999999993</v>
      </c>
      <c r="T1258" s="14">
        <f>200-SUM(Table3[[#This Row],[W - LIGHT]:[W - VIGOROUS]])</f>
        <v>74.72</v>
      </c>
      <c r="U1258" s="14">
        <f>'PIVOT TABLES'!$W$26</f>
        <v>55.895999999999994</v>
      </c>
      <c r="V1258" s="14">
        <f>'PIVOT TABLES'!$W$27-'PIVOT TABLES'!$W$26</f>
        <v>27.948</v>
      </c>
      <c r="W1258" s="14">
        <f>'PIVOT TABLES'!$W$28-'PIVOT TABLES'!$W$27</f>
        <v>27.947999999999993</v>
      </c>
      <c r="X1258" s="14">
        <f>200-SUM(Table3[[#This Row],[S - LIGHT]:[S - VIGOROUS]])</f>
        <v>88.208000000000013</v>
      </c>
    </row>
    <row r="1259" spans="1:24" x14ac:dyDescent="0.25">
      <c r="A1259" s="44" t="s">
        <v>9</v>
      </c>
      <c r="B1259" s="13" t="str">
        <f t="shared" si="19"/>
        <v>Striker</v>
      </c>
      <c r="C1259" s="7">
        <v>45373.414456018516</v>
      </c>
      <c r="D1259" s="14">
        <v>6610</v>
      </c>
      <c r="E1259" s="14">
        <v>13</v>
      </c>
      <c r="F1259" s="14">
        <v>28</v>
      </c>
      <c r="G1259" s="14">
        <v>23</v>
      </c>
      <c r="H1259" s="14">
        <v>68.069999999999993</v>
      </c>
      <c r="I1259" s="14">
        <f>'PIVOT TABLES'!$B$26</f>
        <v>60.283999999999999</v>
      </c>
      <c r="J1259" s="14">
        <f>'PIVOT TABLES'!$B$27-'PIVOT TABLES'!$B$26</f>
        <v>30.142000000000003</v>
      </c>
      <c r="K1259" s="14">
        <f>'PIVOT TABLES'!$B$28-'PIVOT TABLES'!$B$27</f>
        <v>30.141999999999996</v>
      </c>
      <c r="L1259" s="14">
        <f>200-SUM(Table3[[#This Row],[D - LIGHT]:[D - VIGOROUS]])</f>
        <v>79.432000000000002</v>
      </c>
      <c r="M1259" s="14">
        <f>'PIVOT TABLES'!$I$26</f>
        <v>65.603999999999999</v>
      </c>
      <c r="N1259" s="14">
        <f>'PIVOT TABLES'!$I$27-'PIVOT TABLES'!$I$26</f>
        <v>32.802000000000007</v>
      </c>
      <c r="O1259" s="14">
        <f>'PIVOT TABLES'!$I$28-'PIVOT TABLES'!$I$27</f>
        <v>32.801999999999992</v>
      </c>
      <c r="P1259" s="14">
        <f>200-SUM(Table3[[#This Row],[M - LIGHT]:[M - VIGOROUS]])</f>
        <v>68.792000000000002</v>
      </c>
      <c r="Q1259" s="14">
        <f>'PIVOT TABLES'!$P$26</f>
        <v>62.64</v>
      </c>
      <c r="R1259" s="14">
        <f>'PIVOT TABLES'!$P$27-'PIVOT TABLES'!$P$26</f>
        <v>31.320000000000007</v>
      </c>
      <c r="S1259" s="14">
        <f>'PIVOT TABLES'!$P$28-'PIVOT TABLES'!$P$27</f>
        <v>31.319999999999993</v>
      </c>
      <c r="T1259" s="14">
        <f>200-SUM(Table3[[#This Row],[W - LIGHT]:[W - VIGOROUS]])</f>
        <v>74.72</v>
      </c>
      <c r="U1259" s="14">
        <f>'PIVOT TABLES'!$W$26</f>
        <v>55.895999999999994</v>
      </c>
      <c r="V1259" s="14">
        <f>'PIVOT TABLES'!$W$27-'PIVOT TABLES'!$W$26</f>
        <v>27.948</v>
      </c>
      <c r="W1259" s="14">
        <f>'PIVOT TABLES'!$W$28-'PIVOT TABLES'!$W$27</f>
        <v>27.947999999999993</v>
      </c>
      <c r="X1259" s="14">
        <f>200-SUM(Table3[[#This Row],[S - LIGHT]:[S - VIGOROUS]])</f>
        <v>88.208000000000013</v>
      </c>
    </row>
    <row r="1260" spans="1:24" x14ac:dyDescent="0.25">
      <c r="A1260" s="44" t="s">
        <v>69</v>
      </c>
      <c r="B1260" s="13" t="str">
        <f t="shared" si="19"/>
        <v>Midfielder</v>
      </c>
      <c r="C1260" s="7">
        <v>45373.414456018516</v>
      </c>
      <c r="D1260" s="14">
        <v>6125</v>
      </c>
      <c r="E1260" s="14">
        <v>63</v>
      </c>
      <c r="F1260" s="14">
        <v>22</v>
      </c>
      <c r="G1260" s="14">
        <v>27</v>
      </c>
      <c r="H1260" s="14">
        <v>64.56</v>
      </c>
      <c r="I1260" s="14">
        <f>'PIVOT TABLES'!$B$26</f>
        <v>60.283999999999999</v>
      </c>
      <c r="J1260" s="14">
        <f>'PIVOT TABLES'!$B$27-'PIVOT TABLES'!$B$26</f>
        <v>30.142000000000003</v>
      </c>
      <c r="K1260" s="14">
        <f>'PIVOT TABLES'!$B$28-'PIVOT TABLES'!$B$27</f>
        <v>30.141999999999996</v>
      </c>
      <c r="L1260" s="14">
        <f>200-SUM(Table3[[#This Row],[D - LIGHT]:[D - VIGOROUS]])</f>
        <v>79.432000000000002</v>
      </c>
      <c r="M1260" s="14">
        <f>'PIVOT TABLES'!$I$26</f>
        <v>65.603999999999999</v>
      </c>
      <c r="N1260" s="14">
        <f>'PIVOT TABLES'!$I$27-'PIVOT TABLES'!$I$26</f>
        <v>32.802000000000007</v>
      </c>
      <c r="O1260" s="14">
        <f>'PIVOT TABLES'!$I$28-'PIVOT TABLES'!$I$27</f>
        <v>32.801999999999992</v>
      </c>
      <c r="P1260" s="14">
        <f>200-SUM(Table3[[#This Row],[M - LIGHT]:[M - VIGOROUS]])</f>
        <v>68.792000000000002</v>
      </c>
      <c r="Q1260" s="14">
        <f>'PIVOT TABLES'!$P$26</f>
        <v>62.64</v>
      </c>
      <c r="R1260" s="14">
        <f>'PIVOT TABLES'!$P$27-'PIVOT TABLES'!$P$26</f>
        <v>31.320000000000007</v>
      </c>
      <c r="S1260" s="14">
        <f>'PIVOT TABLES'!$P$28-'PIVOT TABLES'!$P$27</f>
        <v>31.319999999999993</v>
      </c>
      <c r="T1260" s="14">
        <f>200-SUM(Table3[[#This Row],[W - LIGHT]:[W - VIGOROUS]])</f>
        <v>74.72</v>
      </c>
      <c r="U1260" s="14">
        <f>'PIVOT TABLES'!$W$26</f>
        <v>55.895999999999994</v>
      </c>
      <c r="V1260" s="14">
        <f>'PIVOT TABLES'!$W$27-'PIVOT TABLES'!$W$26</f>
        <v>27.948</v>
      </c>
      <c r="W1260" s="14">
        <f>'PIVOT TABLES'!$W$28-'PIVOT TABLES'!$W$27</f>
        <v>27.947999999999993</v>
      </c>
      <c r="X1260" s="14">
        <f>200-SUM(Table3[[#This Row],[S - LIGHT]:[S - VIGOROUS]])</f>
        <v>88.208000000000013</v>
      </c>
    </row>
    <row r="1261" spans="1:24" x14ac:dyDescent="0.25">
      <c r="A1261" s="44" t="s">
        <v>70</v>
      </c>
      <c r="B1261" s="13" t="str">
        <f t="shared" si="19"/>
        <v>Winger</v>
      </c>
      <c r="C1261" s="7">
        <v>45374.358877314815</v>
      </c>
      <c r="D1261" s="14">
        <v>6589</v>
      </c>
      <c r="E1261" s="14">
        <v>150</v>
      </c>
      <c r="F1261" s="14">
        <v>23</v>
      </c>
      <c r="G1261" s="14">
        <v>24</v>
      </c>
      <c r="H1261" s="14">
        <v>71.790000000000006</v>
      </c>
      <c r="I1261" s="14">
        <f>'PIVOT TABLES'!$B$26</f>
        <v>60.283999999999999</v>
      </c>
      <c r="J1261" s="14">
        <f>'PIVOT TABLES'!$B$27-'PIVOT TABLES'!$B$26</f>
        <v>30.142000000000003</v>
      </c>
      <c r="K1261" s="14">
        <f>'PIVOT TABLES'!$B$28-'PIVOT TABLES'!$B$27</f>
        <v>30.141999999999996</v>
      </c>
      <c r="L1261" s="14">
        <f>200-SUM(Table3[[#This Row],[D - LIGHT]:[D - VIGOROUS]])</f>
        <v>79.432000000000002</v>
      </c>
      <c r="M1261" s="14">
        <f>'PIVOT TABLES'!$I$26</f>
        <v>65.603999999999999</v>
      </c>
      <c r="N1261" s="14">
        <f>'PIVOT TABLES'!$I$27-'PIVOT TABLES'!$I$26</f>
        <v>32.802000000000007</v>
      </c>
      <c r="O1261" s="14">
        <f>'PIVOT TABLES'!$I$28-'PIVOT TABLES'!$I$27</f>
        <v>32.801999999999992</v>
      </c>
      <c r="P1261" s="14">
        <f>200-SUM(Table3[[#This Row],[M - LIGHT]:[M - VIGOROUS]])</f>
        <v>68.792000000000002</v>
      </c>
      <c r="Q1261" s="14">
        <f>'PIVOT TABLES'!$P$26</f>
        <v>62.64</v>
      </c>
      <c r="R1261" s="14">
        <f>'PIVOT TABLES'!$P$27-'PIVOT TABLES'!$P$26</f>
        <v>31.320000000000007</v>
      </c>
      <c r="S1261" s="14">
        <f>'PIVOT TABLES'!$P$28-'PIVOT TABLES'!$P$27</f>
        <v>31.319999999999993</v>
      </c>
      <c r="T1261" s="14">
        <f>200-SUM(Table3[[#This Row],[W - LIGHT]:[W - VIGOROUS]])</f>
        <v>74.72</v>
      </c>
      <c r="U1261" s="14">
        <f>'PIVOT TABLES'!$W$26</f>
        <v>55.895999999999994</v>
      </c>
      <c r="V1261" s="14">
        <f>'PIVOT TABLES'!$W$27-'PIVOT TABLES'!$W$26</f>
        <v>27.948</v>
      </c>
      <c r="W1261" s="14">
        <f>'PIVOT TABLES'!$W$28-'PIVOT TABLES'!$W$27</f>
        <v>27.947999999999993</v>
      </c>
      <c r="X1261" s="14">
        <f>200-SUM(Table3[[#This Row],[S - LIGHT]:[S - VIGOROUS]])</f>
        <v>88.208000000000013</v>
      </c>
    </row>
    <row r="1262" spans="1:24" x14ac:dyDescent="0.25">
      <c r="A1262" s="44" t="s">
        <v>53</v>
      </c>
      <c r="B1262" s="13" t="str">
        <f t="shared" si="19"/>
        <v>Midfielder</v>
      </c>
      <c r="C1262" s="7">
        <v>45374.358877314815</v>
      </c>
      <c r="D1262" s="14">
        <v>12277</v>
      </c>
      <c r="E1262" s="14">
        <v>92</v>
      </c>
      <c r="F1262" s="14">
        <v>40</v>
      </c>
      <c r="G1262" s="14">
        <v>46</v>
      </c>
      <c r="H1262" s="14">
        <v>128.05000000000001</v>
      </c>
      <c r="I1262" s="14">
        <f>'PIVOT TABLES'!$B$26</f>
        <v>60.283999999999999</v>
      </c>
      <c r="J1262" s="14">
        <f>'PIVOT TABLES'!$B$27-'PIVOT TABLES'!$B$26</f>
        <v>30.142000000000003</v>
      </c>
      <c r="K1262" s="14">
        <f>'PIVOT TABLES'!$B$28-'PIVOT TABLES'!$B$27</f>
        <v>30.141999999999996</v>
      </c>
      <c r="L1262" s="14">
        <f>200-SUM(Table3[[#This Row],[D - LIGHT]:[D - VIGOROUS]])</f>
        <v>79.432000000000002</v>
      </c>
      <c r="M1262" s="14">
        <f>'PIVOT TABLES'!$I$26</f>
        <v>65.603999999999999</v>
      </c>
      <c r="N1262" s="14">
        <f>'PIVOT TABLES'!$I$27-'PIVOT TABLES'!$I$26</f>
        <v>32.802000000000007</v>
      </c>
      <c r="O1262" s="14">
        <f>'PIVOT TABLES'!$I$28-'PIVOT TABLES'!$I$27</f>
        <v>32.801999999999992</v>
      </c>
      <c r="P1262" s="14">
        <f>200-SUM(Table3[[#This Row],[M - LIGHT]:[M - VIGOROUS]])</f>
        <v>68.792000000000002</v>
      </c>
      <c r="Q1262" s="14">
        <f>'PIVOT TABLES'!$P$26</f>
        <v>62.64</v>
      </c>
      <c r="R1262" s="14">
        <f>'PIVOT TABLES'!$P$27-'PIVOT TABLES'!$P$26</f>
        <v>31.320000000000007</v>
      </c>
      <c r="S1262" s="14">
        <f>'PIVOT TABLES'!$P$28-'PIVOT TABLES'!$P$27</f>
        <v>31.319999999999993</v>
      </c>
      <c r="T1262" s="14">
        <f>200-SUM(Table3[[#This Row],[W - LIGHT]:[W - VIGOROUS]])</f>
        <v>74.72</v>
      </c>
      <c r="U1262" s="14">
        <f>'PIVOT TABLES'!$W$26</f>
        <v>55.895999999999994</v>
      </c>
      <c r="V1262" s="14">
        <f>'PIVOT TABLES'!$W$27-'PIVOT TABLES'!$W$26</f>
        <v>27.948</v>
      </c>
      <c r="W1262" s="14">
        <f>'PIVOT TABLES'!$W$28-'PIVOT TABLES'!$W$27</f>
        <v>27.947999999999993</v>
      </c>
      <c r="X1262" s="14">
        <f>200-SUM(Table3[[#This Row],[S - LIGHT]:[S - VIGOROUS]])</f>
        <v>88.208000000000013</v>
      </c>
    </row>
    <row r="1263" spans="1:24" x14ac:dyDescent="0.25">
      <c r="A1263" s="44" t="s">
        <v>55</v>
      </c>
      <c r="B1263" s="13" t="str">
        <f t="shared" si="19"/>
        <v>Striker</v>
      </c>
      <c r="C1263" s="7">
        <v>45374.358877314815</v>
      </c>
      <c r="D1263" s="14">
        <v>9561</v>
      </c>
      <c r="E1263" s="14">
        <v>79</v>
      </c>
      <c r="F1263" s="14">
        <v>20</v>
      </c>
      <c r="G1263" s="14">
        <v>34</v>
      </c>
      <c r="H1263" s="14">
        <v>99.46</v>
      </c>
      <c r="I1263" s="14">
        <f>'PIVOT TABLES'!$B$26</f>
        <v>60.283999999999999</v>
      </c>
      <c r="J1263" s="14">
        <f>'PIVOT TABLES'!$B$27-'PIVOT TABLES'!$B$26</f>
        <v>30.142000000000003</v>
      </c>
      <c r="K1263" s="14">
        <f>'PIVOT TABLES'!$B$28-'PIVOT TABLES'!$B$27</f>
        <v>30.141999999999996</v>
      </c>
      <c r="L1263" s="14">
        <f>200-SUM(Table3[[#This Row],[D - LIGHT]:[D - VIGOROUS]])</f>
        <v>79.432000000000002</v>
      </c>
      <c r="M1263" s="14">
        <f>'PIVOT TABLES'!$I$26</f>
        <v>65.603999999999999</v>
      </c>
      <c r="N1263" s="14">
        <f>'PIVOT TABLES'!$I$27-'PIVOT TABLES'!$I$26</f>
        <v>32.802000000000007</v>
      </c>
      <c r="O1263" s="14">
        <f>'PIVOT TABLES'!$I$28-'PIVOT TABLES'!$I$27</f>
        <v>32.801999999999992</v>
      </c>
      <c r="P1263" s="14">
        <f>200-SUM(Table3[[#This Row],[M - LIGHT]:[M - VIGOROUS]])</f>
        <v>68.792000000000002</v>
      </c>
      <c r="Q1263" s="14">
        <f>'PIVOT TABLES'!$P$26</f>
        <v>62.64</v>
      </c>
      <c r="R1263" s="14">
        <f>'PIVOT TABLES'!$P$27-'PIVOT TABLES'!$P$26</f>
        <v>31.320000000000007</v>
      </c>
      <c r="S1263" s="14">
        <f>'PIVOT TABLES'!$P$28-'PIVOT TABLES'!$P$27</f>
        <v>31.319999999999993</v>
      </c>
      <c r="T1263" s="14">
        <f>200-SUM(Table3[[#This Row],[W - LIGHT]:[W - VIGOROUS]])</f>
        <v>74.72</v>
      </c>
      <c r="U1263" s="14">
        <f>'PIVOT TABLES'!$W$26</f>
        <v>55.895999999999994</v>
      </c>
      <c r="V1263" s="14">
        <f>'PIVOT TABLES'!$W$27-'PIVOT TABLES'!$W$26</f>
        <v>27.948</v>
      </c>
      <c r="W1263" s="14">
        <f>'PIVOT TABLES'!$W$28-'PIVOT TABLES'!$W$27</f>
        <v>27.947999999999993</v>
      </c>
      <c r="X1263" s="14">
        <f>200-SUM(Table3[[#This Row],[S - LIGHT]:[S - VIGOROUS]])</f>
        <v>88.208000000000013</v>
      </c>
    </row>
    <row r="1264" spans="1:24" x14ac:dyDescent="0.25">
      <c r="A1264" s="44" t="s">
        <v>1</v>
      </c>
      <c r="B1264" s="13" t="str">
        <f t="shared" si="19"/>
        <v>Defender</v>
      </c>
      <c r="C1264" s="7">
        <v>45374.358877314815</v>
      </c>
      <c r="D1264" s="14">
        <v>11010</v>
      </c>
      <c r="E1264" s="14">
        <v>138</v>
      </c>
      <c r="F1264" s="14">
        <v>31</v>
      </c>
      <c r="G1264" s="14">
        <v>26</v>
      </c>
      <c r="H1264" s="14">
        <v>116</v>
      </c>
      <c r="I1264" s="14">
        <f>'PIVOT TABLES'!$B$26</f>
        <v>60.283999999999999</v>
      </c>
      <c r="J1264" s="14">
        <f>'PIVOT TABLES'!$B$27-'PIVOT TABLES'!$B$26</f>
        <v>30.142000000000003</v>
      </c>
      <c r="K1264" s="14">
        <f>'PIVOT TABLES'!$B$28-'PIVOT TABLES'!$B$27</f>
        <v>30.141999999999996</v>
      </c>
      <c r="L1264" s="14">
        <f>200-SUM(Table3[[#This Row],[D - LIGHT]:[D - VIGOROUS]])</f>
        <v>79.432000000000002</v>
      </c>
      <c r="M1264" s="14">
        <f>'PIVOT TABLES'!$I$26</f>
        <v>65.603999999999999</v>
      </c>
      <c r="N1264" s="14">
        <f>'PIVOT TABLES'!$I$27-'PIVOT TABLES'!$I$26</f>
        <v>32.802000000000007</v>
      </c>
      <c r="O1264" s="14">
        <f>'PIVOT TABLES'!$I$28-'PIVOT TABLES'!$I$27</f>
        <v>32.801999999999992</v>
      </c>
      <c r="P1264" s="14">
        <f>200-SUM(Table3[[#This Row],[M - LIGHT]:[M - VIGOROUS]])</f>
        <v>68.792000000000002</v>
      </c>
      <c r="Q1264" s="14">
        <f>'PIVOT TABLES'!$P$26</f>
        <v>62.64</v>
      </c>
      <c r="R1264" s="14">
        <f>'PIVOT TABLES'!$P$27-'PIVOT TABLES'!$P$26</f>
        <v>31.320000000000007</v>
      </c>
      <c r="S1264" s="14">
        <f>'PIVOT TABLES'!$P$28-'PIVOT TABLES'!$P$27</f>
        <v>31.319999999999993</v>
      </c>
      <c r="T1264" s="14">
        <f>200-SUM(Table3[[#This Row],[W - LIGHT]:[W - VIGOROUS]])</f>
        <v>74.72</v>
      </c>
      <c r="U1264" s="14">
        <f>'PIVOT TABLES'!$W$26</f>
        <v>55.895999999999994</v>
      </c>
      <c r="V1264" s="14">
        <f>'PIVOT TABLES'!$W$27-'PIVOT TABLES'!$W$26</f>
        <v>27.948</v>
      </c>
      <c r="W1264" s="14">
        <f>'PIVOT TABLES'!$W$28-'PIVOT TABLES'!$W$27</f>
        <v>27.947999999999993</v>
      </c>
      <c r="X1264" s="14">
        <f>200-SUM(Table3[[#This Row],[S - LIGHT]:[S - VIGOROUS]])</f>
        <v>88.208000000000013</v>
      </c>
    </row>
    <row r="1265" spans="1:24" x14ac:dyDescent="0.25">
      <c r="A1265" s="44" t="s">
        <v>56</v>
      </c>
      <c r="B1265" s="13" t="str">
        <f t="shared" si="19"/>
        <v>Midfielder</v>
      </c>
      <c r="C1265" s="7">
        <v>45374.358877314815</v>
      </c>
      <c r="D1265" s="14">
        <v>14698</v>
      </c>
      <c r="E1265" s="14">
        <v>154</v>
      </c>
      <c r="F1265" s="14">
        <v>43</v>
      </c>
      <c r="G1265" s="14">
        <v>23</v>
      </c>
      <c r="H1265" s="14">
        <v>153.78</v>
      </c>
      <c r="I1265" s="14">
        <f>'PIVOT TABLES'!$B$26</f>
        <v>60.283999999999999</v>
      </c>
      <c r="J1265" s="14">
        <f>'PIVOT TABLES'!$B$27-'PIVOT TABLES'!$B$26</f>
        <v>30.142000000000003</v>
      </c>
      <c r="K1265" s="14">
        <f>'PIVOT TABLES'!$B$28-'PIVOT TABLES'!$B$27</f>
        <v>30.141999999999996</v>
      </c>
      <c r="L1265" s="14">
        <f>200-SUM(Table3[[#This Row],[D - LIGHT]:[D - VIGOROUS]])</f>
        <v>79.432000000000002</v>
      </c>
      <c r="M1265" s="14">
        <f>'PIVOT TABLES'!$I$26</f>
        <v>65.603999999999999</v>
      </c>
      <c r="N1265" s="14">
        <f>'PIVOT TABLES'!$I$27-'PIVOT TABLES'!$I$26</f>
        <v>32.802000000000007</v>
      </c>
      <c r="O1265" s="14">
        <f>'PIVOT TABLES'!$I$28-'PIVOT TABLES'!$I$27</f>
        <v>32.801999999999992</v>
      </c>
      <c r="P1265" s="14">
        <f>200-SUM(Table3[[#This Row],[M - LIGHT]:[M - VIGOROUS]])</f>
        <v>68.792000000000002</v>
      </c>
      <c r="Q1265" s="14">
        <f>'PIVOT TABLES'!$P$26</f>
        <v>62.64</v>
      </c>
      <c r="R1265" s="14">
        <f>'PIVOT TABLES'!$P$27-'PIVOT TABLES'!$P$26</f>
        <v>31.320000000000007</v>
      </c>
      <c r="S1265" s="14">
        <f>'PIVOT TABLES'!$P$28-'PIVOT TABLES'!$P$27</f>
        <v>31.319999999999993</v>
      </c>
      <c r="T1265" s="14">
        <f>200-SUM(Table3[[#This Row],[W - LIGHT]:[W - VIGOROUS]])</f>
        <v>74.72</v>
      </c>
      <c r="U1265" s="14">
        <f>'PIVOT TABLES'!$W$26</f>
        <v>55.895999999999994</v>
      </c>
      <c r="V1265" s="14">
        <f>'PIVOT TABLES'!$W$27-'PIVOT TABLES'!$W$26</f>
        <v>27.948</v>
      </c>
      <c r="W1265" s="14">
        <f>'PIVOT TABLES'!$W$28-'PIVOT TABLES'!$W$27</f>
        <v>27.947999999999993</v>
      </c>
      <c r="X1265" s="14">
        <f>200-SUM(Table3[[#This Row],[S - LIGHT]:[S - VIGOROUS]])</f>
        <v>88.208000000000013</v>
      </c>
    </row>
    <row r="1266" spans="1:24" x14ac:dyDescent="0.25">
      <c r="A1266" s="44" t="s">
        <v>58</v>
      </c>
      <c r="B1266" s="13" t="str">
        <f t="shared" si="19"/>
        <v>Defender</v>
      </c>
      <c r="C1266" s="7">
        <v>45374.358877314815</v>
      </c>
      <c r="D1266" s="14">
        <v>11645</v>
      </c>
      <c r="E1266" s="14">
        <v>132</v>
      </c>
      <c r="F1266" s="14">
        <v>44</v>
      </c>
      <c r="G1266" s="14">
        <v>26</v>
      </c>
      <c r="H1266" s="14">
        <v>122.69</v>
      </c>
      <c r="I1266" s="14">
        <f>'PIVOT TABLES'!$B$26</f>
        <v>60.283999999999999</v>
      </c>
      <c r="J1266" s="14">
        <f>'PIVOT TABLES'!$B$27-'PIVOT TABLES'!$B$26</f>
        <v>30.142000000000003</v>
      </c>
      <c r="K1266" s="14">
        <f>'PIVOT TABLES'!$B$28-'PIVOT TABLES'!$B$27</f>
        <v>30.141999999999996</v>
      </c>
      <c r="L1266" s="14">
        <f>200-SUM(Table3[[#This Row],[D - LIGHT]:[D - VIGOROUS]])</f>
        <v>79.432000000000002</v>
      </c>
      <c r="M1266" s="14">
        <f>'PIVOT TABLES'!$I$26</f>
        <v>65.603999999999999</v>
      </c>
      <c r="N1266" s="14">
        <f>'PIVOT TABLES'!$I$27-'PIVOT TABLES'!$I$26</f>
        <v>32.802000000000007</v>
      </c>
      <c r="O1266" s="14">
        <f>'PIVOT TABLES'!$I$28-'PIVOT TABLES'!$I$27</f>
        <v>32.801999999999992</v>
      </c>
      <c r="P1266" s="14">
        <f>200-SUM(Table3[[#This Row],[M - LIGHT]:[M - VIGOROUS]])</f>
        <v>68.792000000000002</v>
      </c>
      <c r="Q1266" s="14">
        <f>'PIVOT TABLES'!$P$26</f>
        <v>62.64</v>
      </c>
      <c r="R1266" s="14">
        <f>'PIVOT TABLES'!$P$27-'PIVOT TABLES'!$P$26</f>
        <v>31.320000000000007</v>
      </c>
      <c r="S1266" s="14">
        <f>'PIVOT TABLES'!$P$28-'PIVOT TABLES'!$P$27</f>
        <v>31.319999999999993</v>
      </c>
      <c r="T1266" s="14">
        <f>200-SUM(Table3[[#This Row],[W - LIGHT]:[W - VIGOROUS]])</f>
        <v>74.72</v>
      </c>
      <c r="U1266" s="14">
        <f>'PIVOT TABLES'!$W$26</f>
        <v>55.895999999999994</v>
      </c>
      <c r="V1266" s="14">
        <f>'PIVOT TABLES'!$W$27-'PIVOT TABLES'!$W$26</f>
        <v>27.948</v>
      </c>
      <c r="W1266" s="14">
        <f>'PIVOT TABLES'!$W$28-'PIVOT TABLES'!$W$27</f>
        <v>27.947999999999993</v>
      </c>
      <c r="X1266" s="14">
        <f>200-SUM(Table3[[#This Row],[S - LIGHT]:[S - VIGOROUS]])</f>
        <v>88.208000000000013</v>
      </c>
    </row>
    <row r="1267" spans="1:24" x14ac:dyDescent="0.25">
      <c r="A1267" s="44" t="s">
        <v>94</v>
      </c>
      <c r="B1267" s="13" t="str">
        <f t="shared" si="19"/>
        <v>Defender</v>
      </c>
      <c r="C1267" s="7">
        <v>45374.358877314815</v>
      </c>
      <c r="D1267" s="14">
        <v>11647</v>
      </c>
      <c r="E1267" s="14">
        <v>60</v>
      </c>
      <c r="F1267" s="14">
        <v>21</v>
      </c>
      <c r="G1267" s="14">
        <v>22</v>
      </c>
      <c r="H1267" s="14">
        <v>119.55</v>
      </c>
      <c r="I1267" s="14">
        <f>'PIVOT TABLES'!$B$26</f>
        <v>60.283999999999999</v>
      </c>
      <c r="J1267" s="14">
        <f>'PIVOT TABLES'!$B$27-'PIVOT TABLES'!$B$26</f>
        <v>30.142000000000003</v>
      </c>
      <c r="K1267" s="14">
        <f>'PIVOT TABLES'!$B$28-'PIVOT TABLES'!$B$27</f>
        <v>30.141999999999996</v>
      </c>
      <c r="L1267" s="14">
        <f>200-SUM(Table3[[#This Row],[D - LIGHT]:[D - VIGOROUS]])</f>
        <v>79.432000000000002</v>
      </c>
      <c r="M1267" s="14">
        <f>'PIVOT TABLES'!$I$26</f>
        <v>65.603999999999999</v>
      </c>
      <c r="N1267" s="14">
        <f>'PIVOT TABLES'!$I$27-'PIVOT TABLES'!$I$26</f>
        <v>32.802000000000007</v>
      </c>
      <c r="O1267" s="14">
        <f>'PIVOT TABLES'!$I$28-'PIVOT TABLES'!$I$27</f>
        <v>32.801999999999992</v>
      </c>
      <c r="P1267" s="14">
        <f>200-SUM(Table3[[#This Row],[M - LIGHT]:[M - VIGOROUS]])</f>
        <v>68.792000000000002</v>
      </c>
      <c r="Q1267" s="14">
        <f>'PIVOT TABLES'!$P$26</f>
        <v>62.64</v>
      </c>
      <c r="R1267" s="14">
        <f>'PIVOT TABLES'!$P$27-'PIVOT TABLES'!$P$26</f>
        <v>31.320000000000007</v>
      </c>
      <c r="S1267" s="14">
        <f>'PIVOT TABLES'!$P$28-'PIVOT TABLES'!$P$27</f>
        <v>31.319999999999993</v>
      </c>
      <c r="T1267" s="14">
        <f>200-SUM(Table3[[#This Row],[W - LIGHT]:[W - VIGOROUS]])</f>
        <v>74.72</v>
      </c>
      <c r="U1267" s="14">
        <f>'PIVOT TABLES'!$W$26</f>
        <v>55.895999999999994</v>
      </c>
      <c r="V1267" s="14">
        <f>'PIVOT TABLES'!$W$27-'PIVOT TABLES'!$W$26</f>
        <v>27.948</v>
      </c>
      <c r="W1267" s="14">
        <f>'PIVOT TABLES'!$W$28-'PIVOT TABLES'!$W$27</f>
        <v>27.947999999999993</v>
      </c>
      <c r="X1267" s="14">
        <f>200-SUM(Table3[[#This Row],[S - LIGHT]:[S - VIGOROUS]])</f>
        <v>88.208000000000013</v>
      </c>
    </row>
    <row r="1268" spans="1:24" x14ac:dyDescent="0.25">
      <c r="A1268" s="44" t="s">
        <v>3</v>
      </c>
      <c r="B1268" s="13" t="str">
        <f t="shared" si="19"/>
        <v>Defender</v>
      </c>
      <c r="C1268" s="7">
        <v>45374.358877314815</v>
      </c>
      <c r="D1268" s="14">
        <v>12130</v>
      </c>
      <c r="E1268" s="14">
        <v>214</v>
      </c>
      <c r="F1268" s="14">
        <v>34</v>
      </c>
      <c r="G1268" s="14">
        <v>48</v>
      </c>
      <c r="H1268" s="14">
        <v>130.04</v>
      </c>
      <c r="I1268" s="14">
        <f>'PIVOT TABLES'!$B$26</f>
        <v>60.283999999999999</v>
      </c>
      <c r="J1268" s="14">
        <f>'PIVOT TABLES'!$B$27-'PIVOT TABLES'!$B$26</f>
        <v>30.142000000000003</v>
      </c>
      <c r="K1268" s="14">
        <f>'PIVOT TABLES'!$B$28-'PIVOT TABLES'!$B$27</f>
        <v>30.141999999999996</v>
      </c>
      <c r="L1268" s="14">
        <f>200-SUM(Table3[[#This Row],[D - LIGHT]:[D - VIGOROUS]])</f>
        <v>79.432000000000002</v>
      </c>
      <c r="M1268" s="14">
        <f>'PIVOT TABLES'!$I$26</f>
        <v>65.603999999999999</v>
      </c>
      <c r="N1268" s="14">
        <f>'PIVOT TABLES'!$I$27-'PIVOT TABLES'!$I$26</f>
        <v>32.802000000000007</v>
      </c>
      <c r="O1268" s="14">
        <f>'PIVOT TABLES'!$I$28-'PIVOT TABLES'!$I$27</f>
        <v>32.801999999999992</v>
      </c>
      <c r="P1268" s="14">
        <f>200-SUM(Table3[[#This Row],[M - LIGHT]:[M - VIGOROUS]])</f>
        <v>68.792000000000002</v>
      </c>
      <c r="Q1268" s="14">
        <f>'PIVOT TABLES'!$P$26</f>
        <v>62.64</v>
      </c>
      <c r="R1268" s="14">
        <f>'PIVOT TABLES'!$P$27-'PIVOT TABLES'!$P$26</f>
        <v>31.320000000000007</v>
      </c>
      <c r="S1268" s="14">
        <f>'PIVOT TABLES'!$P$28-'PIVOT TABLES'!$P$27</f>
        <v>31.319999999999993</v>
      </c>
      <c r="T1268" s="14">
        <f>200-SUM(Table3[[#This Row],[W - LIGHT]:[W - VIGOROUS]])</f>
        <v>74.72</v>
      </c>
      <c r="U1268" s="14">
        <f>'PIVOT TABLES'!$W$26</f>
        <v>55.895999999999994</v>
      </c>
      <c r="V1268" s="14">
        <f>'PIVOT TABLES'!$W$27-'PIVOT TABLES'!$W$26</f>
        <v>27.948</v>
      </c>
      <c r="W1268" s="14">
        <f>'PIVOT TABLES'!$W$28-'PIVOT TABLES'!$W$27</f>
        <v>27.947999999999993</v>
      </c>
      <c r="X1268" s="14">
        <f>200-SUM(Table3[[#This Row],[S - LIGHT]:[S - VIGOROUS]])</f>
        <v>88.208000000000013</v>
      </c>
    </row>
    <row r="1269" spans="1:24" x14ac:dyDescent="0.25">
      <c r="A1269" s="44" t="s">
        <v>59</v>
      </c>
      <c r="B1269" s="13" t="str">
        <f t="shared" si="19"/>
        <v>Striker</v>
      </c>
      <c r="C1269" s="7">
        <v>45374.358877314815</v>
      </c>
      <c r="D1269" s="14">
        <v>11985</v>
      </c>
      <c r="E1269" s="14">
        <v>193</v>
      </c>
      <c r="F1269" s="14">
        <v>56</v>
      </c>
      <c r="G1269" s="14">
        <v>43</v>
      </c>
      <c r="H1269" s="14">
        <v>128.74</v>
      </c>
      <c r="I1269" s="14">
        <f>'PIVOT TABLES'!$B$26</f>
        <v>60.283999999999999</v>
      </c>
      <c r="J1269" s="14">
        <f>'PIVOT TABLES'!$B$27-'PIVOT TABLES'!$B$26</f>
        <v>30.142000000000003</v>
      </c>
      <c r="K1269" s="14">
        <f>'PIVOT TABLES'!$B$28-'PIVOT TABLES'!$B$27</f>
        <v>30.141999999999996</v>
      </c>
      <c r="L1269" s="14">
        <f>200-SUM(Table3[[#This Row],[D - LIGHT]:[D - VIGOROUS]])</f>
        <v>79.432000000000002</v>
      </c>
      <c r="M1269" s="14">
        <f>'PIVOT TABLES'!$I$26</f>
        <v>65.603999999999999</v>
      </c>
      <c r="N1269" s="14">
        <f>'PIVOT TABLES'!$I$27-'PIVOT TABLES'!$I$26</f>
        <v>32.802000000000007</v>
      </c>
      <c r="O1269" s="14">
        <f>'PIVOT TABLES'!$I$28-'PIVOT TABLES'!$I$27</f>
        <v>32.801999999999992</v>
      </c>
      <c r="P1269" s="14">
        <f>200-SUM(Table3[[#This Row],[M - LIGHT]:[M - VIGOROUS]])</f>
        <v>68.792000000000002</v>
      </c>
      <c r="Q1269" s="14">
        <f>'PIVOT TABLES'!$P$26</f>
        <v>62.64</v>
      </c>
      <c r="R1269" s="14">
        <f>'PIVOT TABLES'!$P$27-'PIVOT TABLES'!$P$26</f>
        <v>31.320000000000007</v>
      </c>
      <c r="S1269" s="14">
        <f>'PIVOT TABLES'!$P$28-'PIVOT TABLES'!$P$27</f>
        <v>31.319999999999993</v>
      </c>
      <c r="T1269" s="14">
        <f>200-SUM(Table3[[#This Row],[W - LIGHT]:[W - VIGOROUS]])</f>
        <v>74.72</v>
      </c>
      <c r="U1269" s="14">
        <f>'PIVOT TABLES'!$W$26</f>
        <v>55.895999999999994</v>
      </c>
      <c r="V1269" s="14">
        <f>'PIVOT TABLES'!$W$27-'PIVOT TABLES'!$W$26</f>
        <v>27.948</v>
      </c>
      <c r="W1269" s="14">
        <f>'PIVOT TABLES'!$W$28-'PIVOT TABLES'!$W$27</f>
        <v>27.947999999999993</v>
      </c>
      <c r="X1269" s="14">
        <f>200-SUM(Table3[[#This Row],[S - LIGHT]:[S - VIGOROUS]])</f>
        <v>88.208000000000013</v>
      </c>
    </row>
    <row r="1270" spans="1:24" x14ac:dyDescent="0.25">
      <c r="A1270" s="44" t="s">
        <v>4</v>
      </c>
      <c r="B1270" s="13" t="str">
        <f t="shared" si="19"/>
        <v>Midfielder</v>
      </c>
      <c r="C1270" s="7">
        <v>45374.358877314815</v>
      </c>
      <c r="D1270" s="14">
        <v>11068</v>
      </c>
      <c r="E1270" s="14">
        <v>143</v>
      </c>
      <c r="F1270" s="14">
        <v>20</v>
      </c>
      <c r="G1270" s="14">
        <v>23</v>
      </c>
      <c r="H1270" s="14">
        <v>116.23</v>
      </c>
      <c r="I1270" s="14">
        <f>'PIVOT TABLES'!$B$26</f>
        <v>60.283999999999999</v>
      </c>
      <c r="J1270" s="14">
        <f>'PIVOT TABLES'!$B$27-'PIVOT TABLES'!$B$26</f>
        <v>30.142000000000003</v>
      </c>
      <c r="K1270" s="14">
        <f>'PIVOT TABLES'!$B$28-'PIVOT TABLES'!$B$27</f>
        <v>30.141999999999996</v>
      </c>
      <c r="L1270" s="14">
        <f>200-SUM(Table3[[#This Row],[D - LIGHT]:[D - VIGOROUS]])</f>
        <v>79.432000000000002</v>
      </c>
      <c r="M1270" s="14">
        <f>'PIVOT TABLES'!$I$26</f>
        <v>65.603999999999999</v>
      </c>
      <c r="N1270" s="14">
        <f>'PIVOT TABLES'!$I$27-'PIVOT TABLES'!$I$26</f>
        <v>32.802000000000007</v>
      </c>
      <c r="O1270" s="14">
        <f>'PIVOT TABLES'!$I$28-'PIVOT TABLES'!$I$27</f>
        <v>32.801999999999992</v>
      </c>
      <c r="P1270" s="14">
        <f>200-SUM(Table3[[#This Row],[M - LIGHT]:[M - VIGOROUS]])</f>
        <v>68.792000000000002</v>
      </c>
      <c r="Q1270" s="14">
        <f>'PIVOT TABLES'!$P$26</f>
        <v>62.64</v>
      </c>
      <c r="R1270" s="14">
        <f>'PIVOT TABLES'!$P$27-'PIVOT TABLES'!$P$26</f>
        <v>31.320000000000007</v>
      </c>
      <c r="S1270" s="14">
        <f>'PIVOT TABLES'!$P$28-'PIVOT TABLES'!$P$27</f>
        <v>31.319999999999993</v>
      </c>
      <c r="T1270" s="14">
        <f>200-SUM(Table3[[#This Row],[W - LIGHT]:[W - VIGOROUS]])</f>
        <v>74.72</v>
      </c>
      <c r="U1270" s="14">
        <f>'PIVOT TABLES'!$W$26</f>
        <v>55.895999999999994</v>
      </c>
      <c r="V1270" s="14">
        <f>'PIVOT TABLES'!$W$27-'PIVOT TABLES'!$W$26</f>
        <v>27.948</v>
      </c>
      <c r="W1270" s="14">
        <f>'PIVOT TABLES'!$W$28-'PIVOT TABLES'!$W$27</f>
        <v>27.947999999999993</v>
      </c>
      <c r="X1270" s="14">
        <f>200-SUM(Table3[[#This Row],[S - LIGHT]:[S - VIGOROUS]])</f>
        <v>88.208000000000013</v>
      </c>
    </row>
    <row r="1271" spans="1:24" x14ac:dyDescent="0.25">
      <c r="A1271" s="44" t="s">
        <v>60</v>
      </c>
      <c r="B1271" s="13" t="str">
        <f t="shared" si="19"/>
        <v>Winger</v>
      </c>
      <c r="C1271" s="7">
        <v>45374.358877314815</v>
      </c>
      <c r="D1271" s="14">
        <v>6793</v>
      </c>
      <c r="E1271" s="14">
        <v>123</v>
      </c>
      <c r="F1271" s="14">
        <v>27</v>
      </c>
      <c r="G1271" s="14">
        <v>24</v>
      </c>
      <c r="H1271" s="14">
        <v>73.180000000000007</v>
      </c>
      <c r="I1271" s="14">
        <f>'PIVOT TABLES'!$B$26</f>
        <v>60.283999999999999</v>
      </c>
      <c r="J1271" s="14">
        <f>'PIVOT TABLES'!$B$27-'PIVOT TABLES'!$B$26</f>
        <v>30.142000000000003</v>
      </c>
      <c r="K1271" s="14">
        <f>'PIVOT TABLES'!$B$28-'PIVOT TABLES'!$B$27</f>
        <v>30.141999999999996</v>
      </c>
      <c r="L1271" s="14">
        <f>200-SUM(Table3[[#This Row],[D - LIGHT]:[D - VIGOROUS]])</f>
        <v>79.432000000000002</v>
      </c>
      <c r="M1271" s="14">
        <f>'PIVOT TABLES'!$I$26</f>
        <v>65.603999999999999</v>
      </c>
      <c r="N1271" s="14">
        <f>'PIVOT TABLES'!$I$27-'PIVOT TABLES'!$I$26</f>
        <v>32.802000000000007</v>
      </c>
      <c r="O1271" s="14">
        <f>'PIVOT TABLES'!$I$28-'PIVOT TABLES'!$I$27</f>
        <v>32.801999999999992</v>
      </c>
      <c r="P1271" s="14">
        <f>200-SUM(Table3[[#This Row],[M - LIGHT]:[M - VIGOROUS]])</f>
        <v>68.792000000000002</v>
      </c>
      <c r="Q1271" s="14">
        <f>'PIVOT TABLES'!$P$26</f>
        <v>62.64</v>
      </c>
      <c r="R1271" s="14">
        <f>'PIVOT TABLES'!$P$27-'PIVOT TABLES'!$P$26</f>
        <v>31.320000000000007</v>
      </c>
      <c r="S1271" s="14">
        <f>'PIVOT TABLES'!$P$28-'PIVOT TABLES'!$P$27</f>
        <v>31.319999999999993</v>
      </c>
      <c r="T1271" s="14">
        <f>200-SUM(Table3[[#This Row],[W - LIGHT]:[W - VIGOROUS]])</f>
        <v>74.72</v>
      </c>
      <c r="U1271" s="14">
        <f>'PIVOT TABLES'!$W$26</f>
        <v>55.895999999999994</v>
      </c>
      <c r="V1271" s="14">
        <f>'PIVOT TABLES'!$W$27-'PIVOT TABLES'!$W$26</f>
        <v>27.948</v>
      </c>
      <c r="W1271" s="14">
        <f>'PIVOT TABLES'!$W$28-'PIVOT TABLES'!$W$27</f>
        <v>27.947999999999993</v>
      </c>
      <c r="X1271" s="14">
        <f>200-SUM(Table3[[#This Row],[S - LIGHT]:[S - VIGOROUS]])</f>
        <v>88.208000000000013</v>
      </c>
    </row>
    <row r="1272" spans="1:24" x14ac:dyDescent="0.25">
      <c r="A1272" s="44" t="s">
        <v>71</v>
      </c>
      <c r="B1272" s="13" t="str">
        <f t="shared" si="19"/>
        <v>Midfielder</v>
      </c>
      <c r="C1272" s="7">
        <v>45374.358877314815</v>
      </c>
      <c r="D1272" s="14">
        <v>7058</v>
      </c>
      <c r="E1272" s="14">
        <v>97</v>
      </c>
      <c r="F1272" s="14">
        <v>19</v>
      </c>
      <c r="G1272" s="14">
        <v>14</v>
      </c>
      <c r="H1272" s="14">
        <v>74.53</v>
      </c>
      <c r="I1272" s="14">
        <f>'PIVOT TABLES'!$B$26</f>
        <v>60.283999999999999</v>
      </c>
      <c r="J1272" s="14">
        <f>'PIVOT TABLES'!$B$27-'PIVOT TABLES'!$B$26</f>
        <v>30.142000000000003</v>
      </c>
      <c r="K1272" s="14">
        <f>'PIVOT TABLES'!$B$28-'PIVOT TABLES'!$B$27</f>
        <v>30.141999999999996</v>
      </c>
      <c r="L1272" s="14">
        <f>200-SUM(Table3[[#This Row],[D - LIGHT]:[D - VIGOROUS]])</f>
        <v>79.432000000000002</v>
      </c>
      <c r="M1272" s="14">
        <f>'PIVOT TABLES'!$I$26</f>
        <v>65.603999999999999</v>
      </c>
      <c r="N1272" s="14">
        <f>'PIVOT TABLES'!$I$27-'PIVOT TABLES'!$I$26</f>
        <v>32.802000000000007</v>
      </c>
      <c r="O1272" s="14">
        <f>'PIVOT TABLES'!$I$28-'PIVOT TABLES'!$I$27</f>
        <v>32.801999999999992</v>
      </c>
      <c r="P1272" s="14">
        <f>200-SUM(Table3[[#This Row],[M - LIGHT]:[M - VIGOROUS]])</f>
        <v>68.792000000000002</v>
      </c>
      <c r="Q1272" s="14">
        <f>'PIVOT TABLES'!$P$26</f>
        <v>62.64</v>
      </c>
      <c r="R1272" s="14">
        <f>'PIVOT TABLES'!$P$27-'PIVOT TABLES'!$P$26</f>
        <v>31.320000000000007</v>
      </c>
      <c r="S1272" s="14">
        <f>'PIVOT TABLES'!$P$28-'PIVOT TABLES'!$P$27</f>
        <v>31.319999999999993</v>
      </c>
      <c r="T1272" s="14">
        <f>200-SUM(Table3[[#This Row],[W - LIGHT]:[W - VIGOROUS]])</f>
        <v>74.72</v>
      </c>
      <c r="U1272" s="14">
        <f>'PIVOT TABLES'!$W$26</f>
        <v>55.895999999999994</v>
      </c>
      <c r="V1272" s="14">
        <f>'PIVOT TABLES'!$W$27-'PIVOT TABLES'!$W$26</f>
        <v>27.948</v>
      </c>
      <c r="W1272" s="14">
        <f>'PIVOT TABLES'!$W$28-'PIVOT TABLES'!$W$27</f>
        <v>27.947999999999993</v>
      </c>
      <c r="X1272" s="14">
        <f>200-SUM(Table3[[#This Row],[S - LIGHT]:[S - VIGOROUS]])</f>
        <v>88.208000000000013</v>
      </c>
    </row>
    <row r="1273" spans="1:24" x14ac:dyDescent="0.25">
      <c r="A1273" s="44" t="s">
        <v>5</v>
      </c>
      <c r="B1273" s="13" t="str">
        <f t="shared" si="19"/>
        <v>Midfielder</v>
      </c>
      <c r="C1273" s="7">
        <v>45374.358877314815</v>
      </c>
      <c r="D1273" s="14">
        <v>8567</v>
      </c>
      <c r="E1273" s="14">
        <v>55</v>
      </c>
      <c r="F1273" s="14">
        <v>38</v>
      </c>
      <c r="G1273" s="14">
        <v>18</v>
      </c>
      <c r="H1273" s="14">
        <v>89.2</v>
      </c>
      <c r="I1273" s="14">
        <f>'PIVOT TABLES'!$B$26</f>
        <v>60.283999999999999</v>
      </c>
      <c r="J1273" s="14">
        <f>'PIVOT TABLES'!$B$27-'PIVOT TABLES'!$B$26</f>
        <v>30.142000000000003</v>
      </c>
      <c r="K1273" s="14">
        <f>'PIVOT TABLES'!$B$28-'PIVOT TABLES'!$B$27</f>
        <v>30.141999999999996</v>
      </c>
      <c r="L1273" s="14">
        <f>200-SUM(Table3[[#This Row],[D - LIGHT]:[D - VIGOROUS]])</f>
        <v>79.432000000000002</v>
      </c>
      <c r="M1273" s="14">
        <f>'PIVOT TABLES'!$I$26</f>
        <v>65.603999999999999</v>
      </c>
      <c r="N1273" s="14">
        <f>'PIVOT TABLES'!$I$27-'PIVOT TABLES'!$I$26</f>
        <v>32.802000000000007</v>
      </c>
      <c r="O1273" s="14">
        <f>'PIVOT TABLES'!$I$28-'PIVOT TABLES'!$I$27</f>
        <v>32.801999999999992</v>
      </c>
      <c r="P1273" s="14">
        <f>200-SUM(Table3[[#This Row],[M - LIGHT]:[M - VIGOROUS]])</f>
        <v>68.792000000000002</v>
      </c>
      <c r="Q1273" s="14">
        <f>'PIVOT TABLES'!$P$26</f>
        <v>62.64</v>
      </c>
      <c r="R1273" s="14">
        <f>'PIVOT TABLES'!$P$27-'PIVOT TABLES'!$P$26</f>
        <v>31.320000000000007</v>
      </c>
      <c r="S1273" s="14">
        <f>'PIVOT TABLES'!$P$28-'PIVOT TABLES'!$P$27</f>
        <v>31.319999999999993</v>
      </c>
      <c r="T1273" s="14">
        <f>200-SUM(Table3[[#This Row],[W - LIGHT]:[W - VIGOROUS]])</f>
        <v>74.72</v>
      </c>
      <c r="U1273" s="14">
        <f>'PIVOT TABLES'!$W$26</f>
        <v>55.895999999999994</v>
      </c>
      <c r="V1273" s="14">
        <f>'PIVOT TABLES'!$W$27-'PIVOT TABLES'!$W$26</f>
        <v>27.948</v>
      </c>
      <c r="W1273" s="14">
        <f>'PIVOT TABLES'!$W$28-'PIVOT TABLES'!$W$27</f>
        <v>27.947999999999993</v>
      </c>
      <c r="X1273" s="14">
        <f>200-SUM(Table3[[#This Row],[S - LIGHT]:[S - VIGOROUS]])</f>
        <v>88.208000000000013</v>
      </c>
    </row>
    <row r="1274" spans="1:24" x14ac:dyDescent="0.25">
      <c r="A1274" s="44" t="s">
        <v>6</v>
      </c>
      <c r="B1274" s="13" t="str">
        <f t="shared" si="19"/>
        <v>Midfielder</v>
      </c>
      <c r="C1274" s="7">
        <v>45374.358877314815</v>
      </c>
      <c r="D1274" s="14">
        <v>12503</v>
      </c>
      <c r="E1274" s="14">
        <v>492</v>
      </c>
      <c r="F1274" s="14">
        <v>66</v>
      </c>
      <c r="G1274" s="14">
        <v>38</v>
      </c>
      <c r="H1274" s="14">
        <v>143.19</v>
      </c>
      <c r="I1274" s="14">
        <f>'PIVOT TABLES'!$B$26</f>
        <v>60.283999999999999</v>
      </c>
      <c r="J1274" s="14">
        <f>'PIVOT TABLES'!$B$27-'PIVOT TABLES'!$B$26</f>
        <v>30.142000000000003</v>
      </c>
      <c r="K1274" s="14">
        <f>'PIVOT TABLES'!$B$28-'PIVOT TABLES'!$B$27</f>
        <v>30.141999999999996</v>
      </c>
      <c r="L1274" s="14">
        <f>200-SUM(Table3[[#This Row],[D - LIGHT]:[D - VIGOROUS]])</f>
        <v>79.432000000000002</v>
      </c>
      <c r="M1274" s="14">
        <f>'PIVOT TABLES'!$I$26</f>
        <v>65.603999999999999</v>
      </c>
      <c r="N1274" s="14">
        <f>'PIVOT TABLES'!$I$27-'PIVOT TABLES'!$I$26</f>
        <v>32.802000000000007</v>
      </c>
      <c r="O1274" s="14">
        <f>'PIVOT TABLES'!$I$28-'PIVOT TABLES'!$I$27</f>
        <v>32.801999999999992</v>
      </c>
      <c r="P1274" s="14">
        <f>200-SUM(Table3[[#This Row],[M - LIGHT]:[M - VIGOROUS]])</f>
        <v>68.792000000000002</v>
      </c>
      <c r="Q1274" s="14">
        <f>'PIVOT TABLES'!$P$26</f>
        <v>62.64</v>
      </c>
      <c r="R1274" s="14">
        <f>'PIVOT TABLES'!$P$27-'PIVOT TABLES'!$P$26</f>
        <v>31.320000000000007</v>
      </c>
      <c r="S1274" s="14">
        <f>'PIVOT TABLES'!$P$28-'PIVOT TABLES'!$P$27</f>
        <v>31.319999999999993</v>
      </c>
      <c r="T1274" s="14">
        <f>200-SUM(Table3[[#This Row],[W - LIGHT]:[W - VIGOROUS]])</f>
        <v>74.72</v>
      </c>
      <c r="U1274" s="14">
        <f>'PIVOT TABLES'!$W$26</f>
        <v>55.895999999999994</v>
      </c>
      <c r="V1274" s="14">
        <f>'PIVOT TABLES'!$W$27-'PIVOT TABLES'!$W$26</f>
        <v>27.948</v>
      </c>
      <c r="W1274" s="14">
        <f>'PIVOT TABLES'!$W$28-'PIVOT TABLES'!$W$27</f>
        <v>27.947999999999993</v>
      </c>
      <c r="X1274" s="14">
        <f>200-SUM(Table3[[#This Row],[S - LIGHT]:[S - VIGOROUS]])</f>
        <v>88.208000000000013</v>
      </c>
    </row>
    <row r="1275" spans="1:24" x14ac:dyDescent="0.25">
      <c r="A1275" s="44" t="s">
        <v>62</v>
      </c>
      <c r="B1275" s="13" t="str">
        <f t="shared" si="19"/>
        <v>Midfielder</v>
      </c>
      <c r="C1275" s="7">
        <v>45374.358877314815</v>
      </c>
      <c r="D1275" s="14">
        <v>7846</v>
      </c>
      <c r="E1275" s="14">
        <v>72</v>
      </c>
      <c r="F1275" s="14">
        <v>23</v>
      </c>
      <c r="G1275" s="14">
        <v>9</v>
      </c>
      <c r="H1275" s="14">
        <v>81.72</v>
      </c>
      <c r="I1275" s="14">
        <f>'PIVOT TABLES'!$B$26</f>
        <v>60.283999999999999</v>
      </c>
      <c r="J1275" s="14">
        <f>'PIVOT TABLES'!$B$27-'PIVOT TABLES'!$B$26</f>
        <v>30.142000000000003</v>
      </c>
      <c r="K1275" s="14">
        <f>'PIVOT TABLES'!$B$28-'PIVOT TABLES'!$B$27</f>
        <v>30.141999999999996</v>
      </c>
      <c r="L1275" s="14">
        <f>200-SUM(Table3[[#This Row],[D - LIGHT]:[D - VIGOROUS]])</f>
        <v>79.432000000000002</v>
      </c>
      <c r="M1275" s="14">
        <f>'PIVOT TABLES'!$I$26</f>
        <v>65.603999999999999</v>
      </c>
      <c r="N1275" s="14">
        <f>'PIVOT TABLES'!$I$27-'PIVOT TABLES'!$I$26</f>
        <v>32.802000000000007</v>
      </c>
      <c r="O1275" s="14">
        <f>'PIVOT TABLES'!$I$28-'PIVOT TABLES'!$I$27</f>
        <v>32.801999999999992</v>
      </c>
      <c r="P1275" s="14">
        <f>200-SUM(Table3[[#This Row],[M - LIGHT]:[M - VIGOROUS]])</f>
        <v>68.792000000000002</v>
      </c>
      <c r="Q1275" s="14">
        <f>'PIVOT TABLES'!$P$26</f>
        <v>62.64</v>
      </c>
      <c r="R1275" s="14">
        <f>'PIVOT TABLES'!$P$27-'PIVOT TABLES'!$P$26</f>
        <v>31.320000000000007</v>
      </c>
      <c r="S1275" s="14">
        <f>'PIVOT TABLES'!$P$28-'PIVOT TABLES'!$P$27</f>
        <v>31.319999999999993</v>
      </c>
      <c r="T1275" s="14">
        <f>200-SUM(Table3[[#This Row],[W - LIGHT]:[W - VIGOROUS]])</f>
        <v>74.72</v>
      </c>
      <c r="U1275" s="14">
        <f>'PIVOT TABLES'!$W$26</f>
        <v>55.895999999999994</v>
      </c>
      <c r="V1275" s="14">
        <f>'PIVOT TABLES'!$W$27-'PIVOT TABLES'!$W$26</f>
        <v>27.948</v>
      </c>
      <c r="W1275" s="14">
        <f>'PIVOT TABLES'!$W$28-'PIVOT TABLES'!$W$27</f>
        <v>27.947999999999993</v>
      </c>
      <c r="X1275" s="14">
        <f>200-SUM(Table3[[#This Row],[S - LIGHT]:[S - VIGOROUS]])</f>
        <v>88.208000000000013</v>
      </c>
    </row>
    <row r="1276" spans="1:24" x14ac:dyDescent="0.25">
      <c r="A1276" s="44" t="s">
        <v>63</v>
      </c>
      <c r="B1276" s="13" t="str">
        <f t="shared" si="19"/>
        <v>Winger</v>
      </c>
      <c r="C1276" s="7">
        <v>45374.358877314815</v>
      </c>
      <c r="D1276" s="14">
        <v>8270</v>
      </c>
      <c r="E1276" s="14">
        <v>89</v>
      </c>
      <c r="F1276" s="14">
        <v>26</v>
      </c>
      <c r="G1276" s="14">
        <v>21</v>
      </c>
      <c r="H1276" s="14">
        <v>86.83</v>
      </c>
      <c r="I1276" s="14">
        <f>'PIVOT TABLES'!$B$26</f>
        <v>60.283999999999999</v>
      </c>
      <c r="J1276" s="14">
        <f>'PIVOT TABLES'!$B$27-'PIVOT TABLES'!$B$26</f>
        <v>30.142000000000003</v>
      </c>
      <c r="K1276" s="14">
        <f>'PIVOT TABLES'!$B$28-'PIVOT TABLES'!$B$27</f>
        <v>30.141999999999996</v>
      </c>
      <c r="L1276" s="14">
        <f>200-SUM(Table3[[#This Row],[D - LIGHT]:[D - VIGOROUS]])</f>
        <v>79.432000000000002</v>
      </c>
      <c r="M1276" s="14">
        <f>'PIVOT TABLES'!$I$26</f>
        <v>65.603999999999999</v>
      </c>
      <c r="N1276" s="14">
        <f>'PIVOT TABLES'!$I$27-'PIVOT TABLES'!$I$26</f>
        <v>32.802000000000007</v>
      </c>
      <c r="O1276" s="14">
        <f>'PIVOT TABLES'!$I$28-'PIVOT TABLES'!$I$27</f>
        <v>32.801999999999992</v>
      </c>
      <c r="P1276" s="14">
        <f>200-SUM(Table3[[#This Row],[M - LIGHT]:[M - VIGOROUS]])</f>
        <v>68.792000000000002</v>
      </c>
      <c r="Q1276" s="14">
        <f>'PIVOT TABLES'!$P$26</f>
        <v>62.64</v>
      </c>
      <c r="R1276" s="14">
        <f>'PIVOT TABLES'!$P$27-'PIVOT TABLES'!$P$26</f>
        <v>31.320000000000007</v>
      </c>
      <c r="S1276" s="14">
        <f>'PIVOT TABLES'!$P$28-'PIVOT TABLES'!$P$27</f>
        <v>31.319999999999993</v>
      </c>
      <c r="T1276" s="14">
        <f>200-SUM(Table3[[#This Row],[W - LIGHT]:[W - VIGOROUS]])</f>
        <v>74.72</v>
      </c>
      <c r="U1276" s="14">
        <f>'PIVOT TABLES'!$W$26</f>
        <v>55.895999999999994</v>
      </c>
      <c r="V1276" s="14">
        <f>'PIVOT TABLES'!$W$27-'PIVOT TABLES'!$W$26</f>
        <v>27.948</v>
      </c>
      <c r="W1276" s="14">
        <f>'PIVOT TABLES'!$W$28-'PIVOT TABLES'!$W$27</f>
        <v>27.947999999999993</v>
      </c>
      <c r="X1276" s="14">
        <f>200-SUM(Table3[[#This Row],[S - LIGHT]:[S - VIGOROUS]])</f>
        <v>88.208000000000013</v>
      </c>
    </row>
    <row r="1277" spans="1:24" x14ac:dyDescent="0.25">
      <c r="A1277" s="44" t="s">
        <v>64</v>
      </c>
      <c r="B1277" s="13" t="str">
        <f t="shared" si="19"/>
        <v>Midfielder</v>
      </c>
      <c r="C1277" s="7">
        <v>45374.358877314815</v>
      </c>
      <c r="D1277" s="14">
        <v>14081</v>
      </c>
      <c r="E1277" s="14">
        <v>99</v>
      </c>
      <c r="F1277" s="14">
        <v>44</v>
      </c>
      <c r="G1277" s="14">
        <v>44</v>
      </c>
      <c r="H1277" s="14">
        <v>146.41999999999999</v>
      </c>
      <c r="I1277" s="14">
        <f>'PIVOT TABLES'!$B$26</f>
        <v>60.283999999999999</v>
      </c>
      <c r="J1277" s="14">
        <f>'PIVOT TABLES'!$B$27-'PIVOT TABLES'!$B$26</f>
        <v>30.142000000000003</v>
      </c>
      <c r="K1277" s="14">
        <f>'PIVOT TABLES'!$B$28-'PIVOT TABLES'!$B$27</f>
        <v>30.141999999999996</v>
      </c>
      <c r="L1277" s="14">
        <f>200-SUM(Table3[[#This Row],[D - LIGHT]:[D - VIGOROUS]])</f>
        <v>79.432000000000002</v>
      </c>
      <c r="M1277" s="14">
        <f>'PIVOT TABLES'!$I$26</f>
        <v>65.603999999999999</v>
      </c>
      <c r="N1277" s="14">
        <f>'PIVOT TABLES'!$I$27-'PIVOT TABLES'!$I$26</f>
        <v>32.802000000000007</v>
      </c>
      <c r="O1277" s="14">
        <f>'PIVOT TABLES'!$I$28-'PIVOT TABLES'!$I$27</f>
        <v>32.801999999999992</v>
      </c>
      <c r="P1277" s="14">
        <f>200-SUM(Table3[[#This Row],[M - LIGHT]:[M - VIGOROUS]])</f>
        <v>68.792000000000002</v>
      </c>
      <c r="Q1277" s="14">
        <f>'PIVOT TABLES'!$P$26</f>
        <v>62.64</v>
      </c>
      <c r="R1277" s="14">
        <f>'PIVOT TABLES'!$P$27-'PIVOT TABLES'!$P$26</f>
        <v>31.320000000000007</v>
      </c>
      <c r="S1277" s="14">
        <f>'PIVOT TABLES'!$P$28-'PIVOT TABLES'!$P$27</f>
        <v>31.319999999999993</v>
      </c>
      <c r="T1277" s="14">
        <f>200-SUM(Table3[[#This Row],[W - LIGHT]:[W - VIGOROUS]])</f>
        <v>74.72</v>
      </c>
      <c r="U1277" s="14">
        <f>'PIVOT TABLES'!$W$26</f>
        <v>55.895999999999994</v>
      </c>
      <c r="V1277" s="14">
        <f>'PIVOT TABLES'!$W$27-'PIVOT TABLES'!$W$26</f>
        <v>27.948</v>
      </c>
      <c r="W1277" s="14">
        <f>'PIVOT TABLES'!$W$28-'PIVOT TABLES'!$W$27</f>
        <v>27.947999999999993</v>
      </c>
      <c r="X1277" s="14">
        <f>200-SUM(Table3[[#This Row],[S - LIGHT]:[S - VIGOROUS]])</f>
        <v>88.208000000000013</v>
      </c>
    </row>
    <row r="1278" spans="1:24" x14ac:dyDescent="0.25">
      <c r="A1278" s="44" t="s">
        <v>65</v>
      </c>
      <c r="B1278" s="13" t="str">
        <f t="shared" si="19"/>
        <v>Winger</v>
      </c>
      <c r="C1278" s="7">
        <v>45374.358877314815</v>
      </c>
      <c r="D1278" s="14">
        <v>8004</v>
      </c>
      <c r="E1278" s="14">
        <v>131</v>
      </c>
      <c r="F1278" s="14">
        <v>31</v>
      </c>
      <c r="G1278" s="14">
        <v>23</v>
      </c>
      <c r="H1278" s="14">
        <v>85.67</v>
      </c>
      <c r="I1278" s="14">
        <f>'PIVOT TABLES'!$B$26</f>
        <v>60.283999999999999</v>
      </c>
      <c r="J1278" s="14">
        <f>'PIVOT TABLES'!$B$27-'PIVOT TABLES'!$B$26</f>
        <v>30.142000000000003</v>
      </c>
      <c r="K1278" s="14">
        <f>'PIVOT TABLES'!$B$28-'PIVOT TABLES'!$B$27</f>
        <v>30.141999999999996</v>
      </c>
      <c r="L1278" s="14">
        <f>200-SUM(Table3[[#This Row],[D - LIGHT]:[D - VIGOROUS]])</f>
        <v>79.432000000000002</v>
      </c>
      <c r="M1278" s="14">
        <f>'PIVOT TABLES'!$I$26</f>
        <v>65.603999999999999</v>
      </c>
      <c r="N1278" s="14">
        <f>'PIVOT TABLES'!$I$27-'PIVOT TABLES'!$I$26</f>
        <v>32.802000000000007</v>
      </c>
      <c r="O1278" s="14">
        <f>'PIVOT TABLES'!$I$28-'PIVOT TABLES'!$I$27</f>
        <v>32.801999999999992</v>
      </c>
      <c r="P1278" s="14">
        <f>200-SUM(Table3[[#This Row],[M - LIGHT]:[M - VIGOROUS]])</f>
        <v>68.792000000000002</v>
      </c>
      <c r="Q1278" s="14">
        <f>'PIVOT TABLES'!$P$26</f>
        <v>62.64</v>
      </c>
      <c r="R1278" s="14">
        <f>'PIVOT TABLES'!$P$27-'PIVOT TABLES'!$P$26</f>
        <v>31.320000000000007</v>
      </c>
      <c r="S1278" s="14">
        <f>'PIVOT TABLES'!$P$28-'PIVOT TABLES'!$P$27</f>
        <v>31.319999999999993</v>
      </c>
      <c r="T1278" s="14">
        <f>200-SUM(Table3[[#This Row],[W - LIGHT]:[W - VIGOROUS]])</f>
        <v>74.72</v>
      </c>
      <c r="U1278" s="14">
        <f>'PIVOT TABLES'!$W$26</f>
        <v>55.895999999999994</v>
      </c>
      <c r="V1278" s="14">
        <f>'PIVOT TABLES'!$W$27-'PIVOT TABLES'!$W$26</f>
        <v>27.948</v>
      </c>
      <c r="W1278" s="14">
        <f>'PIVOT TABLES'!$W$28-'PIVOT TABLES'!$W$27</f>
        <v>27.947999999999993</v>
      </c>
      <c r="X1278" s="14">
        <f>200-SUM(Table3[[#This Row],[S - LIGHT]:[S - VIGOROUS]])</f>
        <v>88.208000000000013</v>
      </c>
    </row>
    <row r="1279" spans="1:24" x14ac:dyDescent="0.25">
      <c r="A1279" s="44" t="s">
        <v>78</v>
      </c>
      <c r="B1279" s="13" t="str">
        <f t="shared" si="19"/>
        <v>Defender</v>
      </c>
      <c r="C1279" s="7">
        <v>45374.358877314815</v>
      </c>
      <c r="D1279" s="14">
        <v>10967</v>
      </c>
      <c r="E1279" s="14">
        <v>169</v>
      </c>
      <c r="F1279" s="14">
        <v>37</v>
      </c>
      <c r="G1279" s="14">
        <v>28</v>
      </c>
      <c r="H1279" s="14">
        <v>116.78</v>
      </c>
      <c r="I1279" s="14">
        <f>'PIVOT TABLES'!$B$26</f>
        <v>60.283999999999999</v>
      </c>
      <c r="J1279" s="14">
        <f>'PIVOT TABLES'!$B$27-'PIVOT TABLES'!$B$26</f>
        <v>30.142000000000003</v>
      </c>
      <c r="K1279" s="14">
        <f>'PIVOT TABLES'!$B$28-'PIVOT TABLES'!$B$27</f>
        <v>30.141999999999996</v>
      </c>
      <c r="L1279" s="14">
        <f>200-SUM(Table3[[#This Row],[D - LIGHT]:[D - VIGOROUS]])</f>
        <v>79.432000000000002</v>
      </c>
      <c r="M1279" s="14">
        <f>'PIVOT TABLES'!$I$26</f>
        <v>65.603999999999999</v>
      </c>
      <c r="N1279" s="14">
        <f>'PIVOT TABLES'!$I$27-'PIVOT TABLES'!$I$26</f>
        <v>32.802000000000007</v>
      </c>
      <c r="O1279" s="14">
        <f>'PIVOT TABLES'!$I$28-'PIVOT TABLES'!$I$27</f>
        <v>32.801999999999992</v>
      </c>
      <c r="P1279" s="14">
        <f>200-SUM(Table3[[#This Row],[M - LIGHT]:[M - VIGOROUS]])</f>
        <v>68.792000000000002</v>
      </c>
      <c r="Q1279" s="14">
        <f>'PIVOT TABLES'!$P$26</f>
        <v>62.64</v>
      </c>
      <c r="R1279" s="14">
        <f>'PIVOT TABLES'!$P$27-'PIVOT TABLES'!$P$26</f>
        <v>31.320000000000007</v>
      </c>
      <c r="S1279" s="14">
        <f>'PIVOT TABLES'!$P$28-'PIVOT TABLES'!$P$27</f>
        <v>31.319999999999993</v>
      </c>
      <c r="T1279" s="14">
        <f>200-SUM(Table3[[#This Row],[W - LIGHT]:[W - VIGOROUS]])</f>
        <v>74.72</v>
      </c>
      <c r="U1279" s="14">
        <f>'PIVOT TABLES'!$W$26</f>
        <v>55.895999999999994</v>
      </c>
      <c r="V1279" s="14">
        <f>'PIVOT TABLES'!$W$27-'PIVOT TABLES'!$W$26</f>
        <v>27.948</v>
      </c>
      <c r="W1279" s="14">
        <f>'PIVOT TABLES'!$W$28-'PIVOT TABLES'!$W$27</f>
        <v>27.947999999999993</v>
      </c>
      <c r="X1279" s="14">
        <f>200-SUM(Table3[[#This Row],[S - LIGHT]:[S - VIGOROUS]])</f>
        <v>88.208000000000013</v>
      </c>
    </row>
    <row r="1280" spans="1:24" x14ac:dyDescent="0.25">
      <c r="A1280" s="44" t="s">
        <v>96</v>
      </c>
      <c r="B1280" s="13" t="str">
        <f t="shared" si="19"/>
        <v>Winger</v>
      </c>
      <c r="C1280" s="7">
        <v>45374.358877314815</v>
      </c>
      <c r="D1280" s="14">
        <v>12496</v>
      </c>
      <c r="E1280" s="14">
        <v>93</v>
      </c>
      <c r="F1280" s="14">
        <v>33</v>
      </c>
      <c r="G1280" s="14">
        <v>34</v>
      </c>
      <c r="H1280" s="14">
        <v>129.75</v>
      </c>
      <c r="I1280" s="14">
        <f>'PIVOT TABLES'!$B$26</f>
        <v>60.283999999999999</v>
      </c>
      <c r="J1280" s="14">
        <f>'PIVOT TABLES'!$B$27-'PIVOT TABLES'!$B$26</f>
        <v>30.142000000000003</v>
      </c>
      <c r="K1280" s="14">
        <f>'PIVOT TABLES'!$B$28-'PIVOT TABLES'!$B$27</f>
        <v>30.141999999999996</v>
      </c>
      <c r="L1280" s="14">
        <f>200-SUM(Table3[[#This Row],[D - LIGHT]:[D - VIGOROUS]])</f>
        <v>79.432000000000002</v>
      </c>
      <c r="M1280" s="14">
        <f>'PIVOT TABLES'!$I$26</f>
        <v>65.603999999999999</v>
      </c>
      <c r="N1280" s="14">
        <f>'PIVOT TABLES'!$I$27-'PIVOT TABLES'!$I$26</f>
        <v>32.802000000000007</v>
      </c>
      <c r="O1280" s="14">
        <f>'PIVOT TABLES'!$I$28-'PIVOT TABLES'!$I$27</f>
        <v>32.801999999999992</v>
      </c>
      <c r="P1280" s="14">
        <f>200-SUM(Table3[[#This Row],[M - LIGHT]:[M - VIGOROUS]])</f>
        <v>68.792000000000002</v>
      </c>
      <c r="Q1280" s="14">
        <f>'PIVOT TABLES'!$P$26</f>
        <v>62.64</v>
      </c>
      <c r="R1280" s="14">
        <f>'PIVOT TABLES'!$P$27-'PIVOT TABLES'!$P$26</f>
        <v>31.320000000000007</v>
      </c>
      <c r="S1280" s="14">
        <f>'PIVOT TABLES'!$P$28-'PIVOT TABLES'!$P$27</f>
        <v>31.319999999999993</v>
      </c>
      <c r="T1280" s="14">
        <f>200-SUM(Table3[[#This Row],[W - LIGHT]:[W - VIGOROUS]])</f>
        <v>74.72</v>
      </c>
      <c r="U1280" s="14">
        <f>'PIVOT TABLES'!$W$26</f>
        <v>55.895999999999994</v>
      </c>
      <c r="V1280" s="14">
        <f>'PIVOT TABLES'!$W$27-'PIVOT TABLES'!$W$26</f>
        <v>27.948</v>
      </c>
      <c r="W1280" s="14">
        <f>'PIVOT TABLES'!$W$28-'PIVOT TABLES'!$W$27</f>
        <v>27.947999999999993</v>
      </c>
      <c r="X1280" s="14">
        <f>200-SUM(Table3[[#This Row],[S - LIGHT]:[S - VIGOROUS]])</f>
        <v>88.208000000000013</v>
      </c>
    </row>
    <row r="1281" spans="1:24" x14ac:dyDescent="0.25">
      <c r="A1281" s="44" t="s">
        <v>8</v>
      </c>
      <c r="B1281" s="13" t="str">
        <f t="shared" si="19"/>
        <v>Striker</v>
      </c>
      <c r="C1281" s="7">
        <v>45374.358877314815</v>
      </c>
      <c r="D1281" s="14">
        <v>7464</v>
      </c>
      <c r="E1281" s="14">
        <v>266</v>
      </c>
      <c r="F1281" s="14">
        <v>40</v>
      </c>
      <c r="G1281" s="14">
        <v>33</v>
      </c>
      <c r="H1281" s="14">
        <v>84.88</v>
      </c>
      <c r="I1281" s="14">
        <f>'PIVOT TABLES'!$B$26</f>
        <v>60.283999999999999</v>
      </c>
      <c r="J1281" s="14">
        <f>'PIVOT TABLES'!$B$27-'PIVOT TABLES'!$B$26</f>
        <v>30.142000000000003</v>
      </c>
      <c r="K1281" s="14">
        <f>'PIVOT TABLES'!$B$28-'PIVOT TABLES'!$B$27</f>
        <v>30.141999999999996</v>
      </c>
      <c r="L1281" s="14">
        <f>200-SUM(Table3[[#This Row],[D - LIGHT]:[D - VIGOROUS]])</f>
        <v>79.432000000000002</v>
      </c>
      <c r="M1281" s="14">
        <f>'PIVOT TABLES'!$I$26</f>
        <v>65.603999999999999</v>
      </c>
      <c r="N1281" s="14">
        <f>'PIVOT TABLES'!$I$27-'PIVOT TABLES'!$I$26</f>
        <v>32.802000000000007</v>
      </c>
      <c r="O1281" s="14">
        <f>'PIVOT TABLES'!$I$28-'PIVOT TABLES'!$I$27</f>
        <v>32.801999999999992</v>
      </c>
      <c r="P1281" s="14">
        <f>200-SUM(Table3[[#This Row],[M - LIGHT]:[M - VIGOROUS]])</f>
        <v>68.792000000000002</v>
      </c>
      <c r="Q1281" s="14">
        <f>'PIVOT TABLES'!$P$26</f>
        <v>62.64</v>
      </c>
      <c r="R1281" s="14">
        <f>'PIVOT TABLES'!$P$27-'PIVOT TABLES'!$P$26</f>
        <v>31.320000000000007</v>
      </c>
      <c r="S1281" s="14">
        <f>'PIVOT TABLES'!$P$28-'PIVOT TABLES'!$P$27</f>
        <v>31.319999999999993</v>
      </c>
      <c r="T1281" s="14">
        <f>200-SUM(Table3[[#This Row],[W - LIGHT]:[W - VIGOROUS]])</f>
        <v>74.72</v>
      </c>
      <c r="U1281" s="14">
        <f>'PIVOT TABLES'!$W$26</f>
        <v>55.895999999999994</v>
      </c>
      <c r="V1281" s="14">
        <f>'PIVOT TABLES'!$W$27-'PIVOT TABLES'!$W$26</f>
        <v>27.948</v>
      </c>
      <c r="W1281" s="14">
        <f>'PIVOT TABLES'!$W$28-'PIVOT TABLES'!$W$27</f>
        <v>27.947999999999993</v>
      </c>
      <c r="X1281" s="14">
        <f>200-SUM(Table3[[#This Row],[S - LIGHT]:[S - VIGOROUS]])</f>
        <v>88.208000000000013</v>
      </c>
    </row>
    <row r="1282" spans="1:24" x14ac:dyDescent="0.25">
      <c r="A1282" s="44" t="s">
        <v>67</v>
      </c>
      <c r="B1282" s="13" t="str">
        <f t="shared" si="19"/>
        <v>Midfielder</v>
      </c>
      <c r="C1282" s="7">
        <v>45374.358877314815</v>
      </c>
      <c r="D1282" s="14">
        <v>13110</v>
      </c>
      <c r="E1282" s="14">
        <v>320</v>
      </c>
      <c r="F1282" s="14">
        <v>77</v>
      </c>
      <c r="G1282" s="14">
        <v>39</v>
      </c>
      <c r="H1282" s="14">
        <v>144.56</v>
      </c>
      <c r="I1282" s="14">
        <f>'PIVOT TABLES'!$B$26</f>
        <v>60.283999999999999</v>
      </c>
      <c r="J1282" s="14">
        <f>'PIVOT TABLES'!$B$27-'PIVOT TABLES'!$B$26</f>
        <v>30.142000000000003</v>
      </c>
      <c r="K1282" s="14">
        <f>'PIVOT TABLES'!$B$28-'PIVOT TABLES'!$B$27</f>
        <v>30.141999999999996</v>
      </c>
      <c r="L1282" s="14">
        <f>200-SUM(Table3[[#This Row],[D - LIGHT]:[D - VIGOROUS]])</f>
        <v>79.432000000000002</v>
      </c>
      <c r="M1282" s="14">
        <f>'PIVOT TABLES'!$I$26</f>
        <v>65.603999999999999</v>
      </c>
      <c r="N1282" s="14">
        <f>'PIVOT TABLES'!$I$27-'PIVOT TABLES'!$I$26</f>
        <v>32.802000000000007</v>
      </c>
      <c r="O1282" s="14">
        <f>'PIVOT TABLES'!$I$28-'PIVOT TABLES'!$I$27</f>
        <v>32.801999999999992</v>
      </c>
      <c r="P1282" s="14">
        <f>200-SUM(Table3[[#This Row],[M - LIGHT]:[M - VIGOROUS]])</f>
        <v>68.792000000000002</v>
      </c>
      <c r="Q1282" s="14">
        <f>'PIVOT TABLES'!$P$26</f>
        <v>62.64</v>
      </c>
      <c r="R1282" s="14">
        <f>'PIVOT TABLES'!$P$27-'PIVOT TABLES'!$P$26</f>
        <v>31.320000000000007</v>
      </c>
      <c r="S1282" s="14">
        <f>'PIVOT TABLES'!$P$28-'PIVOT TABLES'!$P$27</f>
        <v>31.319999999999993</v>
      </c>
      <c r="T1282" s="14">
        <f>200-SUM(Table3[[#This Row],[W - LIGHT]:[W - VIGOROUS]])</f>
        <v>74.72</v>
      </c>
      <c r="U1282" s="14">
        <f>'PIVOT TABLES'!$W$26</f>
        <v>55.895999999999994</v>
      </c>
      <c r="V1282" s="14">
        <f>'PIVOT TABLES'!$W$27-'PIVOT TABLES'!$W$26</f>
        <v>27.948</v>
      </c>
      <c r="W1282" s="14">
        <f>'PIVOT TABLES'!$W$28-'PIVOT TABLES'!$W$27</f>
        <v>27.947999999999993</v>
      </c>
      <c r="X1282" s="14">
        <f>200-SUM(Table3[[#This Row],[S - LIGHT]:[S - VIGOROUS]])</f>
        <v>88.208000000000013</v>
      </c>
    </row>
    <row r="1283" spans="1:24" x14ac:dyDescent="0.25">
      <c r="A1283" s="44" t="s">
        <v>69</v>
      </c>
      <c r="B1283" s="13" t="str">
        <f t="shared" ref="B1283:B1307" si="20">IF(A1283="Sihle Gum","Defender",IF(A1283="Kenny Langa","Defender",IF(A1283="Tshepang Makara","Defender",IF(A1283="Tshepiso Mahlangu","Defender",IF(A1283="Neo Ramashala","Defender",IF(A1283="Keabetswe Nkogatse","Defender",IF(A1283="Kaketso Harold Majadibodu","Defender",IF(A1283="Samuel Julies","Midfielder",IF(A1283="Frank Mpedi","Midfielder",IF(A1283="Sapholwethu Kelepu","Midfielder",IF(A1283="Manelisi Sithole","Midfielder",IF(A1283="Thabiso Mokoena","Midfielder",IF(A1283="Khomotso Marebane","Midfielder",IF(A1283="Tebogo Mohlamonyane","Midfielder",IF(A1283="Thulani Zandamela","Midfielder",IF(A1283="Mdevulana Camagu","Midfielder",IF(A1283="Promise Mkhuma","Midfielder",IF(A1283="Essien Makwarimba","Midfielder",IF(A1283="Ayanda Mvambi","Winger",IF(A1283="Delano Abrahams","Winger",IF(A1283="Thokozani Sekotlong","Winger",IF(A1283="Maselaelo Seanego","Winger",IF(A1283="Lesedi Motha","Winger",IF(A1283="Malekgene Mampuru","Winger",IF(A1283="Matome Rangata","Winger",IF(A1283="Thabang Sibanyoni","Striker",IF(A1283="Tebogo Makungo","Striker",IF(A1283="Neo Dikgale","Striker",IF(A1283="Kamohelo Pheeane","Striker",IF(A1283="Athenkosi Tonisi","Striker",IF(A1283="Jesse Francis","Striker","####")))))))))))))))))))))))))))))))</f>
        <v>Midfielder</v>
      </c>
      <c r="C1283" s="7">
        <v>45374.358877314815</v>
      </c>
      <c r="D1283" s="14">
        <v>7213</v>
      </c>
      <c r="E1283" s="14">
        <v>161</v>
      </c>
      <c r="F1283" s="14">
        <v>26</v>
      </c>
      <c r="G1283" s="14">
        <v>31</v>
      </c>
      <c r="H1283" s="14">
        <v>78.62</v>
      </c>
      <c r="I1283" s="14">
        <f>'PIVOT TABLES'!$B$26</f>
        <v>60.283999999999999</v>
      </c>
      <c r="J1283" s="14">
        <f>'PIVOT TABLES'!$B$27-'PIVOT TABLES'!$B$26</f>
        <v>30.142000000000003</v>
      </c>
      <c r="K1283" s="14">
        <f>'PIVOT TABLES'!$B$28-'PIVOT TABLES'!$B$27</f>
        <v>30.141999999999996</v>
      </c>
      <c r="L1283" s="14">
        <f>200-SUM(Table3[[#This Row],[D - LIGHT]:[D - VIGOROUS]])</f>
        <v>79.432000000000002</v>
      </c>
      <c r="M1283" s="14">
        <f>'PIVOT TABLES'!$I$26</f>
        <v>65.603999999999999</v>
      </c>
      <c r="N1283" s="14">
        <f>'PIVOT TABLES'!$I$27-'PIVOT TABLES'!$I$26</f>
        <v>32.802000000000007</v>
      </c>
      <c r="O1283" s="14">
        <f>'PIVOT TABLES'!$I$28-'PIVOT TABLES'!$I$27</f>
        <v>32.801999999999992</v>
      </c>
      <c r="P1283" s="14">
        <f>200-SUM(Table3[[#This Row],[M - LIGHT]:[M - VIGOROUS]])</f>
        <v>68.792000000000002</v>
      </c>
      <c r="Q1283" s="14">
        <f>'PIVOT TABLES'!$P$26</f>
        <v>62.64</v>
      </c>
      <c r="R1283" s="14">
        <f>'PIVOT TABLES'!$P$27-'PIVOT TABLES'!$P$26</f>
        <v>31.320000000000007</v>
      </c>
      <c r="S1283" s="14">
        <f>'PIVOT TABLES'!$P$28-'PIVOT TABLES'!$P$27</f>
        <v>31.319999999999993</v>
      </c>
      <c r="T1283" s="14">
        <f>200-SUM(Table3[[#This Row],[W - LIGHT]:[W - VIGOROUS]])</f>
        <v>74.72</v>
      </c>
      <c r="U1283" s="14">
        <f>'PIVOT TABLES'!$W$26</f>
        <v>55.895999999999994</v>
      </c>
      <c r="V1283" s="14">
        <f>'PIVOT TABLES'!$W$27-'PIVOT TABLES'!$W$26</f>
        <v>27.948</v>
      </c>
      <c r="W1283" s="14">
        <f>'PIVOT TABLES'!$W$28-'PIVOT TABLES'!$W$27</f>
        <v>27.947999999999993</v>
      </c>
      <c r="X1283" s="14">
        <f>200-SUM(Table3[[#This Row],[S - LIGHT]:[S - VIGOROUS]])</f>
        <v>88.208000000000013</v>
      </c>
    </row>
    <row r="1284" spans="1:24" x14ac:dyDescent="0.25">
      <c r="A1284" s="44" t="s">
        <v>70</v>
      </c>
      <c r="B1284" s="13" t="str">
        <f t="shared" si="20"/>
        <v>Winger</v>
      </c>
      <c r="C1284" s="7">
        <v>45376.629895833335</v>
      </c>
      <c r="D1284" s="14">
        <v>4303</v>
      </c>
      <c r="E1284" s="14">
        <v>23</v>
      </c>
      <c r="F1284" s="14">
        <v>6</v>
      </c>
      <c r="G1284" s="14">
        <v>13</v>
      </c>
      <c r="H1284" s="14">
        <v>44.22</v>
      </c>
      <c r="I1284" s="14">
        <f>'PIVOT TABLES'!$B$26</f>
        <v>60.283999999999999</v>
      </c>
      <c r="J1284" s="14">
        <f>'PIVOT TABLES'!$B$27-'PIVOT TABLES'!$B$26</f>
        <v>30.142000000000003</v>
      </c>
      <c r="K1284" s="14">
        <f>'PIVOT TABLES'!$B$28-'PIVOT TABLES'!$B$27</f>
        <v>30.141999999999996</v>
      </c>
      <c r="L1284" s="14">
        <f>200-SUM(Table3[[#This Row],[D - LIGHT]:[D - VIGOROUS]])</f>
        <v>79.432000000000002</v>
      </c>
      <c r="M1284" s="14">
        <f>'PIVOT TABLES'!$I$26</f>
        <v>65.603999999999999</v>
      </c>
      <c r="N1284" s="14">
        <f>'PIVOT TABLES'!$I$27-'PIVOT TABLES'!$I$26</f>
        <v>32.802000000000007</v>
      </c>
      <c r="O1284" s="14">
        <f>'PIVOT TABLES'!$I$28-'PIVOT TABLES'!$I$27</f>
        <v>32.801999999999992</v>
      </c>
      <c r="P1284" s="14">
        <f>200-SUM(Table3[[#This Row],[M - LIGHT]:[M - VIGOROUS]])</f>
        <v>68.792000000000002</v>
      </c>
      <c r="Q1284" s="14">
        <f>'PIVOT TABLES'!$P$26</f>
        <v>62.64</v>
      </c>
      <c r="R1284" s="14">
        <f>'PIVOT TABLES'!$P$27-'PIVOT TABLES'!$P$26</f>
        <v>31.320000000000007</v>
      </c>
      <c r="S1284" s="14">
        <f>'PIVOT TABLES'!$P$28-'PIVOT TABLES'!$P$27</f>
        <v>31.319999999999993</v>
      </c>
      <c r="T1284" s="14">
        <f>200-SUM(Table3[[#This Row],[W - LIGHT]:[W - VIGOROUS]])</f>
        <v>74.72</v>
      </c>
      <c r="U1284" s="14">
        <f>'PIVOT TABLES'!$W$26</f>
        <v>55.895999999999994</v>
      </c>
      <c r="V1284" s="14">
        <f>'PIVOT TABLES'!$W$27-'PIVOT TABLES'!$W$26</f>
        <v>27.948</v>
      </c>
      <c r="W1284" s="14">
        <f>'PIVOT TABLES'!$W$28-'PIVOT TABLES'!$W$27</f>
        <v>27.947999999999993</v>
      </c>
      <c r="X1284" s="14">
        <f>200-SUM(Table3[[#This Row],[S - LIGHT]:[S - VIGOROUS]])</f>
        <v>88.208000000000013</v>
      </c>
    </row>
    <row r="1285" spans="1:24" x14ac:dyDescent="0.25">
      <c r="A1285" s="44" t="s">
        <v>53</v>
      </c>
      <c r="B1285" s="13" t="str">
        <f t="shared" si="20"/>
        <v>Midfielder</v>
      </c>
      <c r="C1285" s="7">
        <v>45376.629895833335</v>
      </c>
      <c r="D1285" s="14">
        <v>4367</v>
      </c>
      <c r="E1285" s="14">
        <v>36</v>
      </c>
      <c r="F1285" s="14">
        <v>17</v>
      </c>
      <c r="G1285" s="14">
        <v>37</v>
      </c>
      <c r="H1285" s="14">
        <v>46.17</v>
      </c>
      <c r="I1285" s="14">
        <f>'PIVOT TABLES'!$B$26</f>
        <v>60.283999999999999</v>
      </c>
      <c r="J1285" s="14">
        <f>'PIVOT TABLES'!$B$27-'PIVOT TABLES'!$B$26</f>
        <v>30.142000000000003</v>
      </c>
      <c r="K1285" s="14">
        <f>'PIVOT TABLES'!$B$28-'PIVOT TABLES'!$B$27</f>
        <v>30.141999999999996</v>
      </c>
      <c r="L1285" s="14">
        <f>200-SUM(Table3[[#This Row],[D - LIGHT]:[D - VIGOROUS]])</f>
        <v>79.432000000000002</v>
      </c>
      <c r="M1285" s="14">
        <f>'PIVOT TABLES'!$I$26</f>
        <v>65.603999999999999</v>
      </c>
      <c r="N1285" s="14">
        <f>'PIVOT TABLES'!$I$27-'PIVOT TABLES'!$I$26</f>
        <v>32.802000000000007</v>
      </c>
      <c r="O1285" s="14">
        <f>'PIVOT TABLES'!$I$28-'PIVOT TABLES'!$I$27</f>
        <v>32.801999999999992</v>
      </c>
      <c r="P1285" s="14">
        <f>200-SUM(Table3[[#This Row],[M - LIGHT]:[M - VIGOROUS]])</f>
        <v>68.792000000000002</v>
      </c>
      <c r="Q1285" s="14">
        <f>'PIVOT TABLES'!$P$26</f>
        <v>62.64</v>
      </c>
      <c r="R1285" s="14">
        <f>'PIVOT TABLES'!$P$27-'PIVOT TABLES'!$P$26</f>
        <v>31.320000000000007</v>
      </c>
      <c r="S1285" s="14">
        <f>'PIVOT TABLES'!$P$28-'PIVOT TABLES'!$P$27</f>
        <v>31.319999999999993</v>
      </c>
      <c r="T1285" s="14">
        <f>200-SUM(Table3[[#This Row],[W - LIGHT]:[W - VIGOROUS]])</f>
        <v>74.72</v>
      </c>
      <c r="U1285" s="14">
        <f>'PIVOT TABLES'!$W$26</f>
        <v>55.895999999999994</v>
      </c>
      <c r="V1285" s="14">
        <f>'PIVOT TABLES'!$W$27-'PIVOT TABLES'!$W$26</f>
        <v>27.948</v>
      </c>
      <c r="W1285" s="14">
        <f>'PIVOT TABLES'!$W$28-'PIVOT TABLES'!$W$27</f>
        <v>27.947999999999993</v>
      </c>
      <c r="X1285" s="14">
        <f>200-SUM(Table3[[#This Row],[S - LIGHT]:[S - VIGOROUS]])</f>
        <v>88.208000000000013</v>
      </c>
    </row>
    <row r="1286" spans="1:24" x14ac:dyDescent="0.25">
      <c r="A1286" s="44" t="s">
        <v>55</v>
      </c>
      <c r="B1286" s="13" t="str">
        <f t="shared" si="20"/>
        <v>Striker</v>
      </c>
      <c r="C1286" s="7">
        <v>45376.629895833335</v>
      </c>
      <c r="D1286" s="14">
        <v>3952</v>
      </c>
      <c r="E1286" s="14">
        <v>26</v>
      </c>
      <c r="F1286" s="14">
        <v>27</v>
      </c>
      <c r="G1286" s="14">
        <v>27</v>
      </c>
      <c r="H1286" s="14">
        <v>41.92</v>
      </c>
      <c r="I1286" s="14">
        <f>'PIVOT TABLES'!$B$26</f>
        <v>60.283999999999999</v>
      </c>
      <c r="J1286" s="14">
        <f>'PIVOT TABLES'!$B$27-'PIVOT TABLES'!$B$26</f>
        <v>30.142000000000003</v>
      </c>
      <c r="K1286" s="14">
        <f>'PIVOT TABLES'!$B$28-'PIVOT TABLES'!$B$27</f>
        <v>30.141999999999996</v>
      </c>
      <c r="L1286" s="14">
        <f>200-SUM(Table3[[#This Row],[D - LIGHT]:[D - VIGOROUS]])</f>
        <v>79.432000000000002</v>
      </c>
      <c r="M1286" s="14">
        <f>'PIVOT TABLES'!$I$26</f>
        <v>65.603999999999999</v>
      </c>
      <c r="N1286" s="14">
        <f>'PIVOT TABLES'!$I$27-'PIVOT TABLES'!$I$26</f>
        <v>32.802000000000007</v>
      </c>
      <c r="O1286" s="14">
        <f>'PIVOT TABLES'!$I$28-'PIVOT TABLES'!$I$27</f>
        <v>32.801999999999992</v>
      </c>
      <c r="P1286" s="14">
        <f>200-SUM(Table3[[#This Row],[M - LIGHT]:[M - VIGOROUS]])</f>
        <v>68.792000000000002</v>
      </c>
      <c r="Q1286" s="14">
        <f>'PIVOT TABLES'!$P$26</f>
        <v>62.64</v>
      </c>
      <c r="R1286" s="14">
        <f>'PIVOT TABLES'!$P$27-'PIVOT TABLES'!$P$26</f>
        <v>31.320000000000007</v>
      </c>
      <c r="S1286" s="14">
        <f>'PIVOT TABLES'!$P$28-'PIVOT TABLES'!$P$27</f>
        <v>31.319999999999993</v>
      </c>
      <c r="T1286" s="14">
        <f>200-SUM(Table3[[#This Row],[W - LIGHT]:[W - VIGOROUS]])</f>
        <v>74.72</v>
      </c>
      <c r="U1286" s="14">
        <f>'PIVOT TABLES'!$W$26</f>
        <v>55.895999999999994</v>
      </c>
      <c r="V1286" s="14">
        <f>'PIVOT TABLES'!$W$27-'PIVOT TABLES'!$W$26</f>
        <v>27.948</v>
      </c>
      <c r="W1286" s="14">
        <f>'PIVOT TABLES'!$W$28-'PIVOT TABLES'!$W$27</f>
        <v>27.947999999999993</v>
      </c>
      <c r="X1286" s="14">
        <f>200-SUM(Table3[[#This Row],[S - LIGHT]:[S - VIGOROUS]])</f>
        <v>88.208000000000013</v>
      </c>
    </row>
    <row r="1287" spans="1:24" x14ac:dyDescent="0.25">
      <c r="A1287" s="44" t="s">
        <v>1</v>
      </c>
      <c r="B1287" s="13" t="str">
        <f t="shared" si="20"/>
        <v>Defender</v>
      </c>
      <c r="C1287" s="7">
        <v>45376.629895833335</v>
      </c>
      <c r="D1287" s="14">
        <v>3487</v>
      </c>
      <c r="E1287" s="14">
        <v>8</v>
      </c>
      <c r="F1287" s="14">
        <v>6</v>
      </c>
      <c r="G1287" s="14">
        <v>7</v>
      </c>
      <c r="H1287" s="14">
        <v>35.49</v>
      </c>
      <c r="I1287" s="14">
        <f>'PIVOT TABLES'!$B$26</f>
        <v>60.283999999999999</v>
      </c>
      <c r="J1287" s="14">
        <f>'PIVOT TABLES'!$B$27-'PIVOT TABLES'!$B$26</f>
        <v>30.142000000000003</v>
      </c>
      <c r="K1287" s="14">
        <f>'PIVOT TABLES'!$B$28-'PIVOT TABLES'!$B$27</f>
        <v>30.141999999999996</v>
      </c>
      <c r="L1287" s="14">
        <f>200-SUM(Table3[[#This Row],[D - LIGHT]:[D - VIGOROUS]])</f>
        <v>79.432000000000002</v>
      </c>
      <c r="M1287" s="14">
        <f>'PIVOT TABLES'!$I$26</f>
        <v>65.603999999999999</v>
      </c>
      <c r="N1287" s="14">
        <f>'PIVOT TABLES'!$I$27-'PIVOT TABLES'!$I$26</f>
        <v>32.802000000000007</v>
      </c>
      <c r="O1287" s="14">
        <f>'PIVOT TABLES'!$I$28-'PIVOT TABLES'!$I$27</f>
        <v>32.801999999999992</v>
      </c>
      <c r="P1287" s="14">
        <f>200-SUM(Table3[[#This Row],[M - LIGHT]:[M - VIGOROUS]])</f>
        <v>68.792000000000002</v>
      </c>
      <c r="Q1287" s="14">
        <f>'PIVOT TABLES'!$P$26</f>
        <v>62.64</v>
      </c>
      <c r="R1287" s="14">
        <f>'PIVOT TABLES'!$P$27-'PIVOT TABLES'!$P$26</f>
        <v>31.320000000000007</v>
      </c>
      <c r="S1287" s="14">
        <f>'PIVOT TABLES'!$P$28-'PIVOT TABLES'!$P$27</f>
        <v>31.319999999999993</v>
      </c>
      <c r="T1287" s="14">
        <f>200-SUM(Table3[[#This Row],[W - LIGHT]:[W - VIGOROUS]])</f>
        <v>74.72</v>
      </c>
      <c r="U1287" s="14">
        <f>'PIVOT TABLES'!$W$26</f>
        <v>55.895999999999994</v>
      </c>
      <c r="V1287" s="14">
        <f>'PIVOT TABLES'!$W$27-'PIVOT TABLES'!$W$26</f>
        <v>27.948</v>
      </c>
      <c r="W1287" s="14">
        <f>'PIVOT TABLES'!$W$28-'PIVOT TABLES'!$W$27</f>
        <v>27.947999999999993</v>
      </c>
      <c r="X1287" s="14">
        <f>200-SUM(Table3[[#This Row],[S - LIGHT]:[S - VIGOROUS]])</f>
        <v>88.208000000000013</v>
      </c>
    </row>
    <row r="1288" spans="1:24" x14ac:dyDescent="0.25">
      <c r="A1288" s="44" t="s">
        <v>56</v>
      </c>
      <c r="B1288" s="13" t="str">
        <f t="shared" si="20"/>
        <v>Midfielder</v>
      </c>
      <c r="C1288" s="7">
        <v>45376.629895833335</v>
      </c>
      <c r="D1288" s="14">
        <v>4910</v>
      </c>
      <c r="E1288" s="14">
        <v>0</v>
      </c>
      <c r="F1288" s="14">
        <v>14</v>
      </c>
      <c r="G1288" s="14">
        <v>12</v>
      </c>
      <c r="H1288" s="14">
        <v>49.9</v>
      </c>
      <c r="I1288" s="14">
        <f>'PIVOT TABLES'!$B$26</f>
        <v>60.283999999999999</v>
      </c>
      <c r="J1288" s="14">
        <f>'PIVOT TABLES'!$B$27-'PIVOT TABLES'!$B$26</f>
        <v>30.142000000000003</v>
      </c>
      <c r="K1288" s="14">
        <f>'PIVOT TABLES'!$B$28-'PIVOT TABLES'!$B$27</f>
        <v>30.141999999999996</v>
      </c>
      <c r="L1288" s="14">
        <f>200-SUM(Table3[[#This Row],[D - LIGHT]:[D - VIGOROUS]])</f>
        <v>79.432000000000002</v>
      </c>
      <c r="M1288" s="14">
        <f>'PIVOT TABLES'!$I$26</f>
        <v>65.603999999999999</v>
      </c>
      <c r="N1288" s="14">
        <f>'PIVOT TABLES'!$I$27-'PIVOT TABLES'!$I$26</f>
        <v>32.802000000000007</v>
      </c>
      <c r="O1288" s="14">
        <f>'PIVOT TABLES'!$I$28-'PIVOT TABLES'!$I$27</f>
        <v>32.801999999999992</v>
      </c>
      <c r="P1288" s="14">
        <f>200-SUM(Table3[[#This Row],[M - LIGHT]:[M - VIGOROUS]])</f>
        <v>68.792000000000002</v>
      </c>
      <c r="Q1288" s="14">
        <f>'PIVOT TABLES'!$P$26</f>
        <v>62.64</v>
      </c>
      <c r="R1288" s="14">
        <f>'PIVOT TABLES'!$P$27-'PIVOT TABLES'!$P$26</f>
        <v>31.320000000000007</v>
      </c>
      <c r="S1288" s="14">
        <f>'PIVOT TABLES'!$P$28-'PIVOT TABLES'!$P$27</f>
        <v>31.319999999999993</v>
      </c>
      <c r="T1288" s="14">
        <f>200-SUM(Table3[[#This Row],[W - LIGHT]:[W - VIGOROUS]])</f>
        <v>74.72</v>
      </c>
      <c r="U1288" s="14">
        <f>'PIVOT TABLES'!$W$26</f>
        <v>55.895999999999994</v>
      </c>
      <c r="V1288" s="14">
        <f>'PIVOT TABLES'!$W$27-'PIVOT TABLES'!$W$26</f>
        <v>27.948</v>
      </c>
      <c r="W1288" s="14">
        <f>'PIVOT TABLES'!$W$28-'PIVOT TABLES'!$W$27</f>
        <v>27.947999999999993</v>
      </c>
      <c r="X1288" s="14">
        <f>200-SUM(Table3[[#This Row],[S - LIGHT]:[S - VIGOROUS]])</f>
        <v>88.208000000000013</v>
      </c>
    </row>
    <row r="1289" spans="1:24" x14ac:dyDescent="0.25">
      <c r="A1289" s="44" t="s">
        <v>94</v>
      </c>
      <c r="B1289" s="13" t="str">
        <f t="shared" si="20"/>
        <v>Defender</v>
      </c>
      <c r="C1289" s="7">
        <v>45376.629895833335</v>
      </c>
      <c r="D1289" s="14">
        <v>4438</v>
      </c>
      <c r="E1289" s="14">
        <v>76</v>
      </c>
      <c r="F1289" s="14">
        <v>4</v>
      </c>
      <c r="G1289" s="14">
        <v>13</v>
      </c>
      <c r="H1289" s="14">
        <v>47.08</v>
      </c>
      <c r="I1289" s="14">
        <f>'PIVOT TABLES'!$B$26</f>
        <v>60.283999999999999</v>
      </c>
      <c r="J1289" s="14">
        <f>'PIVOT TABLES'!$B$27-'PIVOT TABLES'!$B$26</f>
        <v>30.142000000000003</v>
      </c>
      <c r="K1289" s="14">
        <f>'PIVOT TABLES'!$B$28-'PIVOT TABLES'!$B$27</f>
        <v>30.141999999999996</v>
      </c>
      <c r="L1289" s="14">
        <f>200-SUM(Table3[[#This Row],[D - LIGHT]:[D - VIGOROUS]])</f>
        <v>79.432000000000002</v>
      </c>
      <c r="M1289" s="14">
        <f>'PIVOT TABLES'!$I$26</f>
        <v>65.603999999999999</v>
      </c>
      <c r="N1289" s="14">
        <f>'PIVOT TABLES'!$I$27-'PIVOT TABLES'!$I$26</f>
        <v>32.802000000000007</v>
      </c>
      <c r="O1289" s="14">
        <f>'PIVOT TABLES'!$I$28-'PIVOT TABLES'!$I$27</f>
        <v>32.801999999999992</v>
      </c>
      <c r="P1289" s="14">
        <f>200-SUM(Table3[[#This Row],[M - LIGHT]:[M - VIGOROUS]])</f>
        <v>68.792000000000002</v>
      </c>
      <c r="Q1289" s="14">
        <f>'PIVOT TABLES'!$P$26</f>
        <v>62.64</v>
      </c>
      <c r="R1289" s="14">
        <f>'PIVOT TABLES'!$P$27-'PIVOT TABLES'!$P$26</f>
        <v>31.320000000000007</v>
      </c>
      <c r="S1289" s="14">
        <f>'PIVOT TABLES'!$P$28-'PIVOT TABLES'!$P$27</f>
        <v>31.319999999999993</v>
      </c>
      <c r="T1289" s="14">
        <f>200-SUM(Table3[[#This Row],[W - LIGHT]:[W - VIGOROUS]])</f>
        <v>74.72</v>
      </c>
      <c r="U1289" s="14">
        <f>'PIVOT TABLES'!$W$26</f>
        <v>55.895999999999994</v>
      </c>
      <c r="V1289" s="14">
        <f>'PIVOT TABLES'!$W$27-'PIVOT TABLES'!$W$26</f>
        <v>27.948</v>
      </c>
      <c r="W1289" s="14">
        <f>'PIVOT TABLES'!$W$28-'PIVOT TABLES'!$W$27</f>
        <v>27.947999999999993</v>
      </c>
      <c r="X1289" s="14">
        <f>200-SUM(Table3[[#This Row],[S - LIGHT]:[S - VIGOROUS]])</f>
        <v>88.208000000000013</v>
      </c>
    </row>
    <row r="1290" spans="1:24" x14ac:dyDescent="0.25">
      <c r="A1290" s="44" t="s">
        <v>3</v>
      </c>
      <c r="B1290" s="13" t="str">
        <f t="shared" si="20"/>
        <v>Defender</v>
      </c>
      <c r="C1290" s="7">
        <v>45376.629895833335</v>
      </c>
      <c r="D1290" s="14">
        <v>4877</v>
      </c>
      <c r="E1290" s="14">
        <v>14</v>
      </c>
      <c r="F1290" s="14">
        <v>16</v>
      </c>
      <c r="G1290" s="14">
        <v>40</v>
      </c>
      <c r="H1290" s="14">
        <v>50.63</v>
      </c>
      <c r="I1290" s="14">
        <f>'PIVOT TABLES'!$B$26</f>
        <v>60.283999999999999</v>
      </c>
      <c r="J1290" s="14">
        <f>'PIVOT TABLES'!$B$27-'PIVOT TABLES'!$B$26</f>
        <v>30.142000000000003</v>
      </c>
      <c r="K1290" s="14">
        <f>'PIVOT TABLES'!$B$28-'PIVOT TABLES'!$B$27</f>
        <v>30.141999999999996</v>
      </c>
      <c r="L1290" s="14">
        <f>200-SUM(Table3[[#This Row],[D - LIGHT]:[D - VIGOROUS]])</f>
        <v>79.432000000000002</v>
      </c>
      <c r="M1290" s="14">
        <f>'PIVOT TABLES'!$I$26</f>
        <v>65.603999999999999</v>
      </c>
      <c r="N1290" s="14">
        <f>'PIVOT TABLES'!$I$27-'PIVOT TABLES'!$I$26</f>
        <v>32.802000000000007</v>
      </c>
      <c r="O1290" s="14">
        <f>'PIVOT TABLES'!$I$28-'PIVOT TABLES'!$I$27</f>
        <v>32.801999999999992</v>
      </c>
      <c r="P1290" s="14">
        <f>200-SUM(Table3[[#This Row],[M - LIGHT]:[M - VIGOROUS]])</f>
        <v>68.792000000000002</v>
      </c>
      <c r="Q1290" s="14">
        <f>'PIVOT TABLES'!$P$26</f>
        <v>62.64</v>
      </c>
      <c r="R1290" s="14">
        <f>'PIVOT TABLES'!$P$27-'PIVOT TABLES'!$P$26</f>
        <v>31.320000000000007</v>
      </c>
      <c r="S1290" s="14">
        <f>'PIVOT TABLES'!$P$28-'PIVOT TABLES'!$P$27</f>
        <v>31.319999999999993</v>
      </c>
      <c r="T1290" s="14">
        <f>200-SUM(Table3[[#This Row],[W - LIGHT]:[W - VIGOROUS]])</f>
        <v>74.72</v>
      </c>
      <c r="U1290" s="14">
        <f>'PIVOT TABLES'!$W$26</f>
        <v>55.895999999999994</v>
      </c>
      <c r="V1290" s="14">
        <f>'PIVOT TABLES'!$W$27-'PIVOT TABLES'!$W$26</f>
        <v>27.948</v>
      </c>
      <c r="W1290" s="14">
        <f>'PIVOT TABLES'!$W$28-'PIVOT TABLES'!$W$27</f>
        <v>27.947999999999993</v>
      </c>
      <c r="X1290" s="14">
        <f>200-SUM(Table3[[#This Row],[S - LIGHT]:[S - VIGOROUS]])</f>
        <v>88.208000000000013</v>
      </c>
    </row>
    <row r="1291" spans="1:24" x14ac:dyDescent="0.25">
      <c r="A1291" s="44" t="s">
        <v>59</v>
      </c>
      <c r="B1291" s="13" t="str">
        <f t="shared" si="20"/>
        <v>Striker</v>
      </c>
      <c r="C1291" s="7">
        <v>45376.629895833335</v>
      </c>
      <c r="D1291" s="14">
        <v>4642</v>
      </c>
      <c r="E1291" s="14">
        <v>16</v>
      </c>
      <c r="F1291" s="14">
        <v>6</v>
      </c>
      <c r="G1291" s="14">
        <v>17</v>
      </c>
      <c r="H1291" s="14">
        <v>47.48</v>
      </c>
      <c r="I1291" s="14">
        <f>'PIVOT TABLES'!$B$26</f>
        <v>60.283999999999999</v>
      </c>
      <c r="J1291" s="14">
        <f>'PIVOT TABLES'!$B$27-'PIVOT TABLES'!$B$26</f>
        <v>30.142000000000003</v>
      </c>
      <c r="K1291" s="14">
        <f>'PIVOT TABLES'!$B$28-'PIVOT TABLES'!$B$27</f>
        <v>30.141999999999996</v>
      </c>
      <c r="L1291" s="14">
        <f>200-SUM(Table3[[#This Row],[D - LIGHT]:[D - VIGOROUS]])</f>
        <v>79.432000000000002</v>
      </c>
      <c r="M1291" s="14">
        <f>'PIVOT TABLES'!$I$26</f>
        <v>65.603999999999999</v>
      </c>
      <c r="N1291" s="14">
        <f>'PIVOT TABLES'!$I$27-'PIVOT TABLES'!$I$26</f>
        <v>32.802000000000007</v>
      </c>
      <c r="O1291" s="14">
        <f>'PIVOT TABLES'!$I$28-'PIVOT TABLES'!$I$27</f>
        <v>32.801999999999992</v>
      </c>
      <c r="P1291" s="14">
        <f>200-SUM(Table3[[#This Row],[M - LIGHT]:[M - VIGOROUS]])</f>
        <v>68.792000000000002</v>
      </c>
      <c r="Q1291" s="14">
        <f>'PIVOT TABLES'!$P$26</f>
        <v>62.64</v>
      </c>
      <c r="R1291" s="14">
        <f>'PIVOT TABLES'!$P$27-'PIVOT TABLES'!$P$26</f>
        <v>31.320000000000007</v>
      </c>
      <c r="S1291" s="14">
        <f>'PIVOT TABLES'!$P$28-'PIVOT TABLES'!$P$27</f>
        <v>31.319999999999993</v>
      </c>
      <c r="T1291" s="14">
        <f>200-SUM(Table3[[#This Row],[W - LIGHT]:[W - VIGOROUS]])</f>
        <v>74.72</v>
      </c>
      <c r="U1291" s="14">
        <f>'PIVOT TABLES'!$W$26</f>
        <v>55.895999999999994</v>
      </c>
      <c r="V1291" s="14">
        <f>'PIVOT TABLES'!$W$27-'PIVOT TABLES'!$W$26</f>
        <v>27.948</v>
      </c>
      <c r="W1291" s="14">
        <f>'PIVOT TABLES'!$W$28-'PIVOT TABLES'!$W$27</f>
        <v>27.947999999999993</v>
      </c>
      <c r="X1291" s="14">
        <f>200-SUM(Table3[[#This Row],[S - LIGHT]:[S - VIGOROUS]])</f>
        <v>88.208000000000013</v>
      </c>
    </row>
    <row r="1292" spans="1:24" x14ac:dyDescent="0.25">
      <c r="A1292" s="44" t="s">
        <v>4</v>
      </c>
      <c r="B1292" s="13" t="str">
        <f t="shared" si="20"/>
        <v>Midfielder</v>
      </c>
      <c r="C1292" s="7">
        <v>45376.629895833335</v>
      </c>
      <c r="D1292" s="14">
        <v>4614</v>
      </c>
      <c r="E1292" s="14">
        <v>0</v>
      </c>
      <c r="F1292" s="14">
        <v>7</v>
      </c>
      <c r="G1292" s="14">
        <v>24</v>
      </c>
      <c r="H1292" s="14">
        <v>46.9</v>
      </c>
      <c r="I1292" s="14">
        <f>'PIVOT TABLES'!$B$26</f>
        <v>60.283999999999999</v>
      </c>
      <c r="J1292" s="14">
        <f>'PIVOT TABLES'!$B$27-'PIVOT TABLES'!$B$26</f>
        <v>30.142000000000003</v>
      </c>
      <c r="K1292" s="14">
        <f>'PIVOT TABLES'!$B$28-'PIVOT TABLES'!$B$27</f>
        <v>30.141999999999996</v>
      </c>
      <c r="L1292" s="14">
        <f>200-SUM(Table3[[#This Row],[D - LIGHT]:[D - VIGOROUS]])</f>
        <v>79.432000000000002</v>
      </c>
      <c r="M1292" s="14">
        <f>'PIVOT TABLES'!$I$26</f>
        <v>65.603999999999999</v>
      </c>
      <c r="N1292" s="14">
        <f>'PIVOT TABLES'!$I$27-'PIVOT TABLES'!$I$26</f>
        <v>32.802000000000007</v>
      </c>
      <c r="O1292" s="14">
        <f>'PIVOT TABLES'!$I$28-'PIVOT TABLES'!$I$27</f>
        <v>32.801999999999992</v>
      </c>
      <c r="P1292" s="14">
        <f>200-SUM(Table3[[#This Row],[M - LIGHT]:[M - VIGOROUS]])</f>
        <v>68.792000000000002</v>
      </c>
      <c r="Q1292" s="14">
        <f>'PIVOT TABLES'!$P$26</f>
        <v>62.64</v>
      </c>
      <c r="R1292" s="14">
        <f>'PIVOT TABLES'!$P$27-'PIVOT TABLES'!$P$26</f>
        <v>31.320000000000007</v>
      </c>
      <c r="S1292" s="14">
        <f>'PIVOT TABLES'!$P$28-'PIVOT TABLES'!$P$27</f>
        <v>31.319999999999993</v>
      </c>
      <c r="T1292" s="14">
        <f>200-SUM(Table3[[#This Row],[W - LIGHT]:[W - VIGOROUS]])</f>
        <v>74.72</v>
      </c>
      <c r="U1292" s="14">
        <f>'PIVOT TABLES'!$W$26</f>
        <v>55.895999999999994</v>
      </c>
      <c r="V1292" s="14">
        <f>'PIVOT TABLES'!$W$27-'PIVOT TABLES'!$W$26</f>
        <v>27.948</v>
      </c>
      <c r="W1292" s="14">
        <f>'PIVOT TABLES'!$W$28-'PIVOT TABLES'!$W$27</f>
        <v>27.947999999999993</v>
      </c>
      <c r="X1292" s="14">
        <f>200-SUM(Table3[[#This Row],[S - LIGHT]:[S - VIGOROUS]])</f>
        <v>88.208000000000013</v>
      </c>
    </row>
    <row r="1293" spans="1:24" x14ac:dyDescent="0.25">
      <c r="A1293" s="44" t="s">
        <v>60</v>
      </c>
      <c r="B1293" s="13" t="str">
        <f t="shared" si="20"/>
        <v>Winger</v>
      </c>
      <c r="C1293" s="7">
        <v>45376.629895833335</v>
      </c>
      <c r="D1293" s="14">
        <v>4789</v>
      </c>
      <c r="E1293" s="14">
        <v>94</v>
      </c>
      <c r="F1293" s="14">
        <v>20</v>
      </c>
      <c r="G1293" s="14">
        <v>28</v>
      </c>
      <c r="H1293" s="14">
        <v>52.07</v>
      </c>
      <c r="I1293" s="14">
        <f>'PIVOT TABLES'!$B$26</f>
        <v>60.283999999999999</v>
      </c>
      <c r="J1293" s="14">
        <f>'PIVOT TABLES'!$B$27-'PIVOT TABLES'!$B$26</f>
        <v>30.142000000000003</v>
      </c>
      <c r="K1293" s="14">
        <f>'PIVOT TABLES'!$B$28-'PIVOT TABLES'!$B$27</f>
        <v>30.141999999999996</v>
      </c>
      <c r="L1293" s="14">
        <f>200-SUM(Table3[[#This Row],[D - LIGHT]:[D - VIGOROUS]])</f>
        <v>79.432000000000002</v>
      </c>
      <c r="M1293" s="14">
        <f>'PIVOT TABLES'!$I$26</f>
        <v>65.603999999999999</v>
      </c>
      <c r="N1293" s="14">
        <f>'PIVOT TABLES'!$I$27-'PIVOT TABLES'!$I$26</f>
        <v>32.802000000000007</v>
      </c>
      <c r="O1293" s="14">
        <f>'PIVOT TABLES'!$I$28-'PIVOT TABLES'!$I$27</f>
        <v>32.801999999999992</v>
      </c>
      <c r="P1293" s="14">
        <f>200-SUM(Table3[[#This Row],[M - LIGHT]:[M - VIGOROUS]])</f>
        <v>68.792000000000002</v>
      </c>
      <c r="Q1293" s="14">
        <f>'PIVOT TABLES'!$P$26</f>
        <v>62.64</v>
      </c>
      <c r="R1293" s="14">
        <f>'PIVOT TABLES'!$P$27-'PIVOT TABLES'!$P$26</f>
        <v>31.320000000000007</v>
      </c>
      <c r="S1293" s="14">
        <f>'PIVOT TABLES'!$P$28-'PIVOT TABLES'!$P$27</f>
        <v>31.319999999999993</v>
      </c>
      <c r="T1293" s="14">
        <f>200-SUM(Table3[[#This Row],[W - LIGHT]:[W - VIGOROUS]])</f>
        <v>74.72</v>
      </c>
      <c r="U1293" s="14">
        <f>'PIVOT TABLES'!$W$26</f>
        <v>55.895999999999994</v>
      </c>
      <c r="V1293" s="14">
        <f>'PIVOT TABLES'!$W$27-'PIVOT TABLES'!$W$26</f>
        <v>27.948</v>
      </c>
      <c r="W1293" s="14">
        <f>'PIVOT TABLES'!$W$28-'PIVOT TABLES'!$W$27</f>
        <v>27.947999999999993</v>
      </c>
      <c r="X1293" s="14">
        <f>200-SUM(Table3[[#This Row],[S - LIGHT]:[S - VIGOROUS]])</f>
        <v>88.208000000000013</v>
      </c>
    </row>
    <row r="1294" spans="1:24" x14ac:dyDescent="0.25">
      <c r="A1294" s="44" t="s">
        <v>71</v>
      </c>
      <c r="B1294" s="13" t="str">
        <f t="shared" si="20"/>
        <v>Midfielder</v>
      </c>
      <c r="C1294" s="7">
        <v>45376.629895833335</v>
      </c>
      <c r="D1294" s="14">
        <v>4107</v>
      </c>
      <c r="E1294" s="14">
        <v>3</v>
      </c>
      <c r="F1294" s="14">
        <v>8</v>
      </c>
      <c r="G1294" s="14">
        <v>14</v>
      </c>
      <c r="H1294" s="14">
        <v>41.76</v>
      </c>
      <c r="I1294" s="14">
        <f>'PIVOT TABLES'!$B$26</f>
        <v>60.283999999999999</v>
      </c>
      <c r="J1294" s="14">
        <f>'PIVOT TABLES'!$B$27-'PIVOT TABLES'!$B$26</f>
        <v>30.142000000000003</v>
      </c>
      <c r="K1294" s="14">
        <f>'PIVOT TABLES'!$B$28-'PIVOT TABLES'!$B$27</f>
        <v>30.141999999999996</v>
      </c>
      <c r="L1294" s="14">
        <f>200-SUM(Table3[[#This Row],[D - LIGHT]:[D - VIGOROUS]])</f>
        <v>79.432000000000002</v>
      </c>
      <c r="M1294" s="14">
        <f>'PIVOT TABLES'!$I$26</f>
        <v>65.603999999999999</v>
      </c>
      <c r="N1294" s="14">
        <f>'PIVOT TABLES'!$I$27-'PIVOT TABLES'!$I$26</f>
        <v>32.802000000000007</v>
      </c>
      <c r="O1294" s="14">
        <f>'PIVOT TABLES'!$I$28-'PIVOT TABLES'!$I$27</f>
        <v>32.801999999999992</v>
      </c>
      <c r="P1294" s="14">
        <f>200-SUM(Table3[[#This Row],[M - LIGHT]:[M - VIGOROUS]])</f>
        <v>68.792000000000002</v>
      </c>
      <c r="Q1294" s="14">
        <f>'PIVOT TABLES'!$P$26</f>
        <v>62.64</v>
      </c>
      <c r="R1294" s="14">
        <f>'PIVOT TABLES'!$P$27-'PIVOT TABLES'!$P$26</f>
        <v>31.320000000000007</v>
      </c>
      <c r="S1294" s="14">
        <f>'PIVOT TABLES'!$P$28-'PIVOT TABLES'!$P$27</f>
        <v>31.319999999999993</v>
      </c>
      <c r="T1294" s="14">
        <f>200-SUM(Table3[[#This Row],[W - LIGHT]:[W - VIGOROUS]])</f>
        <v>74.72</v>
      </c>
      <c r="U1294" s="14">
        <f>'PIVOT TABLES'!$W$26</f>
        <v>55.895999999999994</v>
      </c>
      <c r="V1294" s="14">
        <f>'PIVOT TABLES'!$W$27-'PIVOT TABLES'!$W$26</f>
        <v>27.948</v>
      </c>
      <c r="W1294" s="14">
        <f>'PIVOT TABLES'!$W$28-'PIVOT TABLES'!$W$27</f>
        <v>27.947999999999993</v>
      </c>
      <c r="X1294" s="14">
        <f>200-SUM(Table3[[#This Row],[S - LIGHT]:[S - VIGOROUS]])</f>
        <v>88.208000000000013</v>
      </c>
    </row>
    <row r="1295" spans="1:24" x14ac:dyDescent="0.25">
      <c r="A1295" s="44" t="s">
        <v>5</v>
      </c>
      <c r="B1295" s="13" t="str">
        <f t="shared" si="20"/>
        <v>Midfielder</v>
      </c>
      <c r="C1295" s="7">
        <v>45376.629895833335</v>
      </c>
      <c r="D1295" s="14">
        <v>4935</v>
      </c>
      <c r="E1295" s="14">
        <v>22</v>
      </c>
      <c r="F1295" s="14">
        <v>15</v>
      </c>
      <c r="G1295" s="14">
        <v>21</v>
      </c>
      <c r="H1295" s="14">
        <v>51.03</v>
      </c>
      <c r="I1295" s="14">
        <f>'PIVOT TABLES'!$B$26</f>
        <v>60.283999999999999</v>
      </c>
      <c r="J1295" s="14">
        <f>'PIVOT TABLES'!$B$27-'PIVOT TABLES'!$B$26</f>
        <v>30.142000000000003</v>
      </c>
      <c r="K1295" s="14">
        <f>'PIVOT TABLES'!$B$28-'PIVOT TABLES'!$B$27</f>
        <v>30.141999999999996</v>
      </c>
      <c r="L1295" s="14">
        <f>200-SUM(Table3[[#This Row],[D - LIGHT]:[D - VIGOROUS]])</f>
        <v>79.432000000000002</v>
      </c>
      <c r="M1295" s="14">
        <f>'PIVOT TABLES'!$I$26</f>
        <v>65.603999999999999</v>
      </c>
      <c r="N1295" s="14">
        <f>'PIVOT TABLES'!$I$27-'PIVOT TABLES'!$I$26</f>
        <v>32.802000000000007</v>
      </c>
      <c r="O1295" s="14">
        <f>'PIVOT TABLES'!$I$28-'PIVOT TABLES'!$I$27</f>
        <v>32.801999999999992</v>
      </c>
      <c r="P1295" s="14">
        <f>200-SUM(Table3[[#This Row],[M - LIGHT]:[M - VIGOROUS]])</f>
        <v>68.792000000000002</v>
      </c>
      <c r="Q1295" s="14">
        <f>'PIVOT TABLES'!$P$26</f>
        <v>62.64</v>
      </c>
      <c r="R1295" s="14">
        <f>'PIVOT TABLES'!$P$27-'PIVOT TABLES'!$P$26</f>
        <v>31.320000000000007</v>
      </c>
      <c r="S1295" s="14">
        <f>'PIVOT TABLES'!$P$28-'PIVOT TABLES'!$P$27</f>
        <v>31.319999999999993</v>
      </c>
      <c r="T1295" s="14">
        <f>200-SUM(Table3[[#This Row],[W - LIGHT]:[W - VIGOROUS]])</f>
        <v>74.72</v>
      </c>
      <c r="U1295" s="14">
        <f>'PIVOT TABLES'!$W$26</f>
        <v>55.895999999999994</v>
      </c>
      <c r="V1295" s="14">
        <f>'PIVOT TABLES'!$W$27-'PIVOT TABLES'!$W$26</f>
        <v>27.948</v>
      </c>
      <c r="W1295" s="14">
        <f>'PIVOT TABLES'!$W$28-'PIVOT TABLES'!$W$27</f>
        <v>27.947999999999993</v>
      </c>
      <c r="X1295" s="14">
        <f>200-SUM(Table3[[#This Row],[S - LIGHT]:[S - VIGOROUS]])</f>
        <v>88.208000000000013</v>
      </c>
    </row>
    <row r="1296" spans="1:24" x14ac:dyDescent="0.25">
      <c r="A1296" s="44" t="s">
        <v>6</v>
      </c>
      <c r="B1296" s="13" t="str">
        <f t="shared" si="20"/>
        <v>Midfielder</v>
      </c>
      <c r="C1296" s="7">
        <v>45376.629895833335</v>
      </c>
      <c r="D1296" s="14">
        <v>4021</v>
      </c>
      <c r="E1296" s="14">
        <v>70</v>
      </c>
      <c r="F1296" s="14">
        <v>11</v>
      </c>
      <c r="G1296" s="14">
        <v>9</v>
      </c>
      <c r="H1296" s="14">
        <v>42.93</v>
      </c>
      <c r="I1296" s="14">
        <f>'PIVOT TABLES'!$B$26</f>
        <v>60.283999999999999</v>
      </c>
      <c r="J1296" s="14">
        <f>'PIVOT TABLES'!$B$27-'PIVOT TABLES'!$B$26</f>
        <v>30.142000000000003</v>
      </c>
      <c r="K1296" s="14">
        <f>'PIVOT TABLES'!$B$28-'PIVOT TABLES'!$B$27</f>
        <v>30.141999999999996</v>
      </c>
      <c r="L1296" s="14">
        <f>200-SUM(Table3[[#This Row],[D - LIGHT]:[D - VIGOROUS]])</f>
        <v>79.432000000000002</v>
      </c>
      <c r="M1296" s="14">
        <f>'PIVOT TABLES'!$I$26</f>
        <v>65.603999999999999</v>
      </c>
      <c r="N1296" s="14">
        <f>'PIVOT TABLES'!$I$27-'PIVOT TABLES'!$I$26</f>
        <v>32.802000000000007</v>
      </c>
      <c r="O1296" s="14">
        <f>'PIVOT TABLES'!$I$28-'PIVOT TABLES'!$I$27</f>
        <v>32.801999999999992</v>
      </c>
      <c r="P1296" s="14">
        <f>200-SUM(Table3[[#This Row],[M - LIGHT]:[M - VIGOROUS]])</f>
        <v>68.792000000000002</v>
      </c>
      <c r="Q1296" s="14">
        <f>'PIVOT TABLES'!$P$26</f>
        <v>62.64</v>
      </c>
      <c r="R1296" s="14">
        <f>'PIVOT TABLES'!$P$27-'PIVOT TABLES'!$P$26</f>
        <v>31.320000000000007</v>
      </c>
      <c r="S1296" s="14">
        <f>'PIVOT TABLES'!$P$28-'PIVOT TABLES'!$P$27</f>
        <v>31.319999999999993</v>
      </c>
      <c r="T1296" s="14">
        <f>200-SUM(Table3[[#This Row],[W - LIGHT]:[W - VIGOROUS]])</f>
        <v>74.72</v>
      </c>
      <c r="U1296" s="14">
        <f>'PIVOT TABLES'!$W$26</f>
        <v>55.895999999999994</v>
      </c>
      <c r="V1296" s="14">
        <f>'PIVOT TABLES'!$W$27-'PIVOT TABLES'!$W$26</f>
        <v>27.948</v>
      </c>
      <c r="W1296" s="14">
        <f>'PIVOT TABLES'!$W$28-'PIVOT TABLES'!$W$27</f>
        <v>27.947999999999993</v>
      </c>
      <c r="X1296" s="14">
        <f>200-SUM(Table3[[#This Row],[S - LIGHT]:[S - VIGOROUS]])</f>
        <v>88.208000000000013</v>
      </c>
    </row>
    <row r="1297" spans="1:24" x14ac:dyDescent="0.25">
      <c r="A1297" s="44" t="s">
        <v>62</v>
      </c>
      <c r="B1297" s="13" t="str">
        <f t="shared" si="20"/>
        <v>Midfielder</v>
      </c>
      <c r="C1297" s="7">
        <v>45376.629895833335</v>
      </c>
      <c r="D1297" s="14">
        <v>3835</v>
      </c>
      <c r="E1297" s="14">
        <v>0</v>
      </c>
      <c r="F1297" s="14">
        <v>13</v>
      </c>
      <c r="G1297" s="14">
        <v>13</v>
      </c>
      <c r="H1297" s="14">
        <v>39.130000000000003</v>
      </c>
      <c r="I1297" s="14">
        <f>'PIVOT TABLES'!$B$26</f>
        <v>60.283999999999999</v>
      </c>
      <c r="J1297" s="14">
        <f>'PIVOT TABLES'!$B$27-'PIVOT TABLES'!$B$26</f>
        <v>30.142000000000003</v>
      </c>
      <c r="K1297" s="14">
        <f>'PIVOT TABLES'!$B$28-'PIVOT TABLES'!$B$27</f>
        <v>30.141999999999996</v>
      </c>
      <c r="L1297" s="14">
        <f>200-SUM(Table3[[#This Row],[D - LIGHT]:[D - VIGOROUS]])</f>
        <v>79.432000000000002</v>
      </c>
      <c r="M1297" s="14">
        <f>'PIVOT TABLES'!$I$26</f>
        <v>65.603999999999999</v>
      </c>
      <c r="N1297" s="14">
        <f>'PIVOT TABLES'!$I$27-'PIVOT TABLES'!$I$26</f>
        <v>32.802000000000007</v>
      </c>
      <c r="O1297" s="14">
        <f>'PIVOT TABLES'!$I$28-'PIVOT TABLES'!$I$27</f>
        <v>32.801999999999992</v>
      </c>
      <c r="P1297" s="14">
        <f>200-SUM(Table3[[#This Row],[M - LIGHT]:[M - VIGOROUS]])</f>
        <v>68.792000000000002</v>
      </c>
      <c r="Q1297" s="14">
        <f>'PIVOT TABLES'!$P$26</f>
        <v>62.64</v>
      </c>
      <c r="R1297" s="14">
        <f>'PIVOT TABLES'!$P$27-'PIVOT TABLES'!$P$26</f>
        <v>31.320000000000007</v>
      </c>
      <c r="S1297" s="14">
        <f>'PIVOT TABLES'!$P$28-'PIVOT TABLES'!$P$27</f>
        <v>31.319999999999993</v>
      </c>
      <c r="T1297" s="14">
        <f>200-SUM(Table3[[#This Row],[W - LIGHT]:[W - VIGOROUS]])</f>
        <v>74.72</v>
      </c>
      <c r="U1297" s="14">
        <f>'PIVOT TABLES'!$W$26</f>
        <v>55.895999999999994</v>
      </c>
      <c r="V1297" s="14">
        <f>'PIVOT TABLES'!$W$27-'PIVOT TABLES'!$W$26</f>
        <v>27.948</v>
      </c>
      <c r="W1297" s="14">
        <f>'PIVOT TABLES'!$W$28-'PIVOT TABLES'!$W$27</f>
        <v>27.947999999999993</v>
      </c>
      <c r="X1297" s="14">
        <f>200-SUM(Table3[[#This Row],[S - LIGHT]:[S - VIGOROUS]])</f>
        <v>88.208000000000013</v>
      </c>
    </row>
    <row r="1298" spans="1:24" x14ac:dyDescent="0.25">
      <c r="A1298" s="44" t="s">
        <v>63</v>
      </c>
      <c r="B1298" s="13" t="str">
        <f t="shared" si="20"/>
        <v>Winger</v>
      </c>
      <c r="C1298" s="7">
        <v>45376.629895833335</v>
      </c>
      <c r="D1298" s="14">
        <v>4671</v>
      </c>
      <c r="E1298" s="14">
        <v>31</v>
      </c>
      <c r="F1298" s="14">
        <v>22</v>
      </c>
      <c r="G1298" s="14">
        <v>21</v>
      </c>
      <c r="H1298" s="14">
        <v>48.94</v>
      </c>
      <c r="I1298" s="14">
        <f>'PIVOT TABLES'!$B$26</f>
        <v>60.283999999999999</v>
      </c>
      <c r="J1298" s="14">
        <f>'PIVOT TABLES'!$B$27-'PIVOT TABLES'!$B$26</f>
        <v>30.142000000000003</v>
      </c>
      <c r="K1298" s="14">
        <f>'PIVOT TABLES'!$B$28-'PIVOT TABLES'!$B$27</f>
        <v>30.141999999999996</v>
      </c>
      <c r="L1298" s="14">
        <f>200-SUM(Table3[[#This Row],[D - LIGHT]:[D - VIGOROUS]])</f>
        <v>79.432000000000002</v>
      </c>
      <c r="M1298" s="14">
        <f>'PIVOT TABLES'!$I$26</f>
        <v>65.603999999999999</v>
      </c>
      <c r="N1298" s="14">
        <f>'PIVOT TABLES'!$I$27-'PIVOT TABLES'!$I$26</f>
        <v>32.802000000000007</v>
      </c>
      <c r="O1298" s="14">
        <f>'PIVOT TABLES'!$I$28-'PIVOT TABLES'!$I$27</f>
        <v>32.801999999999992</v>
      </c>
      <c r="P1298" s="14">
        <f>200-SUM(Table3[[#This Row],[M - LIGHT]:[M - VIGOROUS]])</f>
        <v>68.792000000000002</v>
      </c>
      <c r="Q1298" s="14">
        <f>'PIVOT TABLES'!$P$26</f>
        <v>62.64</v>
      </c>
      <c r="R1298" s="14">
        <f>'PIVOT TABLES'!$P$27-'PIVOT TABLES'!$P$26</f>
        <v>31.320000000000007</v>
      </c>
      <c r="S1298" s="14">
        <f>'PIVOT TABLES'!$P$28-'PIVOT TABLES'!$P$27</f>
        <v>31.319999999999993</v>
      </c>
      <c r="T1298" s="14">
        <f>200-SUM(Table3[[#This Row],[W - LIGHT]:[W - VIGOROUS]])</f>
        <v>74.72</v>
      </c>
      <c r="U1298" s="14">
        <f>'PIVOT TABLES'!$W$26</f>
        <v>55.895999999999994</v>
      </c>
      <c r="V1298" s="14">
        <f>'PIVOT TABLES'!$W$27-'PIVOT TABLES'!$W$26</f>
        <v>27.948</v>
      </c>
      <c r="W1298" s="14">
        <f>'PIVOT TABLES'!$W$28-'PIVOT TABLES'!$W$27</f>
        <v>27.947999999999993</v>
      </c>
      <c r="X1298" s="14">
        <f>200-SUM(Table3[[#This Row],[S - LIGHT]:[S - VIGOROUS]])</f>
        <v>88.208000000000013</v>
      </c>
    </row>
    <row r="1299" spans="1:24" x14ac:dyDescent="0.25">
      <c r="A1299" s="44" t="s">
        <v>64</v>
      </c>
      <c r="B1299" s="13" t="str">
        <f t="shared" si="20"/>
        <v>Midfielder</v>
      </c>
      <c r="C1299" s="7">
        <v>45376.629895833335</v>
      </c>
      <c r="D1299" s="14">
        <v>4379</v>
      </c>
      <c r="E1299" s="14">
        <v>15</v>
      </c>
      <c r="F1299" s="14">
        <v>28</v>
      </c>
      <c r="G1299" s="14">
        <v>36</v>
      </c>
      <c r="H1299" s="14">
        <v>46.08</v>
      </c>
      <c r="I1299" s="14">
        <f>'PIVOT TABLES'!$B$26</f>
        <v>60.283999999999999</v>
      </c>
      <c r="J1299" s="14">
        <f>'PIVOT TABLES'!$B$27-'PIVOT TABLES'!$B$26</f>
        <v>30.142000000000003</v>
      </c>
      <c r="K1299" s="14">
        <f>'PIVOT TABLES'!$B$28-'PIVOT TABLES'!$B$27</f>
        <v>30.141999999999996</v>
      </c>
      <c r="L1299" s="14">
        <f>200-SUM(Table3[[#This Row],[D - LIGHT]:[D - VIGOROUS]])</f>
        <v>79.432000000000002</v>
      </c>
      <c r="M1299" s="14">
        <f>'PIVOT TABLES'!$I$26</f>
        <v>65.603999999999999</v>
      </c>
      <c r="N1299" s="14">
        <f>'PIVOT TABLES'!$I$27-'PIVOT TABLES'!$I$26</f>
        <v>32.802000000000007</v>
      </c>
      <c r="O1299" s="14">
        <f>'PIVOT TABLES'!$I$28-'PIVOT TABLES'!$I$27</f>
        <v>32.801999999999992</v>
      </c>
      <c r="P1299" s="14">
        <f>200-SUM(Table3[[#This Row],[M - LIGHT]:[M - VIGOROUS]])</f>
        <v>68.792000000000002</v>
      </c>
      <c r="Q1299" s="14">
        <f>'PIVOT TABLES'!$P$26</f>
        <v>62.64</v>
      </c>
      <c r="R1299" s="14">
        <f>'PIVOT TABLES'!$P$27-'PIVOT TABLES'!$P$26</f>
        <v>31.320000000000007</v>
      </c>
      <c r="S1299" s="14">
        <f>'PIVOT TABLES'!$P$28-'PIVOT TABLES'!$P$27</f>
        <v>31.319999999999993</v>
      </c>
      <c r="T1299" s="14">
        <f>200-SUM(Table3[[#This Row],[W - LIGHT]:[W - VIGOROUS]])</f>
        <v>74.72</v>
      </c>
      <c r="U1299" s="14">
        <f>'PIVOT TABLES'!$W$26</f>
        <v>55.895999999999994</v>
      </c>
      <c r="V1299" s="14">
        <f>'PIVOT TABLES'!$W$27-'PIVOT TABLES'!$W$26</f>
        <v>27.948</v>
      </c>
      <c r="W1299" s="14">
        <f>'PIVOT TABLES'!$W$28-'PIVOT TABLES'!$W$27</f>
        <v>27.947999999999993</v>
      </c>
      <c r="X1299" s="14">
        <f>200-SUM(Table3[[#This Row],[S - LIGHT]:[S - VIGOROUS]])</f>
        <v>88.208000000000013</v>
      </c>
    </row>
    <row r="1300" spans="1:24" x14ac:dyDescent="0.25">
      <c r="A1300" s="44" t="s">
        <v>65</v>
      </c>
      <c r="B1300" s="13" t="str">
        <f t="shared" si="20"/>
        <v>Winger</v>
      </c>
      <c r="C1300" s="7">
        <v>45376.629895833335</v>
      </c>
      <c r="D1300" s="14">
        <v>4965</v>
      </c>
      <c r="E1300" s="14">
        <v>32</v>
      </c>
      <c r="F1300" s="14">
        <v>29</v>
      </c>
      <c r="G1300" s="14">
        <v>35</v>
      </c>
      <c r="H1300" s="14">
        <v>52.47</v>
      </c>
      <c r="I1300" s="14">
        <f>'PIVOT TABLES'!$B$26</f>
        <v>60.283999999999999</v>
      </c>
      <c r="J1300" s="14">
        <f>'PIVOT TABLES'!$B$27-'PIVOT TABLES'!$B$26</f>
        <v>30.142000000000003</v>
      </c>
      <c r="K1300" s="14">
        <f>'PIVOT TABLES'!$B$28-'PIVOT TABLES'!$B$27</f>
        <v>30.141999999999996</v>
      </c>
      <c r="L1300" s="14">
        <f>200-SUM(Table3[[#This Row],[D - LIGHT]:[D - VIGOROUS]])</f>
        <v>79.432000000000002</v>
      </c>
      <c r="M1300" s="14">
        <f>'PIVOT TABLES'!$I$26</f>
        <v>65.603999999999999</v>
      </c>
      <c r="N1300" s="14">
        <f>'PIVOT TABLES'!$I$27-'PIVOT TABLES'!$I$26</f>
        <v>32.802000000000007</v>
      </c>
      <c r="O1300" s="14">
        <f>'PIVOT TABLES'!$I$28-'PIVOT TABLES'!$I$27</f>
        <v>32.801999999999992</v>
      </c>
      <c r="P1300" s="14">
        <f>200-SUM(Table3[[#This Row],[M - LIGHT]:[M - VIGOROUS]])</f>
        <v>68.792000000000002</v>
      </c>
      <c r="Q1300" s="14">
        <f>'PIVOT TABLES'!$P$26</f>
        <v>62.64</v>
      </c>
      <c r="R1300" s="14">
        <f>'PIVOT TABLES'!$P$27-'PIVOT TABLES'!$P$26</f>
        <v>31.320000000000007</v>
      </c>
      <c r="S1300" s="14">
        <f>'PIVOT TABLES'!$P$28-'PIVOT TABLES'!$P$27</f>
        <v>31.319999999999993</v>
      </c>
      <c r="T1300" s="14">
        <f>200-SUM(Table3[[#This Row],[W - LIGHT]:[W - VIGOROUS]])</f>
        <v>74.72</v>
      </c>
      <c r="U1300" s="14">
        <f>'PIVOT TABLES'!$W$26</f>
        <v>55.895999999999994</v>
      </c>
      <c r="V1300" s="14">
        <f>'PIVOT TABLES'!$W$27-'PIVOT TABLES'!$W$26</f>
        <v>27.948</v>
      </c>
      <c r="W1300" s="14">
        <f>'PIVOT TABLES'!$W$28-'PIVOT TABLES'!$W$27</f>
        <v>27.947999999999993</v>
      </c>
      <c r="X1300" s="14">
        <f>200-SUM(Table3[[#This Row],[S - LIGHT]:[S - VIGOROUS]])</f>
        <v>88.208000000000013</v>
      </c>
    </row>
    <row r="1301" spans="1:24" x14ac:dyDescent="0.25">
      <c r="A1301" s="44" t="s">
        <v>66</v>
      </c>
      <c r="B1301" s="13" t="str">
        <f t="shared" si="20"/>
        <v>Striker</v>
      </c>
      <c r="C1301" s="7">
        <v>45376.629895833335</v>
      </c>
      <c r="D1301" s="14">
        <v>4718</v>
      </c>
      <c r="E1301" s="14">
        <v>0</v>
      </c>
      <c r="F1301" s="14">
        <v>3</v>
      </c>
      <c r="G1301" s="14">
        <v>11</v>
      </c>
      <c r="H1301" s="14">
        <v>47.52</v>
      </c>
      <c r="I1301" s="14">
        <f>'PIVOT TABLES'!$B$26</f>
        <v>60.283999999999999</v>
      </c>
      <c r="J1301" s="14">
        <f>'PIVOT TABLES'!$B$27-'PIVOT TABLES'!$B$26</f>
        <v>30.142000000000003</v>
      </c>
      <c r="K1301" s="14">
        <f>'PIVOT TABLES'!$B$28-'PIVOT TABLES'!$B$27</f>
        <v>30.141999999999996</v>
      </c>
      <c r="L1301" s="14">
        <f>200-SUM(Table3[[#This Row],[D - LIGHT]:[D - VIGOROUS]])</f>
        <v>79.432000000000002</v>
      </c>
      <c r="M1301" s="14">
        <f>'PIVOT TABLES'!$I$26</f>
        <v>65.603999999999999</v>
      </c>
      <c r="N1301" s="14">
        <f>'PIVOT TABLES'!$I$27-'PIVOT TABLES'!$I$26</f>
        <v>32.802000000000007</v>
      </c>
      <c r="O1301" s="14">
        <f>'PIVOT TABLES'!$I$28-'PIVOT TABLES'!$I$27</f>
        <v>32.801999999999992</v>
      </c>
      <c r="P1301" s="14">
        <f>200-SUM(Table3[[#This Row],[M - LIGHT]:[M - VIGOROUS]])</f>
        <v>68.792000000000002</v>
      </c>
      <c r="Q1301" s="14">
        <f>'PIVOT TABLES'!$P$26</f>
        <v>62.64</v>
      </c>
      <c r="R1301" s="14">
        <f>'PIVOT TABLES'!$P$27-'PIVOT TABLES'!$P$26</f>
        <v>31.320000000000007</v>
      </c>
      <c r="S1301" s="14">
        <f>'PIVOT TABLES'!$P$28-'PIVOT TABLES'!$P$27</f>
        <v>31.319999999999993</v>
      </c>
      <c r="T1301" s="14">
        <f>200-SUM(Table3[[#This Row],[W - LIGHT]:[W - VIGOROUS]])</f>
        <v>74.72</v>
      </c>
      <c r="U1301" s="14">
        <f>'PIVOT TABLES'!$W$26</f>
        <v>55.895999999999994</v>
      </c>
      <c r="V1301" s="14">
        <f>'PIVOT TABLES'!$W$27-'PIVOT TABLES'!$W$26</f>
        <v>27.948</v>
      </c>
      <c r="W1301" s="14">
        <f>'PIVOT TABLES'!$W$28-'PIVOT TABLES'!$W$27</f>
        <v>27.947999999999993</v>
      </c>
      <c r="X1301" s="14">
        <f>200-SUM(Table3[[#This Row],[S - LIGHT]:[S - VIGOROUS]])</f>
        <v>88.208000000000013</v>
      </c>
    </row>
    <row r="1302" spans="1:24" x14ac:dyDescent="0.25">
      <c r="A1302" s="44" t="s">
        <v>78</v>
      </c>
      <c r="B1302" s="13" t="str">
        <f t="shared" si="20"/>
        <v>Defender</v>
      </c>
      <c r="C1302" s="7">
        <v>45376.629895833335</v>
      </c>
      <c r="D1302" s="14">
        <v>4425</v>
      </c>
      <c r="E1302" s="14">
        <v>18</v>
      </c>
      <c r="F1302" s="14">
        <v>18</v>
      </c>
      <c r="G1302" s="14">
        <v>20</v>
      </c>
      <c r="H1302" s="14">
        <v>45.91</v>
      </c>
      <c r="I1302" s="14">
        <f>'PIVOT TABLES'!$B$26</f>
        <v>60.283999999999999</v>
      </c>
      <c r="J1302" s="14">
        <f>'PIVOT TABLES'!$B$27-'PIVOT TABLES'!$B$26</f>
        <v>30.142000000000003</v>
      </c>
      <c r="K1302" s="14">
        <f>'PIVOT TABLES'!$B$28-'PIVOT TABLES'!$B$27</f>
        <v>30.141999999999996</v>
      </c>
      <c r="L1302" s="14">
        <f>200-SUM(Table3[[#This Row],[D - LIGHT]:[D - VIGOROUS]])</f>
        <v>79.432000000000002</v>
      </c>
      <c r="M1302" s="14">
        <f>'PIVOT TABLES'!$I$26</f>
        <v>65.603999999999999</v>
      </c>
      <c r="N1302" s="14">
        <f>'PIVOT TABLES'!$I$27-'PIVOT TABLES'!$I$26</f>
        <v>32.802000000000007</v>
      </c>
      <c r="O1302" s="14">
        <f>'PIVOT TABLES'!$I$28-'PIVOT TABLES'!$I$27</f>
        <v>32.801999999999992</v>
      </c>
      <c r="P1302" s="14">
        <f>200-SUM(Table3[[#This Row],[M - LIGHT]:[M - VIGOROUS]])</f>
        <v>68.792000000000002</v>
      </c>
      <c r="Q1302" s="14">
        <f>'PIVOT TABLES'!$P$26</f>
        <v>62.64</v>
      </c>
      <c r="R1302" s="14">
        <f>'PIVOT TABLES'!$P$27-'PIVOT TABLES'!$P$26</f>
        <v>31.320000000000007</v>
      </c>
      <c r="S1302" s="14">
        <f>'PIVOT TABLES'!$P$28-'PIVOT TABLES'!$P$27</f>
        <v>31.319999999999993</v>
      </c>
      <c r="T1302" s="14">
        <f>200-SUM(Table3[[#This Row],[W - LIGHT]:[W - VIGOROUS]])</f>
        <v>74.72</v>
      </c>
      <c r="U1302" s="14">
        <f>'PIVOT TABLES'!$W$26</f>
        <v>55.895999999999994</v>
      </c>
      <c r="V1302" s="14">
        <f>'PIVOT TABLES'!$W$27-'PIVOT TABLES'!$W$26</f>
        <v>27.948</v>
      </c>
      <c r="W1302" s="14">
        <f>'PIVOT TABLES'!$W$28-'PIVOT TABLES'!$W$27</f>
        <v>27.947999999999993</v>
      </c>
      <c r="X1302" s="14">
        <f>200-SUM(Table3[[#This Row],[S - LIGHT]:[S - VIGOROUS]])</f>
        <v>88.208000000000013</v>
      </c>
    </row>
    <row r="1303" spans="1:24" x14ac:dyDescent="0.25">
      <c r="A1303" s="44" t="s">
        <v>95</v>
      </c>
      <c r="B1303" s="13" t="str">
        <f t="shared" si="20"/>
        <v>Winger</v>
      </c>
      <c r="C1303" s="7">
        <v>45376.629895833335</v>
      </c>
      <c r="D1303" s="14">
        <v>3949</v>
      </c>
      <c r="E1303" s="14">
        <v>0</v>
      </c>
      <c r="F1303" s="14">
        <v>5</v>
      </c>
      <c r="G1303" s="14">
        <v>9</v>
      </c>
      <c r="H1303" s="14">
        <v>39.869999999999997</v>
      </c>
      <c r="I1303" s="14">
        <f>'PIVOT TABLES'!$B$26</f>
        <v>60.283999999999999</v>
      </c>
      <c r="J1303" s="14">
        <f>'PIVOT TABLES'!$B$27-'PIVOT TABLES'!$B$26</f>
        <v>30.142000000000003</v>
      </c>
      <c r="K1303" s="14">
        <f>'PIVOT TABLES'!$B$28-'PIVOT TABLES'!$B$27</f>
        <v>30.141999999999996</v>
      </c>
      <c r="L1303" s="14">
        <f>200-SUM(Table3[[#This Row],[D - LIGHT]:[D - VIGOROUS]])</f>
        <v>79.432000000000002</v>
      </c>
      <c r="M1303" s="14">
        <f>'PIVOT TABLES'!$I$26</f>
        <v>65.603999999999999</v>
      </c>
      <c r="N1303" s="14">
        <f>'PIVOT TABLES'!$I$27-'PIVOT TABLES'!$I$26</f>
        <v>32.802000000000007</v>
      </c>
      <c r="O1303" s="14">
        <f>'PIVOT TABLES'!$I$28-'PIVOT TABLES'!$I$27</f>
        <v>32.801999999999992</v>
      </c>
      <c r="P1303" s="14">
        <f>200-SUM(Table3[[#This Row],[M - LIGHT]:[M - VIGOROUS]])</f>
        <v>68.792000000000002</v>
      </c>
      <c r="Q1303" s="14">
        <f>'PIVOT TABLES'!$P$26</f>
        <v>62.64</v>
      </c>
      <c r="R1303" s="14">
        <f>'PIVOT TABLES'!$P$27-'PIVOT TABLES'!$P$26</f>
        <v>31.320000000000007</v>
      </c>
      <c r="S1303" s="14">
        <f>'PIVOT TABLES'!$P$28-'PIVOT TABLES'!$P$27</f>
        <v>31.319999999999993</v>
      </c>
      <c r="T1303" s="14">
        <f>200-SUM(Table3[[#This Row],[W - LIGHT]:[W - VIGOROUS]])</f>
        <v>74.72</v>
      </c>
      <c r="U1303" s="14">
        <f>'PIVOT TABLES'!$W$26</f>
        <v>55.895999999999994</v>
      </c>
      <c r="V1303" s="14">
        <f>'PIVOT TABLES'!$W$27-'PIVOT TABLES'!$W$26</f>
        <v>27.948</v>
      </c>
      <c r="W1303" s="14">
        <f>'PIVOT TABLES'!$W$28-'PIVOT TABLES'!$W$27</f>
        <v>27.947999999999993</v>
      </c>
      <c r="X1303" s="14">
        <f>200-SUM(Table3[[#This Row],[S - LIGHT]:[S - VIGOROUS]])</f>
        <v>88.208000000000013</v>
      </c>
    </row>
    <row r="1304" spans="1:24" x14ac:dyDescent="0.25">
      <c r="A1304" s="44" t="s">
        <v>96</v>
      </c>
      <c r="B1304" s="13" t="str">
        <f t="shared" si="20"/>
        <v>Winger</v>
      </c>
      <c r="C1304" s="7">
        <v>45376.629895833335</v>
      </c>
      <c r="D1304" s="14">
        <v>4421</v>
      </c>
      <c r="E1304" s="14">
        <v>5</v>
      </c>
      <c r="F1304" s="14">
        <v>10</v>
      </c>
      <c r="G1304" s="14">
        <v>16</v>
      </c>
      <c r="H1304" s="14">
        <v>45.08</v>
      </c>
      <c r="I1304" s="14">
        <f>'PIVOT TABLES'!$B$26</f>
        <v>60.283999999999999</v>
      </c>
      <c r="J1304" s="14">
        <f>'PIVOT TABLES'!$B$27-'PIVOT TABLES'!$B$26</f>
        <v>30.142000000000003</v>
      </c>
      <c r="K1304" s="14">
        <f>'PIVOT TABLES'!$B$28-'PIVOT TABLES'!$B$27</f>
        <v>30.141999999999996</v>
      </c>
      <c r="L1304" s="14">
        <f>200-SUM(Table3[[#This Row],[D - LIGHT]:[D - VIGOROUS]])</f>
        <v>79.432000000000002</v>
      </c>
      <c r="M1304" s="14">
        <f>'PIVOT TABLES'!$I$26</f>
        <v>65.603999999999999</v>
      </c>
      <c r="N1304" s="14">
        <f>'PIVOT TABLES'!$I$27-'PIVOT TABLES'!$I$26</f>
        <v>32.802000000000007</v>
      </c>
      <c r="O1304" s="14">
        <f>'PIVOT TABLES'!$I$28-'PIVOT TABLES'!$I$27</f>
        <v>32.801999999999992</v>
      </c>
      <c r="P1304" s="14">
        <f>200-SUM(Table3[[#This Row],[M - LIGHT]:[M - VIGOROUS]])</f>
        <v>68.792000000000002</v>
      </c>
      <c r="Q1304" s="14">
        <f>'PIVOT TABLES'!$P$26</f>
        <v>62.64</v>
      </c>
      <c r="R1304" s="14">
        <f>'PIVOT TABLES'!$P$27-'PIVOT TABLES'!$P$26</f>
        <v>31.320000000000007</v>
      </c>
      <c r="S1304" s="14">
        <f>'PIVOT TABLES'!$P$28-'PIVOT TABLES'!$P$27</f>
        <v>31.319999999999993</v>
      </c>
      <c r="T1304" s="14">
        <f>200-SUM(Table3[[#This Row],[W - LIGHT]:[W - VIGOROUS]])</f>
        <v>74.72</v>
      </c>
      <c r="U1304" s="14">
        <f>'PIVOT TABLES'!$W$26</f>
        <v>55.895999999999994</v>
      </c>
      <c r="V1304" s="14">
        <f>'PIVOT TABLES'!$W$27-'PIVOT TABLES'!$W$26</f>
        <v>27.948</v>
      </c>
      <c r="W1304" s="14">
        <f>'PIVOT TABLES'!$W$28-'PIVOT TABLES'!$W$27</f>
        <v>27.947999999999993</v>
      </c>
      <c r="X1304" s="14">
        <f>200-SUM(Table3[[#This Row],[S - LIGHT]:[S - VIGOROUS]])</f>
        <v>88.208000000000013</v>
      </c>
    </row>
    <row r="1305" spans="1:24" x14ac:dyDescent="0.25">
      <c r="A1305" s="44" t="s">
        <v>8</v>
      </c>
      <c r="B1305" s="13" t="str">
        <f t="shared" si="20"/>
        <v>Striker</v>
      </c>
      <c r="C1305" s="7">
        <v>45376.629895833335</v>
      </c>
      <c r="D1305" s="14">
        <v>4531</v>
      </c>
      <c r="E1305" s="14">
        <v>30</v>
      </c>
      <c r="F1305" s="14">
        <v>11</v>
      </c>
      <c r="G1305" s="14">
        <v>18</v>
      </c>
      <c r="H1305" s="14">
        <v>47.01</v>
      </c>
      <c r="I1305" s="14">
        <f>'PIVOT TABLES'!$B$26</f>
        <v>60.283999999999999</v>
      </c>
      <c r="J1305" s="14">
        <f>'PIVOT TABLES'!$B$27-'PIVOT TABLES'!$B$26</f>
        <v>30.142000000000003</v>
      </c>
      <c r="K1305" s="14">
        <f>'PIVOT TABLES'!$B$28-'PIVOT TABLES'!$B$27</f>
        <v>30.141999999999996</v>
      </c>
      <c r="L1305" s="14">
        <f>200-SUM(Table3[[#This Row],[D - LIGHT]:[D - VIGOROUS]])</f>
        <v>79.432000000000002</v>
      </c>
      <c r="M1305" s="14">
        <f>'PIVOT TABLES'!$I$26</f>
        <v>65.603999999999999</v>
      </c>
      <c r="N1305" s="14">
        <f>'PIVOT TABLES'!$I$27-'PIVOT TABLES'!$I$26</f>
        <v>32.802000000000007</v>
      </c>
      <c r="O1305" s="14">
        <f>'PIVOT TABLES'!$I$28-'PIVOT TABLES'!$I$27</f>
        <v>32.801999999999992</v>
      </c>
      <c r="P1305" s="14">
        <f>200-SUM(Table3[[#This Row],[M - LIGHT]:[M - VIGOROUS]])</f>
        <v>68.792000000000002</v>
      </c>
      <c r="Q1305" s="14">
        <f>'PIVOT TABLES'!$P$26</f>
        <v>62.64</v>
      </c>
      <c r="R1305" s="14">
        <f>'PIVOT TABLES'!$P$27-'PIVOT TABLES'!$P$26</f>
        <v>31.320000000000007</v>
      </c>
      <c r="S1305" s="14">
        <f>'PIVOT TABLES'!$P$28-'PIVOT TABLES'!$P$27</f>
        <v>31.319999999999993</v>
      </c>
      <c r="T1305" s="14">
        <f>200-SUM(Table3[[#This Row],[W - LIGHT]:[W - VIGOROUS]])</f>
        <v>74.72</v>
      </c>
      <c r="U1305" s="14">
        <f>'PIVOT TABLES'!$W$26</f>
        <v>55.895999999999994</v>
      </c>
      <c r="V1305" s="14">
        <f>'PIVOT TABLES'!$W$27-'PIVOT TABLES'!$W$26</f>
        <v>27.948</v>
      </c>
      <c r="W1305" s="14">
        <f>'PIVOT TABLES'!$W$28-'PIVOT TABLES'!$W$27</f>
        <v>27.947999999999993</v>
      </c>
      <c r="X1305" s="14">
        <f>200-SUM(Table3[[#This Row],[S - LIGHT]:[S - VIGOROUS]])</f>
        <v>88.208000000000013</v>
      </c>
    </row>
    <row r="1306" spans="1:24" x14ac:dyDescent="0.25">
      <c r="A1306" s="44" t="s">
        <v>67</v>
      </c>
      <c r="B1306" s="13" t="str">
        <f t="shared" si="20"/>
        <v>Midfielder</v>
      </c>
      <c r="C1306" s="7">
        <v>45376.629895833335</v>
      </c>
      <c r="D1306" s="14">
        <v>4182</v>
      </c>
      <c r="E1306" s="14">
        <v>56</v>
      </c>
      <c r="F1306" s="14">
        <v>9</v>
      </c>
      <c r="G1306" s="14">
        <v>21</v>
      </c>
      <c r="H1306" s="14">
        <v>44.28</v>
      </c>
      <c r="I1306" s="14">
        <f>'PIVOT TABLES'!$B$26</f>
        <v>60.283999999999999</v>
      </c>
      <c r="J1306" s="14">
        <f>'PIVOT TABLES'!$B$27-'PIVOT TABLES'!$B$26</f>
        <v>30.142000000000003</v>
      </c>
      <c r="K1306" s="14">
        <f>'PIVOT TABLES'!$B$28-'PIVOT TABLES'!$B$27</f>
        <v>30.141999999999996</v>
      </c>
      <c r="L1306" s="14">
        <f>200-SUM(Table3[[#This Row],[D - LIGHT]:[D - VIGOROUS]])</f>
        <v>79.432000000000002</v>
      </c>
      <c r="M1306" s="14">
        <f>'PIVOT TABLES'!$I$26</f>
        <v>65.603999999999999</v>
      </c>
      <c r="N1306" s="14">
        <f>'PIVOT TABLES'!$I$27-'PIVOT TABLES'!$I$26</f>
        <v>32.802000000000007</v>
      </c>
      <c r="O1306" s="14">
        <f>'PIVOT TABLES'!$I$28-'PIVOT TABLES'!$I$27</f>
        <v>32.801999999999992</v>
      </c>
      <c r="P1306" s="14">
        <f>200-SUM(Table3[[#This Row],[M - LIGHT]:[M - VIGOROUS]])</f>
        <v>68.792000000000002</v>
      </c>
      <c r="Q1306" s="14">
        <f>'PIVOT TABLES'!$P$26</f>
        <v>62.64</v>
      </c>
      <c r="R1306" s="14">
        <f>'PIVOT TABLES'!$P$27-'PIVOT TABLES'!$P$26</f>
        <v>31.320000000000007</v>
      </c>
      <c r="S1306" s="14">
        <f>'PIVOT TABLES'!$P$28-'PIVOT TABLES'!$P$27</f>
        <v>31.319999999999993</v>
      </c>
      <c r="T1306" s="14">
        <f>200-SUM(Table3[[#This Row],[W - LIGHT]:[W - VIGOROUS]])</f>
        <v>74.72</v>
      </c>
      <c r="U1306" s="14">
        <f>'PIVOT TABLES'!$W$26</f>
        <v>55.895999999999994</v>
      </c>
      <c r="V1306" s="14">
        <f>'PIVOT TABLES'!$W$27-'PIVOT TABLES'!$W$26</f>
        <v>27.948</v>
      </c>
      <c r="W1306" s="14">
        <f>'PIVOT TABLES'!$W$28-'PIVOT TABLES'!$W$27</f>
        <v>27.947999999999993</v>
      </c>
      <c r="X1306" s="14">
        <f>200-SUM(Table3[[#This Row],[S - LIGHT]:[S - VIGOROUS]])</f>
        <v>88.208000000000013</v>
      </c>
    </row>
    <row r="1307" spans="1:24" x14ac:dyDescent="0.25">
      <c r="A1307" s="44" t="s">
        <v>69</v>
      </c>
      <c r="B1307" s="13" t="str">
        <f t="shared" si="20"/>
        <v>Midfielder</v>
      </c>
      <c r="C1307" s="7">
        <v>45376.629895833335</v>
      </c>
      <c r="D1307" s="14">
        <v>4648</v>
      </c>
      <c r="E1307" s="14">
        <v>64</v>
      </c>
      <c r="F1307" s="14">
        <v>21</v>
      </c>
      <c r="G1307" s="14">
        <v>19</v>
      </c>
      <c r="H1307" s="14">
        <v>49.62</v>
      </c>
      <c r="I1307" s="14">
        <f>'PIVOT TABLES'!$B$26</f>
        <v>60.283999999999999</v>
      </c>
      <c r="J1307" s="14">
        <f>'PIVOT TABLES'!$B$27-'PIVOT TABLES'!$B$26</f>
        <v>30.142000000000003</v>
      </c>
      <c r="K1307" s="14">
        <f>'PIVOT TABLES'!$B$28-'PIVOT TABLES'!$B$27</f>
        <v>30.141999999999996</v>
      </c>
      <c r="L1307" s="14">
        <f>200-SUM(Table3[[#This Row],[D - LIGHT]:[D - VIGOROUS]])</f>
        <v>79.432000000000002</v>
      </c>
      <c r="M1307" s="14">
        <f>'PIVOT TABLES'!$I$26</f>
        <v>65.603999999999999</v>
      </c>
      <c r="N1307" s="14">
        <f>'PIVOT TABLES'!$I$27-'PIVOT TABLES'!$I$26</f>
        <v>32.802000000000007</v>
      </c>
      <c r="O1307" s="14">
        <f>'PIVOT TABLES'!$I$28-'PIVOT TABLES'!$I$27</f>
        <v>32.801999999999992</v>
      </c>
      <c r="P1307" s="14">
        <f>200-SUM(Table3[[#This Row],[M - LIGHT]:[M - VIGOROUS]])</f>
        <v>68.792000000000002</v>
      </c>
      <c r="Q1307" s="14">
        <f>'PIVOT TABLES'!$P$26</f>
        <v>62.64</v>
      </c>
      <c r="R1307" s="14">
        <f>'PIVOT TABLES'!$P$27-'PIVOT TABLES'!$P$26</f>
        <v>31.320000000000007</v>
      </c>
      <c r="S1307" s="14">
        <f>'PIVOT TABLES'!$P$28-'PIVOT TABLES'!$P$27</f>
        <v>31.319999999999993</v>
      </c>
      <c r="T1307" s="14">
        <f>200-SUM(Table3[[#This Row],[W - LIGHT]:[W - VIGOROUS]])</f>
        <v>74.72</v>
      </c>
      <c r="U1307" s="14">
        <f>'PIVOT TABLES'!$W$26</f>
        <v>55.895999999999994</v>
      </c>
      <c r="V1307" s="14">
        <f>'PIVOT TABLES'!$W$27-'PIVOT TABLES'!$W$26</f>
        <v>27.948</v>
      </c>
      <c r="W1307" s="14">
        <f>'PIVOT TABLES'!$W$28-'PIVOT TABLES'!$W$27</f>
        <v>27.947999999999993</v>
      </c>
      <c r="X1307" s="14">
        <f>200-SUM(Table3[[#This Row],[S - LIGHT]:[S - VIGOROUS]])</f>
        <v>88.208000000000013</v>
      </c>
    </row>
    <row r="1308" spans="1:24" x14ac:dyDescent="0.25">
      <c r="A1308" s="44" t="s">
        <v>70</v>
      </c>
      <c r="B1308" s="64" t="str">
        <f t="shared" ref="B1308:B1331" si="21">IF(A1308="Sihle Gum","Defender",IF(A1308="Kenny Langa","Defender",IF(A1308="Tshepang Makara","Defender",IF(A1308="Tshepiso Mahlangu","Defender",IF(A1308="Neo Ramashala","Defender",IF(A1308="Keabetswe Nkogatse","Defender",IF(A1308="Kaketso Harold Majadibodu","Defender",IF(A1308="Samuel Julies","Midfielder",IF(A1308="Frank Mpedi","Midfielder",IF(A1308="Sapholwethu Kelepu","Midfielder",IF(A1308="Manelisi Sithole","Midfielder",IF(A1308="Thabiso Mokoena","Midfielder",IF(A1308="Khomotso Marebane","Midfielder",IF(A1308="Tebogo Mohlamonyane","Midfielder",IF(A1308="Thulani Zandamela","Midfielder",IF(A1308="Mdevulana Camagu","Midfielder",IF(A1308="Promise Mkhuma","Midfielder",IF(A1308="Essien Makwarimba","Midfielder",IF(A1308="Ayanda Mvambi","Winger",IF(A1308="Delano Abrahams","Winger",IF(A1308="Thokozani Sekotlong","Winger",IF(A1308="Maselaelo Seanego","Winger",IF(A1308="Lesedi Motha","Winger",IF(A1308="Malekgene Mampuru","Winger",IF(A1308="Matome Rangata","Winger",IF(A1308="Thabang Sibanyoni","Striker",IF(A1308="Tebogo Makungo","Striker",IF(A1308="Neo Dikgale","Striker",IF(A1308="Kamohelo Pheeane","Striker",IF(A1308="Athenkosi Tonisi","Striker",IF(A1308="Jesse Francis","Striker","####")))))))))))))))))))))))))))))))</f>
        <v>Winger</v>
      </c>
      <c r="C1308" s="7">
        <v>45376.629895833335</v>
      </c>
      <c r="D1308" s="14">
        <v>4303</v>
      </c>
      <c r="E1308" s="14">
        <v>23</v>
      </c>
      <c r="F1308" s="14">
        <v>6</v>
      </c>
      <c r="G1308" s="14">
        <v>13</v>
      </c>
      <c r="H1308" s="14">
        <v>44.22</v>
      </c>
      <c r="I1308" s="14">
        <f>'PIVOT TABLES'!$B$26</f>
        <v>60.283999999999999</v>
      </c>
      <c r="J1308" s="14">
        <f>'PIVOT TABLES'!$B$27-'PIVOT TABLES'!$B$26</f>
        <v>30.142000000000003</v>
      </c>
      <c r="K1308" s="14">
        <f>'PIVOT TABLES'!$B$28-'PIVOT TABLES'!$B$27</f>
        <v>30.141999999999996</v>
      </c>
      <c r="L1308" s="14">
        <f>200-SUM(Table3[[#This Row],[D - LIGHT]:[D - VIGOROUS]])</f>
        <v>79.432000000000002</v>
      </c>
      <c r="M1308" s="14">
        <f>'PIVOT TABLES'!$I$26</f>
        <v>65.603999999999999</v>
      </c>
      <c r="N1308" s="14">
        <f>'PIVOT TABLES'!$I$27-'PIVOT TABLES'!$I$26</f>
        <v>32.802000000000007</v>
      </c>
      <c r="O1308" s="14">
        <f>'PIVOT TABLES'!$I$28-'PIVOT TABLES'!$I$27</f>
        <v>32.801999999999992</v>
      </c>
      <c r="P1308" s="14">
        <f>200-SUM(Table3[[#This Row],[M - LIGHT]:[M - VIGOROUS]])</f>
        <v>68.792000000000002</v>
      </c>
      <c r="Q1308" s="14">
        <f>'PIVOT TABLES'!$P$26</f>
        <v>62.64</v>
      </c>
      <c r="R1308" s="14">
        <f>'PIVOT TABLES'!$P$27-'PIVOT TABLES'!$P$26</f>
        <v>31.320000000000007</v>
      </c>
      <c r="S1308" s="14">
        <f>'PIVOT TABLES'!$P$28-'PIVOT TABLES'!$P$27</f>
        <v>31.319999999999993</v>
      </c>
      <c r="T1308" s="14">
        <f>200-SUM(Table3[[#This Row],[W - LIGHT]:[W - VIGOROUS]])</f>
        <v>74.72</v>
      </c>
      <c r="U1308" s="14">
        <f>'PIVOT TABLES'!$W$26</f>
        <v>55.895999999999994</v>
      </c>
      <c r="V1308" s="14">
        <f>'PIVOT TABLES'!$W$27-'PIVOT TABLES'!$W$26</f>
        <v>27.948</v>
      </c>
      <c r="W1308" s="14">
        <f>'PIVOT TABLES'!$W$28-'PIVOT TABLES'!$W$27</f>
        <v>27.947999999999993</v>
      </c>
      <c r="X1308" s="14">
        <f>200-SUM(Table3[[#This Row],[S - LIGHT]:[S - VIGOROUS]])</f>
        <v>88.208000000000013</v>
      </c>
    </row>
    <row r="1309" spans="1:24" x14ac:dyDescent="0.25">
      <c r="A1309" s="44" t="s">
        <v>53</v>
      </c>
      <c r="B1309" s="64" t="str">
        <f t="shared" si="21"/>
        <v>Midfielder</v>
      </c>
      <c r="C1309" s="7">
        <v>45376.629895833335</v>
      </c>
      <c r="D1309" s="14">
        <v>4367</v>
      </c>
      <c r="E1309" s="14">
        <v>36</v>
      </c>
      <c r="F1309" s="14">
        <v>17</v>
      </c>
      <c r="G1309" s="14">
        <v>37</v>
      </c>
      <c r="H1309" s="14">
        <v>46.17</v>
      </c>
      <c r="I1309" s="14">
        <f>'PIVOT TABLES'!$B$26</f>
        <v>60.283999999999999</v>
      </c>
      <c r="J1309" s="14">
        <f>'PIVOT TABLES'!$B$27-'PIVOT TABLES'!$B$26</f>
        <v>30.142000000000003</v>
      </c>
      <c r="K1309" s="14">
        <f>'PIVOT TABLES'!$B$28-'PIVOT TABLES'!$B$27</f>
        <v>30.141999999999996</v>
      </c>
      <c r="L1309" s="14">
        <f>200-SUM(Table3[[#This Row],[D - LIGHT]:[D - VIGOROUS]])</f>
        <v>79.432000000000002</v>
      </c>
      <c r="M1309" s="14">
        <f>'PIVOT TABLES'!$I$26</f>
        <v>65.603999999999999</v>
      </c>
      <c r="N1309" s="14">
        <f>'PIVOT TABLES'!$I$27-'PIVOT TABLES'!$I$26</f>
        <v>32.802000000000007</v>
      </c>
      <c r="O1309" s="14">
        <f>'PIVOT TABLES'!$I$28-'PIVOT TABLES'!$I$27</f>
        <v>32.801999999999992</v>
      </c>
      <c r="P1309" s="14">
        <f>200-SUM(Table3[[#This Row],[M - LIGHT]:[M - VIGOROUS]])</f>
        <v>68.792000000000002</v>
      </c>
      <c r="Q1309" s="14">
        <f>'PIVOT TABLES'!$P$26</f>
        <v>62.64</v>
      </c>
      <c r="R1309" s="14">
        <f>'PIVOT TABLES'!$P$27-'PIVOT TABLES'!$P$26</f>
        <v>31.320000000000007</v>
      </c>
      <c r="S1309" s="14">
        <f>'PIVOT TABLES'!$P$28-'PIVOT TABLES'!$P$27</f>
        <v>31.319999999999993</v>
      </c>
      <c r="T1309" s="14">
        <f>200-SUM(Table3[[#This Row],[W - LIGHT]:[W - VIGOROUS]])</f>
        <v>74.72</v>
      </c>
      <c r="U1309" s="14">
        <f>'PIVOT TABLES'!$W$26</f>
        <v>55.895999999999994</v>
      </c>
      <c r="V1309" s="14">
        <f>'PIVOT TABLES'!$W$27-'PIVOT TABLES'!$W$26</f>
        <v>27.948</v>
      </c>
      <c r="W1309" s="14">
        <f>'PIVOT TABLES'!$W$28-'PIVOT TABLES'!$W$27</f>
        <v>27.947999999999993</v>
      </c>
      <c r="X1309" s="14">
        <f>200-SUM(Table3[[#This Row],[S - LIGHT]:[S - VIGOROUS]])</f>
        <v>88.208000000000013</v>
      </c>
    </row>
    <row r="1310" spans="1:24" x14ac:dyDescent="0.25">
      <c r="A1310" s="44" t="s">
        <v>55</v>
      </c>
      <c r="B1310" s="64" t="str">
        <f t="shared" si="21"/>
        <v>Striker</v>
      </c>
      <c r="C1310" s="7">
        <v>45376.629895833335</v>
      </c>
      <c r="D1310" s="14">
        <v>3952</v>
      </c>
      <c r="E1310" s="14">
        <v>26</v>
      </c>
      <c r="F1310" s="14">
        <v>27</v>
      </c>
      <c r="G1310" s="14">
        <v>27</v>
      </c>
      <c r="H1310" s="14">
        <v>41.92</v>
      </c>
      <c r="I1310" s="14">
        <f>'PIVOT TABLES'!$B$26</f>
        <v>60.283999999999999</v>
      </c>
      <c r="J1310" s="14">
        <f>'PIVOT TABLES'!$B$27-'PIVOT TABLES'!$B$26</f>
        <v>30.142000000000003</v>
      </c>
      <c r="K1310" s="14">
        <f>'PIVOT TABLES'!$B$28-'PIVOT TABLES'!$B$27</f>
        <v>30.141999999999996</v>
      </c>
      <c r="L1310" s="14">
        <f>200-SUM(Table3[[#This Row],[D - LIGHT]:[D - VIGOROUS]])</f>
        <v>79.432000000000002</v>
      </c>
      <c r="M1310" s="14">
        <f>'PIVOT TABLES'!$I$26</f>
        <v>65.603999999999999</v>
      </c>
      <c r="N1310" s="14">
        <f>'PIVOT TABLES'!$I$27-'PIVOT TABLES'!$I$26</f>
        <v>32.802000000000007</v>
      </c>
      <c r="O1310" s="14">
        <f>'PIVOT TABLES'!$I$28-'PIVOT TABLES'!$I$27</f>
        <v>32.801999999999992</v>
      </c>
      <c r="P1310" s="14">
        <f>200-SUM(Table3[[#This Row],[M - LIGHT]:[M - VIGOROUS]])</f>
        <v>68.792000000000002</v>
      </c>
      <c r="Q1310" s="14">
        <f>'PIVOT TABLES'!$P$26</f>
        <v>62.64</v>
      </c>
      <c r="R1310" s="14">
        <f>'PIVOT TABLES'!$P$27-'PIVOT TABLES'!$P$26</f>
        <v>31.320000000000007</v>
      </c>
      <c r="S1310" s="14">
        <f>'PIVOT TABLES'!$P$28-'PIVOT TABLES'!$P$27</f>
        <v>31.319999999999993</v>
      </c>
      <c r="T1310" s="14">
        <f>200-SUM(Table3[[#This Row],[W - LIGHT]:[W - VIGOROUS]])</f>
        <v>74.72</v>
      </c>
      <c r="U1310" s="14">
        <f>'PIVOT TABLES'!$W$26</f>
        <v>55.895999999999994</v>
      </c>
      <c r="V1310" s="14">
        <f>'PIVOT TABLES'!$W$27-'PIVOT TABLES'!$W$26</f>
        <v>27.948</v>
      </c>
      <c r="W1310" s="14">
        <f>'PIVOT TABLES'!$W$28-'PIVOT TABLES'!$W$27</f>
        <v>27.947999999999993</v>
      </c>
      <c r="X1310" s="14">
        <f>200-SUM(Table3[[#This Row],[S - LIGHT]:[S - VIGOROUS]])</f>
        <v>88.208000000000013</v>
      </c>
    </row>
    <row r="1311" spans="1:24" x14ac:dyDescent="0.25">
      <c r="A1311" s="44" t="s">
        <v>1</v>
      </c>
      <c r="B1311" s="64" t="str">
        <f t="shared" si="21"/>
        <v>Defender</v>
      </c>
      <c r="C1311" s="7">
        <v>45376.629895833335</v>
      </c>
      <c r="D1311" s="14">
        <v>3487</v>
      </c>
      <c r="E1311" s="14">
        <v>8</v>
      </c>
      <c r="F1311" s="14">
        <v>6</v>
      </c>
      <c r="G1311" s="14">
        <v>7</v>
      </c>
      <c r="H1311" s="14">
        <v>35.49</v>
      </c>
      <c r="I1311" s="14">
        <f>'PIVOT TABLES'!$B$26</f>
        <v>60.283999999999999</v>
      </c>
      <c r="J1311" s="14">
        <f>'PIVOT TABLES'!$B$27-'PIVOT TABLES'!$B$26</f>
        <v>30.142000000000003</v>
      </c>
      <c r="K1311" s="14">
        <f>'PIVOT TABLES'!$B$28-'PIVOT TABLES'!$B$27</f>
        <v>30.141999999999996</v>
      </c>
      <c r="L1311" s="14">
        <f>200-SUM(Table3[[#This Row],[D - LIGHT]:[D - VIGOROUS]])</f>
        <v>79.432000000000002</v>
      </c>
      <c r="M1311" s="14">
        <f>'PIVOT TABLES'!$I$26</f>
        <v>65.603999999999999</v>
      </c>
      <c r="N1311" s="14">
        <f>'PIVOT TABLES'!$I$27-'PIVOT TABLES'!$I$26</f>
        <v>32.802000000000007</v>
      </c>
      <c r="O1311" s="14">
        <f>'PIVOT TABLES'!$I$28-'PIVOT TABLES'!$I$27</f>
        <v>32.801999999999992</v>
      </c>
      <c r="P1311" s="14">
        <f>200-SUM(Table3[[#This Row],[M - LIGHT]:[M - VIGOROUS]])</f>
        <v>68.792000000000002</v>
      </c>
      <c r="Q1311" s="14">
        <f>'PIVOT TABLES'!$P$26</f>
        <v>62.64</v>
      </c>
      <c r="R1311" s="14">
        <f>'PIVOT TABLES'!$P$27-'PIVOT TABLES'!$P$26</f>
        <v>31.320000000000007</v>
      </c>
      <c r="S1311" s="14">
        <f>'PIVOT TABLES'!$P$28-'PIVOT TABLES'!$P$27</f>
        <v>31.319999999999993</v>
      </c>
      <c r="T1311" s="14">
        <f>200-SUM(Table3[[#This Row],[W - LIGHT]:[W - VIGOROUS]])</f>
        <v>74.72</v>
      </c>
      <c r="U1311" s="14">
        <f>'PIVOT TABLES'!$W$26</f>
        <v>55.895999999999994</v>
      </c>
      <c r="V1311" s="14">
        <f>'PIVOT TABLES'!$W$27-'PIVOT TABLES'!$W$26</f>
        <v>27.948</v>
      </c>
      <c r="W1311" s="14">
        <f>'PIVOT TABLES'!$W$28-'PIVOT TABLES'!$W$27</f>
        <v>27.947999999999993</v>
      </c>
      <c r="X1311" s="14">
        <f>200-SUM(Table3[[#This Row],[S - LIGHT]:[S - VIGOROUS]])</f>
        <v>88.208000000000013</v>
      </c>
    </row>
    <row r="1312" spans="1:24" x14ac:dyDescent="0.25">
      <c r="A1312" s="44" t="s">
        <v>56</v>
      </c>
      <c r="B1312" s="64" t="str">
        <f t="shared" si="21"/>
        <v>Midfielder</v>
      </c>
      <c r="C1312" s="7">
        <v>45376.629895833335</v>
      </c>
      <c r="D1312" s="14">
        <v>4910</v>
      </c>
      <c r="E1312" s="14">
        <v>0</v>
      </c>
      <c r="F1312" s="14">
        <v>14</v>
      </c>
      <c r="G1312" s="14">
        <v>12</v>
      </c>
      <c r="H1312" s="14">
        <v>49.9</v>
      </c>
      <c r="I1312" s="14">
        <f>'PIVOT TABLES'!$B$26</f>
        <v>60.283999999999999</v>
      </c>
      <c r="J1312" s="14">
        <f>'PIVOT TABLES'!$B$27-'PIVOT TABLES'!$B$26</f>
        <v>30.142000000000003</v>
      </c>
      <c r="K1312" s="14">
        <f>'PIVOT TABLES'!$B$28-'PIVOT TABLES'!$B$27</f>
        <v>30.141999999999996</v>
      </c>
      <c r="L1312" s="14">
        <f>200-SUM(Table3[[#This Row],[D - LIGHT]:[D - VIGOROUS]])</f>
        <v>79.432000000000002</v>
      </c>
      <c r="M1312" s="14">
        <f>'PIVOT TABLES'!$I$26</f>
        <v>65.603999999999999</v>
      </c>
      <c r="N1312" s="14">
        <f>'PIVOT TABLES'!$I$27-'PIVOT TABLES'!$I$26</f>
        <v>32.802000000000007</v>
      </c>
      <c r="O1312" s="14">
        <f>'PIVOT TABLES'!$I$28-'PIVOT TABLES'!$I$27</f>
        <v>32.801999999999992</v>
      </c>
      <c r="P1312" s="14">
        <f>200-SUM(Table3[[#This Row],[M - LIGHT]:[M - VIGOROUS]])</f>
        <v>68.792000000000002</v>
      </c>
      <c r="Q1312" s="14">
        <f>'PIVOT TABLES'!$P$26</f>
        <v>62.64</v>
      </c>
      <c r="R1312" s="14">
        <f>'PIVOT TABLES'!$P$27-'PIVOT TABLES'!$P$26</f>
        <v>31.320000000000007</v>
      </c>
      <c r="S1312" s="14">
        <f>'PIVOT TABLES'!$P$28-'PIVOT TABLES'!$P$27</f>
        <v>31.319999999999993</v>
      </c>
      <c r="T1312" s="14">
        <f>200-SUM(Table3[[#This Row],[W - LIGHT]:[W - VIGOROUS]])</f>
        <v>74.72</v>
      </c>
      <c r="U1312" s="14">
        <f>'PIVOT TABLES'!$W$26</f>
        <v>55.895999999999994</v>
      </c>
      <c r="V1312" s="14">
        <f>'PIVOT TABLES'!$W$27-'PIVOT TABLES'!$W$26</f>
        <v>27.948</v>
      </c>
      <c r="W1312" s="14">
        <f>'PIVOT TABLES'!$W$28-'PIVOT TABLES'!$W$27</f>
        <v>27.947999999999993</v>
      </c>
      <c r="X1312" s="14">
        <f>200-SUM(Table3[[#This Row],[S - LIGHT]:[S - VIGOROUS]])</f>
        <v>88.208000000000013</v>
      </c>
    </row>
    <row r="1313" spans="1:24" x14ac:dyDescent="0.25">
      <c r="A1313" s="44" t="s">
        <v>94</v>
      </c>
      <c r="B1313" s="64" t="str">
        <f t="shared" si="21"/>
        <v>Defender</v>
      </c>
      <c r="C1313" s="7">
        <v>45376.629895833335</v>
      </c>
      <c r="D1313" s="14">
        <v>4438</v>
      </c>
      <c r="E1313" s="14">
        <v>76</v>
      </c>
      <c r="F1313" s="14">
        <v>4</v>
      </c>
      <c r="G1313" s="14">
        <v>13</v>
      </c>
      <c r="H1313" s="14">
        <v>47.08</v>
      </c>
      <c r="I1313" s="14">
        <f>'PIVOT TABLES'!$B$26</f>
        <v>60.283999999999999</v>
      </c>
      <c r="J1313" s="14">
        <f>'PIVOT TABLES'!$B$27-'PIVOT TABLES'!$B$26</f>
        <v>30.142000000000003</v>
      </c>
      <c r="K1313" s="14">
        <f>'PIVOT TABLES'!$B$28-'PIVOT TABLES'!$B$27</f>
        <v>30.141999999999996</v>
      </c>
      <c r="L1313" s="14">
        <f>200-SUM(Table3[[#This Row],[D - LIGHT]:[D - VIGOROUS]])</f>
        <v>79.432000000000002</v>
      </c>
      <c r="M1313" s="14">
        <f>'PIVOT TABLES'!$I$26</f>
        <v>65.603999999999999</v>
      </c>
      <c r="N1313" s="14">
        <f>'PIVOT TABLES'!$I$27-'PIVOT TABLES'!$I$26</f>
        <v>32.802000000000007</v>
      </c>
      <c r="O1313" s="14">
        <f>'PIVOT TABLES'!$I$28-'PIVOT TABLES'!$I$27</f>
        <v>32.801999999999992</v>
      </c>
      <c r="P1313" s="14">
        <f>200-SUM(Table3[[#This Row],[M - LIGHT]:[M - VIGOROUS]])</f>
        <v>68.792000000000002</v>
      </c>
      <c r="Q1313" s="14">
        <f>'PIVOT TABLES'!$P$26</f>
        <v>62.64</v>
      </c>
      <c r="R1313" s="14">
        <f>'PIVOT TABLES'!$P$27-'PIVOT TABLES'!$P$26</f>
        <v>31.320000000000007</v>
      </c>
      <c r="S1313" s="14">
        <f>'PIVOT TABLES'!$P$28-'PIVOT TABLES'!$P$27</f>
        <v>31.319999999999993</v>
      </c>
      <c r="T1313" s="14">
        <f>200-SUM(Table3[[#This Row],[W - LIGHT]:[W - VIGOROUS]])</f>
        <v>74.72</v>
      </c>
      <c r="U1313" s="14">
        <f>'PIVOT TABLES'!$W$26</f>
        <v>55.895999999999994</v>
      </c>
      <c r="V1313" s="14">
        <f>'PIVOT TABLES'!$W$27-'PIVOT TABLES'!$W$26</f>
        <v>27.948</v>
      </c>
      <c r="W1313" s="14">
        <f>'PIVOT TABLES'!$W$28-'PIVOT TABLES'!$W$27</f>
        <v>27.947999999999993</v>
      </c>
      <c r="X1313" s="14">
        <f>200-SUM(Table3[[#This Row],[S - LIGHT]:[S - VIGOROUS]])</f>
        <v>88.208000000000013</v>
      </c>
    </row>
    <row r="1314" spans="1:24" x14ac:dyDescent="0.25">
      <c r="A1314" s="44" t="s">
        <v>3</v>
      </c>
      <c r="B1314" s="64" t="str">
        <f t="shared" si="21"/>
        <v>Defender</v>
      </c>
      <c r="C1314" s="7">
        <v>45376.629895833335</v>
      </c>
      <c r="D1314" s="14">
        <v>4877</v>
      </c>
      <c r="E1314" s="14">
        <v>14</v>
      </c>
      <c r="F1314" s="14">
        <v>16</v>
      </c>
      <c r="G1314" s="14">
        <v>40</v>
      </c>
      <c r="H1314" s="14">
        <v>50.63</v>
      </c>
      <c r="I1314" s="14">
        <f>'PIVOT TABLES'!$B$26</f>
        <v>60.283999999999999</v>
      </c>
      <c r="J1314" s="14">
        <f>'PIVOT TABLES'!$B$27-'PIVOT TABLES'!$B$26</f>
        <v>30.142000000000003</v>
      </c>
      <c r="K1314" s="14">
        <f>'PIVOT TABLES'!$B$28-'PIVOT TABLES'!$B$27</f>
        <v>30.141999999999996</v>
      </c>
      <c r="L1314" s="14">
        <f>200-SUM(Table3[[#This Row],[D - LIGHT]:[D - VIGOROUS]])</f>
        <v>79.432000000000002</v>
      </c>
      <c r="M1314" s="14">
        <f>'PIVOT TABLES'!$I$26</f>
        <v>65.603999999999999</v>
      </c>
      <c r="N1314" s="14">
        <f>'PIVOT TABLES'!$I$27-'PIVOT TABLES'!$I$26</f>
        <v>32.802000000000007</v>
      </c>
      <c r="O1314" s="14">
        <f>'PIVOT TABLES'!$I$28-'PIVOT TABLES'!$I$27</f>
        <v>32.801999999999992</v>
      </c>
      <c r="P1314" s="14">
        <f>200-SUM(Table3[[#This Row],[M - LIGHT]:[M - VIGOROUS]])</f>
        <v>68.792000000000002</v>
      </c>
      <c r="Q1314" s="14">
        <f>'PIVOT TABLES'!$P$26</f>
        <v>62.64</v>
      </c>
      <c r="R1314" s="14">
        <f>'PIVOT TABLES'!$P$27-'PIVOT TABLES'!$P$26</f>
        <v>31.320000000000007</v>
      </c>
      <c r="S1314" s="14">
        <f>'PIVOT TABLES'!$P$28-'PIVOT TABLES'!$P$27</f>
        <v>31.319999999999993</v>
      </c>
      <c r="T1314" s="14">
        <f>200-SUM(Table3[[#This Row],[W - LIGHT]:[W - VIGOROUS]])</f>
        <v>74.72</v>
      </c>
      <c r="U1314" s="14">
        <f>'PIVOT TABLES'!$W$26</f>
        <v>55.895999999999994</v>
      </c>
      <c r="V1314" s="14">
        <f>'PIVOT TABLES'!$W$27-'PIVOT TABLES'!$W$26</f>
        <v>27.948</v>
      </c>
      <c r="W1314" s="14">
        <f>'PIVOT TABLES'!$W$28-'PIVOT TABLES'!$W$27</f>
        <v>27.947999999999993</v>
      </c>
      <c r="X1314" s="14">
        <f>200-SUM(Table3[[#This Row],[S - LIGHT]:[S - VIGOROUS]])</f>
        <v>88.208000000000013</v>
      </c>
    </row>
    <row r="1315" spans="1:24" x14ac:dyDescent="0.25">
      <c r="A1315" s="44" t="s">
        <v>59</v>
      </c>
      <c r="B1315" s="64" t="str">
        <f t="shared" si="21"/>
        <v>Striker</v>
      </c>
      <c r="C1315" s="7">
        <v>45376.629895833335</v>
      </c>
      <c r="D1315" s="14">
        <v>4642</v>
      </c>
      <c r="E1315" s="14">
        <v>16</v>
      </c>
      <c r="F1315" s="14">
        <v>6</v>
      </c>
      <c r="G1315" s="14">
        <v>17</v>
      </c>
      <c r="H1315" s="14">
        <v>47.48</v>
      </c>
      <c r="I1315" s="14">
        <f>'PIVOT TABLES'!$B$26</f>
        <v>60.283999999999999</v>
      </c>
      <c r="J1315" s="14">
        <f>'PIVOT TABLES'!$B$27-'PIVOT TABLES'!$B$26</f>
        <v>30.142000000000003</v>
      </c>
      <c r="K1315" s="14">
        <f>'PIVOT TABLES'!$B$28-'PIVOT TABLES'!$B$27</f>
        <v>30.141999999999996</v>
      </c>
      <c r="L1315" s="14">
        <f>200-SUM(Table3[[#This Row],[D - LIGHT]:[D - VIGOROUS]])</f>
        <v>79.432000000000002</v>
      </c>
      <c r="M1315" s="14">
        <f>'PIVOT TABLES'!$I$26</f>
        <v>65.603999999999999</v>
      </c>
      <c r="N1315" s="14">
        <f>'PIVOT TABLES'!$I$27-'PIVOT TABLES'!$I$26</f>
        <v>32.802000000000007</v>
      </c>
      <c r="O1315" s="14">
        <f>'PIVOT TABLES'!$I$28-'PIVOT TABLES'!$I$27</f>
        <v>32.801999999999992</v>
      </c>
      <c r="P1315" s="14">
        <f>200-SUM(Table3[[#This Row],[M - LIGHT]:[M - VIGOROUS]])</f>
        <v>68.792000000000002</v>
      </c>
      <c r="Q1315" s="14">
        <f>'PIVOT TABLES'!$P$26</f>
        <v>62.64</v>
      </c>
      <c r="R1315" s="14">
        <f>'PIVOT TABLES'!$P$27-'PIVOT TABLES'!$P$26</f>
        <v>31.320000000000007</v>
      </c>
      <c r="S1315" s="14">
        <f>'PIVOT TABLES'!$P$28-'PIVOT TABLES'!$P$27</f>
        <v>31.319999999999993</v>
      </c>
      <c r="T1315" s="14">
        <f>200-SUM(Table3[[#This Row],[W - LIGHT]:[W - VIGOROUS]])</f>
        <v>74.72</v>
      </c>
      <c r="U1315" s="14">
        <f>'PIVOT TABLES'!$W$26</f>
        <v>55.895999999999994</v>
      </c>
      <c r="V1315" s="14">
        <f>'PIVOT TABLES'!$W$27-'PIVOT TABLES'!$W$26</f>
        <v>27.948</v>
      </c>
      <c r="W1315" s="14">
        <f>'PIVOT TABLES'!$W$28-'PIVOT TABLES'!$W$27</f>
        <v>27.947999999999993</v>
      </c>
      <c r="X1315" s="14">
        <f>200-SUM(Table3[[#This Row],[S - LIGHT]:[S - VIGOROUS]])</f>
        <v>88.208000000000013</v>
      </c>
    </row>
    <row r="1316" spans="1:24" x14ac:dyDescent="0.25">
      <c r="A1316" s="44" t="s">
        <v>4</v>
      </c>
      <c r="B1316" s="64" t="str">
        <f t="shared" si="21"/>
        <v>Midfielder</v>
      </c>
      <c r="C1316" s="7">
        <v>45376.629895833335</v>
      </c>
      <c r="D1316" s="14">
        <v>4614</v>
      </c>
      <c r="E1316" s="14">
        <v>0</v>
      </c>
      <c r="F1316" s="14">
        <v>7</v>
      </c>
      <c r="G1316" s="14">
        <v>24</v>
      </c>
      <c r="H1316" s="14">
        <v>46.9</v>
      </c>
      <c r="I1316" s="14">
        <f>'PIVOT TABLES'!$B$26</f>
        <v>60.283999999999999</v>
      </c>
      <c r="J1316" s="14">
        <f>'PIVOT TABLES'!$B$27-'PIVOT TABLES'!$B$26</f>
        <v>30.142000000000003</v>
      </c>
      <c r="K1316" s="14">
        <f>'PIVOT TABLES'!$B$28-'PIVOT TABLES'!$B$27</f>
        <v>30.141999999999996</v>
      </c>
      <c r="L1316" s="14">
        <f>200-SUM(Table3[[#This Row],[D - LIGHT]:[D - VIGOROUS]])</f>
        <v>79.432000000000002</v>
      </c>
      <c r="M1316" s="14">
        <f>'PIVOT TABLES'!$I$26</f>
        <v>65.603999999999999</v>
      </c>
      <c r="N1316" s="14">
        <f>'PIVOT TABLES'!$I$27-'PIVOT TABLES'!$I$26</f>
        <v>32.802000000000007</v>
      </c>
      <c r="O1316" s="14">
        <f>'PIVOT TABLES'!$I$28-'PIVOT TABLES'!$I$27</f>
        <v>32.801999999999992</v>
      </c>
      <c r="P1316" s="14">
        <f>200-SUM(Table3[[#This Row],[M - LIGHT]:[M - VIGOROUS]])</f>
        <v>68.792000000000002</v>
      </c>
      <c r="Q1316" s="14">
        <f>'PIVOT TABLES'!$P$26</f>
        <v>62.64</v>
      </c>
      <c r="R1316" s="14">
        <f>'PIVOT TABLES'!$P$27-'PIVOT TABLES'!$P$26</f>
        <v>31.320000000000007</v>
      </c>
      <c r="S1316" s="14">
        <f>'PIVOT TABLES'!$P$28-'PIVOT TABLES'!$P$27</f>
        <v>31.319999999999993</v>
      </c>
      <c r="T1316" s="14">
        <f>200-SUM(Table3[[#This Row],[W - LIGHT]:[W - VIGOROUS]])</f>
        <v>74.72</v>
      </c>
      <c r="U1316" s="14">
        <f>'PIVOT TABLES'!$W$26</f>
        <v>55.895999999999994</v>
      </c>
      <c r="V1316" s="14">
        <f>'PIVOT TABLES'!$W$27-'PIVOT TABLES'!$W$26</f>
        <v>27.948</v>
      </c>
      <c r="W1316" s="14">
        <f>'PIVOT TABLES'!$W$28-'PIVOT TABLES'!$W$27</f>
        <v>27.947999999999993</v>
      </c>
      <c r="X1316" s="14">
        <f>200-SUM(Table3[[#This Row],[S - LIGHT]:[S - VIGOROUS]])</f>
        <v>88.208000000000013</v>
      </c>
    </row>
    <row r="1317" spans="1:24" x14ac:dyDescent="0.25">
      <c r="A1317" s="44" t="s">
        <v>60</v>
      </c>
      <c r="B1317" s="64" t="str">
        <f t="shared" si="21"/>
        <v>Winger</v>
      </c>
      <c r="C1317" s="7">
        <v>45376.629895833335</v>
      </c>
      <c r="D1317" s="14">
        <v>4789</v>
      </c>
      <c r="E1317" s="14">
        <v>94</v>
      </c>
      <c r="F1317" s="14">
        <v>20</v>
      </c>
      <c r="G1317" s="14">
        <v>28</v>
      </c>
      <c r="H1317" s="14">
        <v>52.07</v>
      </c>
      <c r="I1317" s="14">
        <f>'PIVOT TABLES'!$B$26</f>
        <v>60.283999999999999</v>
      </c>
      <c r="J1317" s="14">
        <f>'PIVOT TABLES'!$B$27-'PIVOT TABLES'!$B$26</f>
        <v>30.142000000000003</v>
      </c>
      <c r="K1317" s="14">
        <f>'PIVOT TABLES'!$B$28-'PIVOT TABLES'!$B$27</f>
        <v>30.141999999999996</v>
      </c>
      <c r="L1317" s="14">
        <f>200-SUM(Table3[[#This Row],[D - LIGHT]:[D - VIGOROUS]])</f>
        <v>79.432000000000002</v>
      </c>
      <c r="M1317" s="14">
        <f>'PIVOT TABLES'!$I$26</f>
        <v>65.603999999999999</v>
      </c>
      <c r="N1317" s="14">
        <f>'PIVOT TABLES'!$I$27-'PIVOT TABLES'!$I$26</f>
        <v>32.802000000000007</v>
      </c>
      <c r="O1317" s="14">
        <f>'PIVOT TABLES'!$I$28-'PIVOT TABLES'!$I$27</f>
        <v>32.801999999999992</v>
      </c>
      <c r="P1317" s="14">
        <f>200-SUM(Table3[[#This Row],[M - LIGHT]:[M - VIGOROUS]])</f>
        <v>68.792000000000002</v>
      </c>
      <c r="Q1317" s="14">
        <f>'PIVOT TABLES'!$P$26</f>
        <v>62.64</v>
      </c>
      <c r="R1317" s="14">
        <f>'PIVOT TABLES'!$P$27-'PIVOT TABLES'!$P$26</f>
        <v>31.320000000000007</v>
      </c>
      <c r="S1317" s="14">
        <f>'PIVOT TABLES'!$P$28-'PIVOT TABLES'!$P$27</f>
        <v>31.319999999999993</v>
      </c>
      <c r="T1317" s="14">
        <f>200-SUM(Table3[[#This Row],[W - LIGHT]:[W - VIGOROUS]])</f>
        <v>74.72</v>
      </c>
      <c r="U1317" s="14">
        <f>'PIVOT TABLES'!$W$26</f>
        <v>55.895999999999994</v>
      </c>
      <c r="V1317" s="14">
        <f>'PIVOT TABLES'!$W$27-'PIVOT TABLES'!$W$26</f>
        <v>27.948</v>
      </c>
      <c r="W1317" s="14">
        <f>'PIVOT TABLES'!$W$28-'PIVOT TABLES'!$W$27</f>
        <v>27.947999999999993</v>
      </c>
      <c r="X1317" s="14">
        <f>200-SUM(Table3[[#This Row],[S - LIGHT]:[S - VIGOROUS]])</f>
        <v>88.208000000000013</v>
      </c>
    </row>
    <row r="1318" spans="1:24" x14ac:dyDescent="0.25">
      <c r="A1318" s="44" t="s">
        <v>71</v>
      </c>
      <c r="B1318" s="64" t="str">
        <f t="shared" si="21"/>
        <v>Midfielder</v>
      </c>
      <c r="C1318" s="7">
        <v>45376.629895833335</v>
      </c>
      <c r="D1318" s="14">
        <v>4107</v>
      </c>
      <c r="E1318" s="14">
        <v>3</v>
      </c>
      <c r="F1318" s="14">
        <v>8</v>
      </c>
      <c r="G1318" s="14">
        <v>14</v>
      </c>
      <c r="H1318" s="14">
        <v>41.76</v>
      </c>
      <c r="I1318" s="14">
        <f>'PIVOT TABLES'!$B$26</f>
        <v>60.283999999999999</v>
      </c>
      <c r="J1318" s="14">
        <f>'PIVOT TABLES'!$B$27-'PIVOT TABLES'!$B$26</f>
        <v>30.142000000000003</v>
      </c>
      <c r="K1318" s="14">
        <f>'PIVOT TABLES'!$B$28-'PIVOT TABLES'!$B$27</f>
        <v>30.141999999999996</v>
      </c>
      <c r="L1318" s="14">
        <f>200-SUM(Table3[[#This Row],[D - LIGHT]:[D - VIGOROUS]])</f>
        <v>79.432000000000002</v>
      </c>
      <c r="M1318" s="14">
        <f>'PIVOT TABLES'!$I$26</f>
        <v>65.603999999999999</v>
      </c>
      <c r="N1318" s="14">
        <f>'PIVOT TABLES'!$I$27-'PIVOT TABLES'!$I$26</f>
        <v>32.802000000000007</v>
      </c>
      <c r="O1318" s="14">
        <f>'PIVOT TABLES'!$I$28-'PIVOT TABLES'!$I$27</f>
        <v>32.801999999999992</v>
      </c>
      <c r="P1318" s="14">
        <f>200-SUM(Table3[[#This Row],[M - LIGHT]:[M - VIGOROUS]])</f>
        <v>68.792000000000002</v>
      </c>
      <c r="Q1318" s="14">
        <f>'PIVOT TABLES'!$P$26</f>
        <v>62.64</v>
      </c>
      <c r="R1318" s="14">
        <f>'PIVOT TABLES'!$P$27-'PIVOT TABLES'!$P$26</f>
        <v>31.320000000000007</v>
      </c>
      <c r="S1318" s="14">
        <f>'PIVOT TABLES'!$P$28-'PIVOT TABLES'!$P$27</f>
        <v>31.319999999999993</v>
      </c>
      <c r="T1318" s="14">
        <f>200-SUM(Table3[[#This Row],[W - LIGHT]:[W - VIGOROUS]])</f>
        <v>74.72</v>
      </c>
      <c r="U1318" s="14">
        <f>'PIVOT TABLES'!$W$26</f>
        <v>55.895999999999994</v>
      </c>
      <c r="V1318" s="14">
        <f>'PIVOT TABLES'!$W$27-'PIVOT TABLES'!$W$26</f>
        <v>27.948</v>
      </c>
      <c r="W1318" s="14">
        <f>'PIVOT TABLES'!$W$28-'PIVOT TABLES'!$W$27</f>
        <v>27.947999999999993</v>
      </c>
      <c r="X1318" s="14">
        <f>200-SUM(Table3[[#This Row],[S - LIGHT]:[S - VIGOROUS]])</f>
        <v>88.208000000000013</v>
      </c>
    </row>
    <row r="1319" spans="1:24" x14ac:dyDescent="0.25">
      <c r="A1319" s="44" t="s">
        <v>5</v>
      </c>
      <c r="B1319" s="64" t="str">
        <f t="shared" si="21"/>
        <v>Midfielder</v>
      </c>
      <c r="C1319" s="7">
        <v>45376.629895833335</v>
      </c>
      <c r="D1319" s="14">
        <v>4935</v>
      </c>
      <c r="E1319" s="14">
        <v>22</v>
      </c>
      <c r="F1319" s="14">
        <v>15</v>
      </c>
      <c r="G1319" s="14">
        <v>21</v>
      </c>
      <c r="H1319" s="14">
        <v>51.03</v>
      </c>
      <c r="I1319" s="14">
        <f>'PIVOT TABLES'!$B$26</f>
        <v>60.283999999999999</v>
      </c>
      <c r="J1319" s="14">
        <f>'PIVOT TABLES'!$B$27-'PIVOT TABLES'!$B$26</f>
        <v>30.142000000000003</v>
      </c>
      <c r="K1319" s="14">
        <f>'PIVOT TABLES'!$B$28-'PIVOT TABLES'!$B$27</f>
        <v>30.141999999999996</v>
      </c>
      <c r="L1319" s="14">
        <f>200-SUM(Table3[[#This Row],[D - LIGHT]:[D - VIGOROUS]])</f>
        <v>79.432000000000002</v>
      </c>
      <c r="M1319" s="14">
        <f>'PIVOT TABLES'!$I$26</f>
        <v>65.603999999999999</v>
      </c>
      <c r="N1319" s="14">
        <f>'PIVOT TABLES'!$I$27-'PIVOT TABLES'!$I$26</f>
        <v>32.802000000000007</v>
      </c>
      <c r="O1319" s="14">
        <f>'PIVOT TABLES'!$I$28-'PIVOT TABLES'!$I$27</f>
        <v>32.801999999999992</v>
      </c>
      <c r="P1319" s="14">
        <f>200-SUM(Table3[[#This Row],[M - LIGHT]:[M - VIGOROUS]])</f>
        <v>68.792000000000002</v>
      </c>
      <c r="Q1319" s="14">
        <f>'PIVOT TABLES'!$P$26</f>
        <v>62.64</v>
      </c>
      <c r="R1319" s="14">
        <f>'PIVOT TABLES'!$P$27-'PIVOT TABLES'!$P$26</f>
        <v>31.320000000000007</v>
      </c>
      <c r="S1319" s="14">
        <f>'PIVOT TABLES'!$P$28-'PIVOT TABLES'!$P$27</f>
        <v>31.319999999999993</v>
      </c>
      <c r="T1319" s="14">
        <f>200-SUM(Table3[[#This Row],[W - LIGHT]:[W - VIGOROUS]])</f>
        <v>74.72</v>
      </c>
      <c r="U1319" s="14">
        <f>'PIVOT TABLES'!$W$26</f>
        <v>55.895999999999994</v>
      </c>
      <c r="V1319" s="14">
        <f>'PIVOT TABLES'!$W$27-'PIVOT TABLES'!$W$26</f>
        <v>27.948</v>
      </c>
      <c r="W1319" s="14">
        <f>'PIVOT TABLES'!$W$28-'PIVOT TABLES'!$W$27</f>
        <v>27.947999999999993</v>
      </c>
      <c r="X1319" s="14">
        <f>200-SUM(Table3[[#This Row],[S - LIGHT]:[S - VIGOROUS]])</f>
        <v>88.208000000000013</v>
      </c>
    </row>
    <row r="1320" spans="1:24" x14ac:dyDescent="0.25">
      <c r="A1320" s="44" t="s">
        <v>6</v>
      </c>
      <c r="B1320" s="64" t="str">
        <f t="shared" si="21"/>
        <v>Midfielder</v>
      </c>
      <c r="C1320" s="7">
        <v>45376.629895833335</v>
      </c>
      <c r="D1320" s="14">
        <v>4021</v>
      </c>
      <c r="E1320" s="14">
        <v>70</v>
      </c>
      <c r="F1320" s="14">
        <v>11</v>
      </c>
      <c r="G1320" s="14">
        <v>9</v>
      </c>
      <c r="H1320" s="14">
        <v>42.93</v>
      </c>
      <c r="I1320" s="14">
        <f>'PIVOT TABLES'!$B$26</f>
        <v>60.283999999999999</v>
      </c>
      <c r="J1320" s="14">
        <f>'PIVOT TABLES'!$B$27-'PIVOT TABLES'!$B$26</f>
        <v>30.142000000000003</v>
      </c>
      <c r="K1320" s="14">
        <f>'PIVOT TABLES'!$B$28-'PIVOT TABLES'!$B$27</f>
        <v>30.141999999999996</v>
      </c>
      <c r="L1320" s="14">
        <f>200-SUM(Table3[[#This Row],[D - LIGHT]:[D - VIGOROUS]])</f>
        <v>79.432000000000002</v>
      </c>
      <c r="M1320" s="14">
        <f>'PIVOT TABLES'!$I$26</f>
        <v>65.603999999999999</v>
      </c>
      <c r="N1320" s="14">
        <f>'PIVOT TABLES'!$I$27-'PIVOT TABLES'!$I$26</f>
        <v>32.802000000000007</v>
      </c>
      <c r="O1320" s="14">
        <f>'PIVOT TABLES'!$I$28-'PIVOT TABLES'!$I$27</f>
        <v>32.801999999999992</v>
      </c>
      <c r="P1320" s="14">
        <f>200-SUM(Table3[[#This Row],[M - LIGHT]:[M - VIGOROUS]])</f>
        <v>68.792000000000002</v>
      </c>
      <c r="Q1320" s="14">
        <f>'PIVOT TABLES'!$P$26</f>
        <v>62.64</v>
      </c>
      <c r="R1320" s="14">
        <f>'PIVOT TABLES'!$P$27-'PIVOT TABLES'!$P$26</f>
        <v>31.320000000000007</v>
      </c>
      <c r="S1320" s="14">
        <f>'PIVOT TABLES'!$P$28-'PIVOT TABLES'!$P$27</f>
        <v>31.319999999999993</v>
      </c>
      <c r="T1320" s="14">
        <f>200-SUM(Table3[[#This Row],[W - LIGHT]:[W - VIGOROUS]])</f>
        <v>74.72</v>
      </c>
      <c r="U1320" s="14">
        <f>'PIVOT TABLES'!$W$26</f>
        <v>55.895999999999994</v>
      </c>
      <c r="V1320" s="14">
        <f>'PIVOT TABLES'!$W$27-'PIVOT TABLES'!$W$26</f>
        <v>27.948</v>
      </c>
      <c r="W1320" s="14">
        <f>'PIVOT TABLES'!$W$28-'PIVOT TABLES'!$W$27</f>
        <v>27.947999999999993</v>
      </c>
      <c r="X1320" s="14">
        <f>200-SUM(Table3[[#This Row],[S - LIGHT]:[S - VIGOROUS]])</f>
        <v>88.208000000000013</v>
      </c>
    </row>
    <row r="1321" spans="1:24" x14ac:dyDescent="0.25">
      <c r="A1321" s="44" t="s">
        <v>62</v>
      </c>
      <c r="B1321" s="64" t="str">
        <f t="shared" si="21"/>
        <v>Midfielder</v>
      </c>
      <c r="C1321" s="7">
        <v>45376.629895833335</v>
      </c>
      <c r="D1321" s="14">
        <v>3835</v>
      </c>
      <c r="E1321" s="14">
        <v>0</v>
      </c>
      <c r="F1321" s="14">
        <v>13</v>
      </c>
      <c r="G1321" s="14">
        <v>13</v>
      </c>
      <c r="H1321" s="14">
        <v>39.130000000000003</v>
      </c>
      <c r="I1321" s="14">
        <f>'PIVOT TABLES'!$B$26</f>
        <v>60.283999999999999</v>
      </c>
      <c r="J1321" s="14">
        <f>'PIVOT TABLES'!$B$27-'PIVOT TABLES'!$B$26</f>
        <v>30.142000000000003</v>
      </c>
      <c r="K1321" s="14">
        <f>'PIVOT TABLES'!$B$28-'PIVOT TABLES'!$B$27</f>
        <v>30.141999999999996</v>
      </c>
      <c r="L1321" s="14">
        <f>200-SUM(Table3[[#This Row],[D - LIGHT]:[D - VIGOROUS]])</f>
        <v>79.432000000000002</v>
      </c>
      <c r="M1321" s="14">
        <f>'PIVOT TABLES'!$I$26</f>
        <v>65.603999999999999</v>
      </c>
      <c r="N1321" s="14">
        <f>'PIVOT TABLES'!$I$27-'PIVOT TABLES'!$I$26</f>
        <v>32.802000000000007</v>
      </c>
      <c r="O1321" s="14">
        <f>'PIVOT TABLES'!$I$28-'PIVOT TABLES'!$I$27</f>
        <v>32.801999999999992</v>
      </c>
      <c r="P1321" s="14">
        <f>200-SUM(Table3[[#This Row],[M - LIGHT]:[M - VIGOROUS]])</f>
        <v>68.792000000000002</v>
      </c>
      <c r="Q1321" s="14">
        <f>'PIVOT TABLES'!$P$26</f>
        <v>62.64</v>
      </c>
      <c r="R1321" s="14">
        <f>'PIVOT TABLES'!$P$27-'PIVOT TABLES'!$P$26</f>
        <v>31.320000000000007</v>
      </c>
      <c r="S1321" s="14">
        <f>'PIVOT TABLES'!$P$28-'PIVOT TABLES'!$P$27</f>
        <v>31.319999999999993</v>
      </c>
      <c r="T1321" s="14">
        <f>200-SUM(Table3[[#This Row],[W - LIGHT]:[W - VIGOROUS]])</f>
        <v>74.72</v>
      </c>
      <c r="U1321" s="14">
        <f>'PIVOT TABLES'!$W$26</f>
        <v>55.895999999999994</v>
      </c>
      <c r="V1321" s="14">
        <f>'PIVOT TABLES'!$W$27-'PIVOT TABLES'!$W$26</f>
        <v>27.948</v>
      </c>
      <c r="W1321" s="14">
        <f>'PIVOT TABLES'!$W$28-'PIVOT TABLES'!$W$27</f>
        <v>27.947999999999993</v>
      </c>
      <c r="X1321" s="14">
        <f>200-SUM(Table3[[#This Row],[S - LIGHT]:[S - VIGOROUS]])</f>
        <v>88.208000000000013</v>
      </c>
    </row>
    <row r="1322" spans="1:24" x14ac:dyDescent="0.25">
      <c r="A1322" s="44" t="s">
        <v>63</v>
      </c>
      <c r="B1322" s="64" t="str">
        <f t="shared" si="21"/>
        <v>Winger</v>
      </c>
      <c r="C1322" s="7">
        <v>45376.629895833335</v>
      </c>
      <c r="D1322" s="14">
        <v>4671</v>
      </c>
      <c r="E1322" s="14">
        <v>31</v>
      </c>
      <c r="F1322" s="14">
        <v>22</v>
      </c>
      <c r="G1322" s="14">
        <v>21</v>
      </c>
      <c r="H1322" s="14">
        <v>48.94</v>
      </c>
      <c r="I1322" s="14">
        <f>'PIVOT TABLES'!$B$26</f>
        <v>60.283999999999999</v>
      </c>
      <c r="J1322" s="14">
        <f>'PIVOT TABLES'!$B$27-'PIVOT TABLES'!$B$26</f>
        <v>30.142000000000003</v>
      </c>
      <c r="K1322" s="14">
        <f>'PIVOT TABLES'!$B$28-'PIVOT TABLES'!$B$27</f>
        <v>30.141999999999996</v>
      </c>
      <c r="L1322" s="14">
        <f>200-SUM(Table3[[#This Row],[D - LIGHT]:[D - VIGOROUS]])</f>
        <v>79.432000000000002</v>
      </c>
      <c r="M1322" s="14">
        <f>'PIVOT TABLES'!$I$26</f>
        <v>65.603999999999999</v>
      </c>
      <c r="N1322" s="14">
        <f>'PIVOT TABLES'!$I$27-'PIVOT TABLES'!$I$26</f>
        <v>32.802000000000007</v>
      </c>
      <c r="O1322" s="14">
        <f>'PIVOT TABLES'!$I$28-'PIVOT TABLES'!$I$27</f>
        <v>32.801999999999992</v>
      </c>
      <c r="P1322" s="14">
        <f>200-SUM(Table3[[#This Row],[M - LIGHT]:[M - VIGOROUS]])</f>
        <v>68.792000000000002</v>
      </c>
      <c r="Q1322" s="14">
        <f>'PIVOT TABLES'!$P$26</f>
        <v>62.64</v>
      </c>
      <c r="R1322" s="14">
        <f>'PIVOT TABLES'!$P$27-'PIVOT TABLES'!$P$26</f>
        <v>31.320000000000007</v>
      </c>
      <c r="S1322" s="14">
        <f>'PIVOT TABLES'!$P$28-'PIVOT TABLES'!$P$27</f>
        <v>31.319999999999993</v>
      </c>
      <c r="T1322" s="14">
        <f>200-SUM(Table3[[#This Row],[W - LIGHT]:[W - VIGOROUS]])</f>
        <v>74.72</v>
      </c>
      <c r="U1322" s="14">
        <f>'PIVOT TABLES'!$W$26</f>
        <v>55.895999999999994</v>
      </c>
      <c r="V1322" s="14">
        <f>'PIVOT TABLES'!$W$27-'PIVOT TABLES'!$W$26</f>
        <v>27.948</v>
      </c>
      <c r="W1322" s="14">
        <f>'PIVOT TABLES'!$W$28-'PIVOT TABLES'!$W$27</f>
        <v>27.947999999999993</v>
      </c>
      <c r="X1322" s="14">
        <f>200-SUM(Table3[[#This Row],[S - LIGHT]:[S - VIGOROUS]])</f>
        <v>88.208000000000013</v>
      </c>
    </row>
    <row r="1323" spans="1:24" x14ac:dyDescent="0.25">
      <c r="A1323" s="44" t="s">
        <v>64</v>
      </c>
      <c r="B1323" s="64" t="str">
        <f t="shared" si="21"/>
        <v>Midfielder</v>
      </c>
      <c r="C1323" s="7">
        <v>45376.629895833335</v>
      </c>
      <c r="D1323" s="14">
        <v>4379</v>
      </c>
      <c r="E1323" s="14">
        <v>15</v>
      </c>
      <c r="F1323" s="14">
        <v>28</v>
      </c>
      <c r="G1323" s="14">
        <v>36</v>
      </c>
      <c r="H1323" s="14">
        <v>46.08</v>
      </c>
      <c r="I1323" s="14">
        <f>'PIVOT TABLES'!$B$26</f>
        <v>60.283999999999999</v>
      </c>
      <c r="J1323" s="14">
        <f>'PIVOT TABLES'!$B$27-'PIVOT TABLES'!$B$26</f>
        <v>30.142000000000003</v>
      </c>
      <c r="K1323" s="14">
        <f>'PIVOT TABLES'!$B$28-'PIVOT TABLES'!$B$27</f>
        <v>30.141999999999996</v>
      </c>
      <c r="L1323" s="14">
        <f>200-SUM(Table3[[#This Row],[D - LIGHT]:[D - VIGOROUS]])</f>
        <v>79.432000000000002</v>
      </c>
      <c r="M1323" s="14">
        <f>'PIVOT TABLES'!$I$26</f>
        <v>65.603999999999999</v>
      </c>
      <c r="N1323" s="14">
        <f>'PIVOT TABLES'!$I$27-'PIVOT TABLES'!$I$26</f>
        <v>32.802000000000007</v>
      </c>
      <c r="O1323" s="14">
        <f>'PIVOT TABLES'!$I$28-'PIVOT TABLES'!$I$27</f>
        <v>32.801999999999992</v>
      </c>
      <c r="P1323" s="14">
        <f>200-SUM(Table3[[#This Row],[M - LIGHT]:[M - VIGOROUS]])</f>
        <v>68.792000000000002</v>
      </c>
      <c r="Q1323" s="14">
        <f>'PIVOT TABLES'!$P$26</f>
        <v>62.64</v>
      </c>
      <c r="R1323" s="14">
        <f>'PIVOT TABLES'!$P$27-'PIVOT TABLES'!$P$26</f>
        <v>31.320000000000007</v>
      </c>
      <c r="S1323" s="14">
        <f>'PIVOT TABLES'!$P$28-'PIVOT TABLES'!$P$27</f>
        <v>31.319999999999993</v>
      </c>
      <c r="T1323" s="14">
        <f>200-SUM(Table3[[#This Row],[W - LIGHT]:[W - VIGOROUS]])</f>
        <v>74.72</v>
      </c>
      <c r="U1323" s="14">
        <f>'PIVOT TABLES'!$W$26</f>
        <v>55.895999999999994</v>
      </c>
      <c r="V1323" s="14">
        <f>'PIVOT TABLES'!$W$27-'PIVOT TABLES'!$W$26</f>
        <v>27.948</v>
      </c>
      <c r="W1323" s="14">
        <f>'PIVOT TABLES'!$W$28-'PIVOT TABLES'!$W$27</f>
        <v>27.947999999999993</v>
      </c>
      <c r="X1323" s="14">
        <f>200-SUM(Table3[[#This Row],[S - LIGHT]:[S - VIGOROUS]])</f>
        <v>88.208000000000013</v>
      </c>
    </row>
    <row r="1324" spans="1:24" x14ac:dyDescent="0.25">
      <c r="A1324" s="44" t="s">
        <v>65</v>
      </c>
      <c r="B1324" s="64" t="str">
        <f t="shared" si="21"/>
        <v>Winger</v>
      </c>
      <c r="C1324" s="7">
        <v>45376.629895833335</v>
      </c>
      <c r="D1324" s="14">
        <v>4965</v>
      </c>
      <c r="E1324" s="14">
        <v>32</v>
      </c>
      <c r="F1324" s="14">
        <v>29</v>
      </c>
      <c r="G1324" s="14">
        <v>35</v>
      </c>
      <c r="H1324" s="14">
        <v>52.47</v>
      </c>
      <c r="I1324" s="14">
        <f>'PIVOT TABLES'!$B$26</f>
        <v>60.283999999999999</v>
      </c>
      <c r="J1324" s="14">
        <f>'PIVOT TABLES'!$B$27-'PIVOT TABLES'!$B$26</f>
        <v>30.142000000000003</v>
      </c>
      <c r="K1324" s="14">
        <f>'PIVOT TABLES'!$B$28-'PIVOT TABLES'!$B$27</f>
        <v>30.141999999999996</v>
      </c>
      <c r="L1324" s="14">
        <f>200-SUM(Table3[[#This Row],[D - LIGHT]:[D - VIGOROUS]])</f>
        <v>79.432000000000002</v>
      </c>
      <c r="M1324" s="14">
        <f>'PIVOT TABLES'!$I$26</f>
        <v>65.603999999999999</v>
      </c>
      <c r="N1324" s="14">
        <f>'PIVOT TABLES'!$I$27-'PIVOT TABLES'!$I$26</f>
        <v>32.802000000000007</v>
      </c>
      <c r="O1324" s="14">
        <f>'PIVOT TABLES'!$I$28-'PIVOT TABLES'!$I$27</f>
        <v>32.801999999999992</v>
      </c>
      <c r="P1324" s="14">
        <f>200-SUM(Table3[[#This Row],[M - LIGHT]:[M - VIGOROUS]])</f>
        <v>68.792000000000002</v>
      </c>
      <c r="Q1324" s="14">
        <f>'PIVOT TABLES'!$P$26</f>
        <v>62.64</v>
      </c>
      <c r="R1324" s="14">
        <f>'PIVOT TABLES'!$P$27-'PIVOT TABLES'!$P$26</f>
        <v>31.320000000000007</v>
      </c>
      <c r="S1324" s="14">
        <f>'PIVOT TABLES'!$P$28-'PIVOT TABLES'!$P$27</f>
        <v>31.319999999999993</v>
      </c>
      <c r="T1324" s="14">
        <f>200-SUM(Table3[[#This Row],[W - LIGHT]:[W - VIGOROUS]])</f>
        <v>74.72</v>
      </c>
      <c r="U1324" s="14">
        <f>'PIVOT TABLES'!$W$26</f>
        <v>55.895999999999994</v>
      </c>
      <c r="V1324" s="14">
        <f>'PIVOT TABLES'!$W$27-'PIVOT TABLES'!$W$26</f>
        <v>27.948</v>
      </c>
      <c r="W1324" s="14">
        <f>'PIVOT TABLES'!$W$28-'PIVOT TABLES'!$W$27</f>
        <v>27.947999999999993</v>
      </c>
      <c r="X1324" s="14">
        <f>200-SUM(Table3[[#This Row],[S - LIGHT]:[S - VIGOROUS]])</f>
        <v>88.208000000000013</v>
      </c>
    </row>
    <row r="1325" spans="1:24" x14ac:dyDescent="0.25">
      <c r="A1325" s="44" t="s">
        <v>66</v>
      </c>
      <c r="B1325" s="64" t="str">
        <f t="shared" si="21"/>
        <v>Striker</v>
      </c>
      <c r="C1325" s="7">
        <v>45376.629895833335</v>
      </c>
      <c r="D1325" s="14">
        <v>4718</v>
      </c>
      <c r="E1325" s="14">
        <v>0</v>
      </c>
      <c r="F1325" s="14">
        <v>3</v>
      </c>
      <c r="G1325" s="14">
        <v>11</v>
      </c>
      <c r="H1325" s="14">
        <v>47.52</v>
      </c>
      <c r="I1325" s="14">
        <f>'PIVOT TABLES'!$B$26</f>
        <v>60.283999999999999</v>
      </c>
      <c r="J1325" s="14">
        <f>'PIVOT TABLES'!$B$27-'PIVOT TABLES'!$B$26</f>
        <v>30.142000000000003</v>
      </c>
      <c r="K1325" s="14">
        <f>'PIVOT TABLES'!$B$28-'PIVOT TABLES'!$B$27</f>
        <v>30.141999999999996</v>
      </c>
      <c r="L1325" s="14">
        <f>200-SUM(Table3[[#This Row],[D - LIGHT]:[D - VIGOROUS]])</f>
        <v>79.432000000000002</v>
      </c>
      <c r="M1325" s="14">
        <f>'PIVOT TABLES'!$I$26</f>
        <v>65.603999999999999</v>
      </c>
      <c r="N1325" s="14">
        <f>'PIVOT TABLES'!$I$27-'PIVOT TABLES'!$I$26</f>
        <v>32.802000000000007</v>
      </c>
      <c r="O1325" s="14">
        <f>'PIVOT TABLES'!$I$28-'PIVOT TABLES'!$I$27</f>
        <v>32.801999999999992</v>
      </c>
      <c r="P1325" s="14">
        <f>200-SUM(Table3[[#This Row],[M - LIGHT]:[M - VIGOROUS]])</f>
        <v>68.792000000000002</v>
      </c>
      <c r="Q1325" s="14">
        <f>'PIVOT TABLES'!$P$26</f>
        <v>62.64</v>
      </c>
      <c r="R1325" s="14">
        <f>'PIVOT TABLES'!$P$27-'PIVOT TABLES'!$P$26</f>
        <v>31.320000000000007</v>
      </c>
      <c r="S1325" s="14">
        <f>'PIVOT TABLES'!$P$28-'PIVOT TABLES'!$P$27</f>
        <v>31.319999999999993</v>
      </c>
      <c r="T1325" s="14">
        <f>200-SUM(Table3[[#This Row],[W - LIGHT]:[W - VIGOROUS]])</f>
        <v>74.72</v>
      </c>
      <c r="U1325" s="14">
        <f>'PIVOT TABLES'!$W$26</f>
        <v>55.895999999999994</v>
      </c>
      <c r="V1325" s="14">
        <f>'PIVOT TABLES'!$W$27-'PIVOT TABLES'!$W$26</f>
        <v>27.948</v>
      </c>
      <c r="W1325" s="14">
        <f>'PIVOT TABLES'!$W$28-'PIVOT TABLES'!$W$27</f>
        <v>27.947999999999993</v>
      </c>
      <c r="X1325" s="14">
        <f>200-SUM(Table3[[#This Row],[S - LIGHT]:[S - VIGOROUS]])</f>
        <v>88.208000000000013</v>
      </c>
    </row>
    <row r="1326" spans="1:24" x14ac:dyDescent="0.25">
      <c r="A1326" s="44" t="s">
        <v>78</v>
      </c>
      <c r="B1326" s="64" t="str">
        <f t="shared" si="21"/>
        <v>Defender</v>
      </c>
      <c r="C1326" s="7">
        <v>45376.629895833335</v>
      </c>
      <c r="D1326" s="14">
        <v>4425</v>
      </c>
      <c r="E1326" s="14">
        <v>18</v>
      </c>
      <c r="F1326" s="14">
        <v>18</v>
      </c>
      <c r="G1326" s="14">
        <v>20</v>
      </c>
      <c r="H1326" s="14">
        <v>45.91</v>
      </c>
      <c r="I1326" s="14">
        <f>'PIVOT TABLES'!$B$26</f>
        <v>60.283999999999999</v>
      </c>
      <c r="J1326" s="14">
        <f>'PIVOT TABLES'!$B$27-'PIVOT TABLES'!$B$26</f>
        <v>30.142000000000003</v>
      </c>
      <c r="K1326" s="14">
        <f>'PIVOT TABLES'!$B$28-'PIVOT TABLES'!$B$27</f>
        <v>30.141999999999996</v>
      </c>
      <c r="L1326" s="14">
        <f>200-SUM(Table3[[#This Row],[D - LIGHT]:[D - VIGOROUS]])</f>
        <v>79.432000000000002</v>
      </c>
      <c r="M1326" s="14">
        <f>'PIVOT TABLES'!$I$26</f>
        <v>65.603999999999999</v>
      </c>
      <c r="N1326" s="14">
        <f>'PIVOT TABLES'!$I$27-'PIVOT TABLES'!$I$26</f>
        <v>32.802000000000007</v>
      </c>
      <c r="O1326" s="14">
        <f>'PIVOT TABLES'!$I$28-'PIVOT TABLES'!$I$27</f>
        <v>32.801999999999992</v>
      </c>
      <c r="P1326" s="14">
        <f>200-SUM(Table3[[#This Row],[M - LIGHT]:[M - VIGOROUS]])</f>
        <v>68.792000000000002</v>
      </c>
      <c r="Q1326" s="14">
        <f>'PIVOT TABLES'!$P$26</f>
        <v>62.64</v>
      </c>
      <c r="R1326" s="14">
        <f>'PIVOT TABLES'!$P$27-'PIVOT TABLES'!$P$26</f>
        <v>31.320000000000007</v>
      </c>
      <c r="S1326" s="14">
        <f>'PIVOT TABLES'!$P$28-'PIVOT TABLES'!$P$27</f>
        <v>31.319999999999993</v>
      </c>
      <c r="T1326" s="14">
        <f>200-SUM(Table3[[#This Row],[W - LIGHT]:[W - VIGOROUS]])</f>
        <v>74.72</v>
      </c>
      <c r="U1326" s="14">
        <f>'PIVOT TABLES'!$W$26</f>
        <v>55.895999999999994</v>
      </c>
      <c r="V1326" s="14">
        <f>'PIVOT TABLES'!$W$27-'PIVOT TABLES'!$W$26</f>
        <v>27.948</v>
      </c>
      <c r="W1326" s="14">
        <f>'PIVOT TABLES'!$W$28-'PIVOT TABLES'!$W$27</f>
        <v>27.947999999999993</v>
      </c>
      <c r="X1326" s="14">
        <f>200-SUM(Table3[[#This Row],[S - LIGHT]:[S - VIGOROUS]])</f>
        <v>88.208000000000013</v>
      </c>
    </row>
    <row r="1327" spans="1:24" x14ac:dyDescent="0.25">
      <c r="A1327" s="44" t="s">
        <v>95</v>
      </c>
      <c r="B1327" s="64" t="str">
        <f t="shared" si="21"/>
        <v>Winger</v>
      </c>
      <c r="C1327" s="7">
        <v>45376.629895833335</v>
      </c>
      <c r="D1327" s="14">
        <v>3949</v>
      </c>
      <c r="E1327" s="14">
        <v>0</v>
      </c>
      <c r="F1327" s="14">
        <v>5</v>
      </c>
      <c r="G1327" s="14">
        <v>9</v>
      </c>
      <c r="H1327" s="14">
        <v>39.869999999999997</v>
      </c>
      <c r="I1327" s="14">
        <f>'PIVOT TABLES'!$B$26</f>
        <v>60.283999999999999</v>
      </c>
      <c r="J1327" s="14">
        <f>'PIVOT TABLES'!$B$27-'PIVOT TABLES'!$B$26</f>
        <v>30.142000000000003</v>
      </c>
      <c r="K1327" s="14">
        <f>'PIVOT TABLES'!$B$28-'PIVOT TABLES'!$B$27</f>
        <v>30.141999999999996</v>
      </c>
      <c r="L1327" s="14">
        <f>200-SUM(Table3[[#This Row],[D - LIGHT]:[D - VIGOROUS]])</f>
        <v>79.432000000000002</v>
      </c>
      <c r="M1327" s="14">
        <f>'PIVOT TABLES'!$I$26</f>
        <v>65.603999999999999</v>
      </c>
      <c r="N1327" s="14">
        <f>'PIVOT TABLES'!$I$27-'PIVOT TABLES'!$I$26</f>
        <v>32.802000000000007</v>
      </c>
      <c r="O1327" s="14">
        <f>'PIVOT TABLES'!$I$28-'PIVOT TABLES'!$I$27</f>
        <v>32.801999999999992</v>
      </c>
      <c r="P1327" s="14">
        <f>200-SUM(Table3[[#This Row],[M - LIGHT]:[M - VIGOROUS]])</f>
        <v>68.792000000000002</v>
      </c>
      <c r="Q1327" s="14">
        <f>'PIVOT TABLES'!$P$26</f>
        <v>62.64</v>
      </c>
      <c r="R1327" s="14">
        <f>'PIVOT TABLES'!$P$27-'PIVOT TABLES'!$P$26</f>
        <v>31.320000000000007</v>
      </c>
      <c r="S1327" s="14">
        <f>'PIVOT TABLES'!$P$28-'PIVOT TABLES'!$P$27</f>
        <v>31.319999999999993</v>
      </c>
      <c r="T1327" s="14">
        <f>200-SUM(Table3[[#This Row],[W - LIGHT]:[W - VIGOROUS]])</f>
        <v>74.72</v>
      </c>
      <c r="U1327" s="14">
        <f>'PIVOT TABLES'!$W$26</f>
        <v>55.895999999999994</v>
      </c>
      <c r="V1327" s="14">
        <f>'PIVOT TABLES'!$W$27-'PIVOT TABLES'!$W$26</f>
        <v>27.948</v>
      </c>
      <c r="W1327" s="14">
        <f>'PIVOT TABLES'!$W$28-'PIVOT TABLES'!$W$27</f>
        <v>27.947999999999993</v>
      </c>
      <c r="X1327" s="14">
        <f>200-SUM(Table3[[#This Row],[S - LIGHT]:[S - VIGOROUS]])</f>
        <v>88.208000000000013</v>
      </c>
    </row>
    <row r="1328" spans="1:24" x14ac:dyDescent="0.25">
      <c r="A1328" s="44" t="s">
        <v>96</v>
      </c>
      <c r="B1328" s="64" t="str">
        <f t="shared" si="21"/>
        <v>Winger</v>
      </c>
      <c r="C1328" s="7">
        <v>45376.629895833335</v>
      </c>
      <c r="D1328" s="14">
        <v>4421</v>
      </c>
      <c r="E1328" s="14">
        <v>5</v>
      </c>
      <c r="F1328" s="14">
        <v>10</v>
      </c>
      <c r="G1328" s="14">
        <v>16</v>
      </c>
      <c r="H1328" s="14">
        <v>45.08</v>
      </c>
      <c r="I1328" s="14">
        <f>'PIVOT TABLES'!$B$26</f>
        <v>60.283999999999999</v>
      </c>
      <c r="J1328" s="14">
        <f>'PIVOT TABLES'!$B$27-'PIVOT TABLES'!$B$26</f>
        <v>30.142000000000003</v>
      </c>
      <c r="K1328" s="14">
        <f>'PIVOT TABLES'!$B$28-'PIVOT TABLES'!$B$27</f>
        <v>30.141999999999996</v>
      </c>
      <c r="L1328" s="14">
        <f>200-SUM(Table3[[#This Row],[D - LIGHT]:[D - VIGOROUS]])</f>
        <v>79.432000000000002</v>
      </c>
      <c r="M1328" s="14">
        <f>'PIVOT TABLES'!$I$26</f>
        <v>65.603999999999999</v>
      </c>
      <c r="N1328" s="14">
        <f>'PIVOT TABLES'!$I$27-'PIVOT TABLES'!$I$26</f>
        <v>32.802000000000007</v>
      </c>
      <c r="O1328" s="14">
        <f>'PIVOT TABLES'!$I$28-'PIVOT TABLES'!$I$27</f>
        <v>32.801999999999992</v>
      </c>
      <c r="P1328" s="14">
        <f>200-SUM(Table3[[#This Row],[M - LIGHT]:[M - VIGOROUS]])</f>
        <v>68.792000000000002</v>
      </c>
      <c r="Q1328" s="14">
        <f>'PIVOT TABLES'!$P$26</f>
        <v>62.64</v>
      </c>
      <c r="R1328" s="14">
        <f>'PIVOT TABLES'!$P$27-'PIVOT TABLES'!$P$26</f>
        <v>31.320000000000007</v>
      </c>
      <c r="S1328" s="14">
        <f>'PIVOT TABLES'!$P$28-'PIVOT TABLES'!$P$27</f>
        <v>31.319999999999993</v>
      </c>
      <c r="T1328" s="14">
        <f>200-SUM(Table3[[#This Row],[W - LIGHT]:[W - VIGOROUS]])</f>
        <v>74.72</v>
      </c>
      <c r="U1328" s="14">
        <f>'PIVOT TABLES'!$W$26</f>
        <v>55.895999999999994</v>
      </c>
      <c r="V1328" s="14">
        <f>'PIVOT TABLES'!$W$27-'PIVOT TABLES'!$W$26</f>
        <v>27.948</v>
      </c>
      <c r="W1328" s="14">
        <f>'PIVOT TABLES'!$W$28-'PIVOT TABLES'!$W$27</f>
        <v>27.947999999999993</v>
      </c>
      <c r="X1328" s="14">
        <f>200-SUM(Table3[[#This Row],[S - LIGHT]:[S - VIGOROUS]])</f>
        <v>88.208000000000013</v>
      </c>
    </row>
    <row r="1329" spans="1:24" x14ac:dyDescent="0.25">
      <c r="A1329" s="44" t="s">
        <v>8</v>
      </c>
      <c r="B1329" s="64" t="str">
        <f t="shared" si="21"/>
        <v>Striker</v>
      </c>
      <c r="C1329" s="7">
        <v>45376.629895833335</v>
      </c>
      <c r="D1329" s="14">
        <v>4531</v>
      </c>
      <c r="E1329" s="14">
        <v>30</v>
      </c>
      <c r="F1329" s="14">
        <v>11</v>
      </c>
      <c r="G1329" s="14">
        <v>18</v>
      </c>
      <c r="H1329" s="14">
        <v>47.01</v>
      </c>
      <c r="I1329" s="14">
        <f>'PIVOT TABLES'!$B$26</f>
        <v>60.283999999999999</v>
      </c>
      <c r="J1329" s="14">
        <f>'PIVOT TABLES'!$B$27-'PIVOT TABLES'!$B$26</f>
        <v>30.142000000000003</v>
      </c>
      <c r="K1329" s="14">
        <f>'PIVOT TABLES'!$B$28-'PIVOT TABLES'!$B$27</f>
        <v>30.141999999999996</v>
      </c>
      <c r="L1329" s="14">
        <f>200-SUM(Table3[[#This Row],[D - LIGHT]:[D - VIGOROUS]])</f>
        <v>79.432000000000002</v>
      </c>
      <c r="M1329" s="14">
        <f>'PIVOT TABLES'!$I$26</f>
        <v>65.603999999999999</v>
      </c>
      <c r="N1329" s="14">
        <f>'PIVOT TABLES'!$I$27-'PIVOT TABLES'!$I$26</f>
        <v>32.802000000000007</v>
      </c>
      <c r="O1329" s="14">
        <f>'PIVOT TABLES'!$I$28-'PIVOT TABLES'!$I$27</f>
        <v>32.801999999999992</v>
      </c>
      <c r="P1329" s="14">
        <f>200-SUM(Table3[[#This Row],[M - LIGHT]:[M - VIGOROUS]])</f>
        <v>68.792000000000002</v>
      </c>
      <c r="Q1329" s="14">
        <f>'PIVOT TABLES'!$P$26</f>
        <v>62.64</v>
      </c>
      <c r="R1329" s="14">
        <f>'PIVOT TABLES'!$P$27-'PIVOT TABLES'!$P$26</f>
        <v>31.320000000000007</v>
      </c>
      <c r="S1329" s="14">
        <f>'PIVOT TABLES'!$P$28-'PIVOT TABLES'!$P$27</f>
        <v>31.319999999999993</v>
      </c>
      <c r="T1329" s="14">
        <f>200-SUM(Table3[[#This Row],[W - LIGHT]:[W - VIGOROUS]])</f>
        <v>74.72</v>
      </c>
      <c r="U1329" s="14">
        <f>'PIVOT TABLES'!$W$26</f>
        <v>55.895999999999994</v>
      </c>
      <c r="V1329" s="14">
        <f>'PIVOT TABLES'!$W$27-'PIVOT TABLES'!$W$26</f>
        <v>27.948</v>
      </c>
      <c r="W1329" s="14">
        <f>'PIVOT TABLES'!$W$28-'PIVOT TABLES'!$W$27</f>
        <v>27.947999999999993</v>
      </c>
      <c r="X1329" s="14">
        <f>200-SUM(Table3[[#This Row],[S - LIGHT]:[S - VIGOROUS]])</f>
        <v>88.208000000000013</v>
      </c>
    </row>
    <row r="1330" spans="1:24" x14ac:dyDescent="0.25">
      <c r="A1330" s="44" t="s">
        <v>67</v>
      </c>
      <c r="B1330" s="64" t="str">
        <f t="shared" si="21"/>
        <v>Midfielder</v>
      </c>
      <c r="C1330" s="7">
        <v>45376.629895833335</v>
      </c>
      <c r="D1330" s="14">
        <v>4182</v>
      </c>
      <c r="E1330" s="14">
        <v>56</v>
      </c>
      <c r="F1330" s="14">
        <v>9</v>
      </c>
      <c r="G1330" s="14">
        <v>21</v>
      </c>
      <c r="H1330" s="14">
        <v>44.28</v>
      </c>
      <c r="I1330" s="14">
        <f>'PIVOT TABLES'!$B$26</f>
        <v>60.283999999999999</v>
      </c>
      <c r="J1330" s="14">
        <f>'PIVOT TABLES'!$B$27-'PIVOT TABLES'!$B$26</f>
        <v>30.142000000000003</v>
      </c>
      <c r="K1330" s="14">
        <f>'PIVOT TABLES'!$B$28-'PIVOT TABLES'!$B$27</f>
        <v>30.141999999999996</v>
      </c>
      <c r="L1330" s="14">
        <f>200-SUM(Table3[[#This Row],[D - LIGHT]:[D - VIGOROUS]])</f>
        <v>79.432000000000002</v>
      </c>
      <c r="M1330" s="14">
        <f>'PIVOT TABLES'!$I$26</f>
        <v>65.603999999999999</v>
      </c>
      <c r="N1330" s="14">
        <f>'PIVOT TABLES'!$I$27-'PIVOT TABLES'!$I$26</f>
        <v>32.802000000000007</v>
      </c>
      <c r="O1330" s="14">
        <f>'PIVOT TABLES'!$I$28-'PIVOT TABLES'!$I$27</f>
        <v>32.801999999999992</v>
      </c>
      <c r="P1330" s="14">
        <f>200-SUM(Table3[[#This Row],[M - LIGHT]:[M - VIGOROUS]])</f>
        <v>68.792000000000002</v>
      </c>
      <c r="Q1330" s="14">
        <f>'PIVOT TABLES'!$P$26</f>
        <v>62.64</v>
      </c>
      <c r="R1330" s="14">
        <f>'PIVOT TABLES'!$P$27-'PIVOT TABLES'!$P$26</f>
        <v>31.320000000000007</v>
      </c>
      <c r="S1330" s="14">
        <f>'PIVOT TABLES'!$P$28-'PIVOT TABLES'!$P$27</f>
        <v>31.319999999999993</v>
      </c>
      <c r="T1330" s="14">
        <f>200-SUM(Table3[[#This Row],[W - LIGHT]:[W - VIGOROUS]])</f>
        <v>74.72</v>
      </c>
      <c r="U1330" s="14">
        <f>'PIVOT TABLES'!$W$26</f>
        <v>55.895999999999994</v>
      </c>
      <c r="V1330" s="14">
        <f>'PIVOT TABLES'!$W$27-'PIVOT TABLES'!$W$26</f>
        <v>27.948</v>
      </c>
      <c r="W1330" s="14">
        <f>'PIVOT TABLES'!$W$28-'PIVOT TABLES'!$W$27</f>
        <v>27.947999999999993</v>
      </c>
      <c r="X1330" s="14">
        <f>200-SUM(Table3[[#This Row],[S - LIGHT]:[S - VIGOROUS]])</f>
        <v>88.208000000000013</v>
      </c>
    </row>
    <row r="1331" spans="1:24" x14ac:dyDescent="0.25">
      <c r="A1331" s="44" t="s">
        <v>69</v>
      </c>
      <c r="B1331" s="64" t="str">
        <f t="shared" si="21"/>
        <v>Midfielder</v>
      </c>
      <c r="C1331" s="7">
        <v>45376.629895833335</v>
      </c>
      <c r="D1331" s="14">
        <v>4648</v>
      </c>
      <c r="E1331" s="14">
        <v>64</v>
      </c>
      <c r="F1331" s="14">
        <v>21</v>
      </c>
      <c r="G1331" s="14">
        <v>19</v>
      </c>
      <c r="H1331" s="14">
        <v>49.62</v>
      </c>
      <c r="I1331" s="14">
        <f>'PIVOT TABLES'!$B$26</f>
        <v>60.283999999999999</v>
      </c>
      <c r="J1331" s="14">
        <f>'PIVOT TABLES'!$B$27-'PIVOT TABLES'!$B$26</f>
        <v>30.142000000000003</v>
      </c>
      <c r="K1331" s="14">
        <f>'PIVOT TABLES'!$B$28-'PIVOT TABLES'!$B$27</f>
        <v>30.141999999999996</v>
      </c>
      <c r="L1331" s="14">
        <f>200-SUM(Table3[[#This Row],[D - LIGHT]:[D - VIGOROUS]])</f>
        <v>79.432000000000002</v>
      </c>
      <c r="M1331" s="14">
        <f>'PIVOT TABLES'!$I$26</f>
        <v>65.603999999999999</v>
      </c>
      <c r="N1331" s="14">
        <f>'PIVOT TABLES'!$I$27-'PIVOT TABLES'!$I$26</f>
        <v>32.802000000000007</v>
      </c>
      <c r="O1331" s="14">
        <f>'PIVOT TABLES'!$I$28-'PIVOT TABLES'!$I$27</f>
        <v>32.801999999999992</v>
      </c>
      <c r="P1331" s="14">
        <f>200-SUM(Table3[[#This Row],[M - LIGHT]:[M - VIGOROUS]])</f>
        <v>68.792000000000002</v>
      </c>
      <c r="Q1331" s="14">
        <f>'PIVOT TABLES'!$P$26</f>
        <v>62.64</v>
      </c>
      <c r="R1331" s="14">
        <f>'PIVOT TABLES'!$P$27-'PIVOT TABLES'!$P$26</f>
        <v>31.320000000000007</v>
      </c>
      <c r="S1331" s="14">
        <f>'PIVOT TABLES'!$P$28-'PIVOT TABLES'!$P$27</f>
        <v>31.319999999999993</v>
      </c>
      <c r="T1331" s="14">
        <f>200-SUM(Table3[[#This Row],[W - LIGHT]:[W - VIGOROUS]])</f>
        <v>74.72</v>
      </c>
      <c r="U1331" s="14">
        <f>'PIVOT TABLES'!$W$26</f>
        <v>55.895999999999994</v>
      </c>
      <c r="V1331" s="14">
        <f>'PIVOT TABLES'!$W$27-'PIVOT TABLES'!$W$26</f>
        <v>27.948</v>
      </c>
      <c r="W1331" s="14">
        <f>'PIVOT TABLES'!$W$28-'PIVOT TABLES'!$W$27</f>
        <v>27.947999999999993</v>
      </c>
      <c r="X1331" s="14">
        <f>200-SUM(Table3[[#This Row],[S - LIGHT]:[S - VIGOROUS]])</f>
        <v>88.208000000000013</v>
      </c>
    </row>
    <row r="1332" spans="1:24" x14ac:dyDescent="0.25">
      <c r="A1332" s="44" t="s">
        <v>70</v>
      </c>
      <c r="B1332" s="64" t="str">
        <f t="shared" ref="B1332:B1355" si="22">IF(A1332="Sihle Gum","Defender",IF(A1332="Kenny Langa","Defender",IF(A1332="Tshepang Makara","Defender",IF(A1332="Tshepiso Mahlangu","Defender",IF(A1332="Neo Ramashala","Defender",IF(A1332="Keabetswe Nkogatse","Defender",IF(A1332="Kaketso Harold Majadibodu","Defender",IF(A1332="Samuel Julies","Midfielder",IF(A1332="Frank Mpedi","Midfielder",IF(A1332="Sapholwethu Kelepu","Midfielder",IF(A1332="Manelisi Sithole","Midfielder",IF(A1332="Thabiso Mokoena","Midfielder",IF(A1332="Khomotso Marebane","Midfielder",IF(A1332="Tebogo Mohlamonyane","Midfielder",IF(A1332="Thulani Zandamela","Midfielder",IF(A1332="Mdevulana Camagu","Midfielder",IF(A1332="Promise Mkhuma","Midfielder",IF(A1332="Essien Makwarimba","Midfielder",IF(A1332="Ayanda Mvambi","Winger",IF(A1332="Delano Abrahams","Winger",IF(A1332="Thokozani Sekotlong","Winger",IF(A1332="Maselaelo Seanego","Winger",IF(A1332="Lesedi Motha","Winger",IF(A1332="Malekgene Mampuru","Winger",IF(A1332="Matome Rangata","Winger",IF(A1332="Thabang Sibanyoni","Striker",IF(A1332="Tebogo Makungo","Striker",IF(A1332="Neo Dikgale","Striker",IF(A1332="Kamohelo Pheeane","Striker",IF(A1332="Athenkosi Tonisi","Striker",IF(A1332="Jesse Francis","Striker","####")))))))))))))))))))))))))))))))</f>
        <v>Winger</v>
      </c>
      <c r="C1332" s="7">
        <v>45377</v>
      </c>
      <c r="D1332" s="14">
        <v>10347</v>
      </c>
      <c r="E1332" s="14">
        <v>377</v>
      </c>
      <c r="F1332" s="14">
        <v>47</v>
      </c>
      <c r="G1332" s="14">
        <v>50</v>
      </c>
      <c r="H1332" s="14">
        <v>117.66</v>
      </c>
      <c r="I1332" s="14">
        <f>'PIVOT TABLES'!$B$26</f>
        <v>60.283999999999999</v>
      </c>
      <c r="J1332" s="14">
        <f>'PIVOT TABLES'!$B$27-'PIVOT TABLES'!$B$26</f>
        <v>30.142000000000003</v>
      </c>
      <c r="K1332" s="14">
        <f>'PIVOT TABLES'!$B$28-'PIVOT TABLES'!$B$27</f>
        <v>30.141999999999996</v>
      </c>
      <c r="L1332" s="14">
        <f>200-SUM(Table3[[#This Row],[D - LIGHT]:[D - VIGOROUS]])</f>
        <v>79.432000000000002</v>
      </c>
      <c r="M1332" s="14">
        <f>'PIVOT TABLES'!$I$26</f>
        <v>65.603999999999999</v>
      </c>
      <c r="N1332" s="14">
        <f>'PIVOT TABLES'!$I$27-'PIVOT TABLES'!$I$26</f>
        <v>32.802000000000007</v>
      </c>
      <c r="O1332" s="14">
        <f>'PIVOT TABLES'!$I$28-'PIVOT TABLES'!$I$27</f>
        <v>32.801999999999992</v>
      </c>
      <c r="P1332" s="14">
        <f>200-SUM(Table3[[#This Row],[M - LIGHT]:[M - VIGOROUS]])</f>
        <v>68.792000000000002</v>
      </c>
      <c r="Q1332" s="14">
        <f>'PIVOT TABLES'!$P$26</f>
        <v>62.64</v>
      </c>
      <c r="R1332" s="14">
        <f>'PIVOT TABLES'!$P$27-'PIVOT TABLES'!$P$26</f>
        <v>31.320000000000007</v>
      </c>
      <c r="S1332" s="14">
        <f>'PIVOT TABLES'!$P$28-'PIVOT TABLES'!$P$27</f>
        <v>31.319999999999993</v>
      </c>
      <c r="T1332" s="14">
        <f>200-SUM(Table3[[#This Row],[W - LIGHT]:[W - VIGOROUS]])</f>
        <v>74.72</v>
      </c>
      <c r="U1332" s="14">
        <f>'PIVOT TABLES'!$W$26</f>
        <v>55.895999999999994</v>
      </c>
      <c r="V1332" s="14">
        <f>'PIVOT TABLES'!$W$27-'PIVOT TABLES'!$W$26</f>
        <v>27.948</v>
      </c>
      <c r="W1332" s="14">
        <f>'PIVOT TABLES'!$W$28-'PIVOT TABLES'!$W$27</f>
        <v>27.947999999999993</v>
      </c>
      <c r="X1332" s="14">
        <f>200-SUM(Table3[[#This Row],[S - LIGHT]:[S - VIGOROUS]])</f>
        <v>88.208000000000013</v>
      </c>
    </row>
    <row r="1333" spans="1:24" x14ac:dyDescent="0.25">
      <c r="A1333" s="44" t="s">
        <v>53</v>
      </c>
      <c r="B1333" s="64" t="str">
        <f t="shared" si="22"/>
        <v>Midfielder</v>
      </c>
      <c r="C1333" s="7">
        <v>45377</v>
      </c>
      <c r="D1333" s="14">
        <v>11202</v>
      </c>
      <c r="E1333" s="14">
        <v>141</v>
      </c>
      <c r="F1333" s="14">
        <v>23</v>
      </c>
      <c r="G1333" s="14">
        <v>41</v>
      </c>
      <c r="H1333" s="14">
        <v>117.99</v>
      </c>
      <c r="I1333" s="14">
        <f>'PIVOT TABLES'!$B$26</f>
        <v>60.283999999999999</v>
      </c>
      <c r="J1333" s="14">
        <f>'PIVOT TABLES'!$B$27-'PIVOT TABLES'!$B$26</f>
        <v>30.142000000000003</v>
      </c>
      <c r="K1333" s="14">
        <f>'PIVOT TABLES'!$B$28-'PIVOT TABLES'!$B$27</f>
        <v>30.141999999999996</v>
      </c>
      <c r="L1333" s="14">
        <f>200-SUM(Table3[[#This Row],[D - LIGHT]:[D - VIGOROUS]])</f>
        <v>79.432000000000002</v>
      </c>
      <c r="M1333" s="14">
        <f>'PIVOT TABLES'!$I$26</f>
        <v>65.603999999999999</v>
      </c>
      <c r="N1333" s="14">
        <f>'PIVOT TABLES'!$I$27-'PIVOT TABLES'!$I$26</f>
        <v>32.802000000000007</v>
      </c>
      <c r="O1333" s="14">
        <f>'PIVOT TABLES'!$I$28-'PIVOT TABLES'!$I$27</f>
        <v>32.801999999999992</v>
      </c>
      <c r="P1333" s="14">
        <f>200-SUM(Table3[[#This Row],[M - LIGHT]:[M - VIGOROUS]])</f>
        <v>68.792000000000002</v>
      </c>
      <c r="Q1333" s="14">
        <f>'PIVOT TABLES'!$P$26</f>
        <v>62.64</v>
      </c>
      <c r="R1333" s="14">
        <f>'PIVOT TABLES'!$P$27-'PIVOT TABLES'!$P$26</f>
        <v>31.320000000000007</v>
      </c>
      <c r="S1333" s="14">
        <f>'PIVOT TABLES'!$P$28-'PIVOT TABLES'!$P$27</f>
        <v>31.319999999999993</v>
      </c>
      <c r="T1333" s="14">
        <f>200-SUM(Table3[[#This Row],[W - LIGHT]:[W - VIGOROUS]])</f>
        <v>74.72</v>
      </c>
      <c r="U1333" s="14">
        <f>'PIVOT TABLES'!$W$26</f>
        <v>55.895999999999994</v>
      </c>
      <c r="V1333" s="14">
        <f>'PIVOT TABLES'!$W$27-'PIVOT TABLES'!$W$26</f>
        <v>27.948</v>
      </c>
      <c r="W1333" s="14">
        <f>'PIVOT TABLES'!$W$28-'PIVOT TABLES'!$W$27</f>
        <v>27.947999999999993</v>
      </c>
      <c r="X1333" s="14">
        <f>200-SUM(Table3[[#This Row],[S - LIGHT]:[S - VIGOROUS]])</f>
        <v>88.208000000000013</v>
      </c>
    </row>
    <row r="1334" spans="1:24" x14ac:dyDescent="0.25">
      <c r="A1334" s="44" t="s">
        <v>55</v>
      </c>
      <c r="B1334" s="64" t="str">
        <f t="shared" si="22"/>
        <v>Striker</v>
      </c>
      <c r="C1334" s="7">
        <v>45377</v>
      </c>
      <c r="D1334" s="14">
        <v>3352</v>
      </c>
      <c r="E1334" s="14">
        <v>59</v>
      </c>
      <c r="F1334" s="14">
        <v>5</v>
      </c>
      <c r="G1334" s="14">
        <v>15</v>
      </c>
      <c r="H1334" s="14">
        <v>35.79</v>
      </c>
      <c r="I1334" s="14">
        <f>'PIVOT TABLES'!$B$26</f>
        <v>60.283999999999999</v>
      </c>
      <c r="J1334" s="14">
        <f>'PIVOT TABLES'!$B$27-'PIVOT TABLES'!$B$26</f>
        <v>30.142000000000003</v>
      </c>
      <c r="K1334" s="14">
        <f>'PIVOT TABLES'!$B$28-'PIVOT TABLES'!$B$27</f>
        <v>30.141999999999996</v>
      </c>
      <c r="L1334" s="14">
        <f>200-SUM(Table3[[#This Row],[D - LIGHT]:[D - VIGOROUS]])</f>
        <v>79.432000000000002</v>
      </c>
      <c r="M1334" s="14">
        <f>'PIVOT TABLES'!$I$26</f>
        <v>65.603999999999999</v>
      </c>
      <c r="N1334" s="14">
        <f>'PIVOT TABLES'!$I$27-'PIVOT TABLES'!$I$26</f>
        <v>32.802000000000007</v>
      </c>
      <c r="O1334" s="14">
        <f>'PIVOT TABLES'!$I$28-'PIVOT TABLES'!$I$27</f>
        <v>32.801999999999992</v>
      </c>
      <c r="P1334" s="14">
        <f>200-SUM(Table3[[#This Row],[M - LIGHT]:[M - VIGOROUS]])</f>
        <v>68.792000000000002</v>
      </c>
      <c r="Q1334" s="14">
        <f>'PIVOT TABLES'!$P$26</f>
        <v>62.64</v>
      </c>
      <c r="R1334" s="14">
        <f>'PIVOT TABLES'!$P$27-'PIVOT TABLES'!$P$26</f>
        <v>31.320000000000007</v>
      </c>
      <c r="S1334" s="14">
        <f>'PIVOT TABLES'!$P$28-'PIVOT TABLES'!$P$27</f>
        <v>31.319999999999993</v>
      </c>
      <c r="T1334" s="14">
        <f>200-SUM(Table3[[#This Row],[W - LIGHT]:[W - VIGOROUS]])</f>
        <v>74.72</v>
      </c>
      <c r="U1334" s="14">
        <f>'PIVOT TABLES'!$W$26</f>
        <v>55.895999999999994</v>
      </c>
      <c r="V1334" s="14">
        <f>'PIVOT TABLES'!$W$27-'PIVOT TABLES'!$W$26</f>
        <v>27.948</v>
      </c>
      <c r="W1334" s="14">
        <f>'PIVOT TABLES'!$W$28-'PIVOT TABLES'!$W$27</f>
        <v>27.947999999999993</v>
      </c>
      <c r="X1334" s="14">
        <f>200-SUM(Table3[[#This Row],[S - LIGHT]:[S - VIGOROUS]])</f>
        <v>88.208000000000013</v>
      </c>
    </row>
    <row r="1335" spans="1:24" x14ac:dyDescent="0.25">
      <c r="A1335" s="44" t="s">
        <v>1</v>
      </c>
      <c r="B1335" s="64" t="str">
        <f t="shared" si="22"/>
        <v>Defender</v>
      </c>
      <c r="C1335" s="7">
        <v>45377</v>
      </c>
      <c r="D1335" s="14">
        <v>10291</v>
      </c>
      <c r="E1335" s="14">
        <v>169</v>
      </c>
      <c r="F1335" s="14">
        <v>26</v>
      </c>
      <c r="G1335" s="14">
        <v>18</v>
      </c>
      <c r="H1335" s="14">
        <v>109.38</v>
      </c>
      <c r="I1335" s="14">
        <f>'PIVOT TABLES'!$B$26</f>
        <v>60.283999999999999</v>
      </c>
      <c r="J1335" s="14">
        <f>'PIVOT TABLES'!$B$27-'PIVOT TABLES'!$B$26</f>
        <v>30.142000000000003</v>
      </c>
      <c r="K1335" s="14">
        <f>'PIVOT TABLES'!$B$28-'PIVOT TABLES'!$B$27</f>
        <v>30.141999999999996</v>
      </c>
      <c r="L1335" s="14">
        <f>200-SUM(Table3[[#This Row],[D - LIGHT]:[D - VIGOROUS]])</f>
        <v>79.432000000000002</v>
      </c>
      <c r="M1335" s="14">
        <f>'PIVOT TABLES'!$I$26</f>
        <v>65.603999999999999</v>
      </c>
      <c r="N1335" s="14">
        <f>'PIVOT TABLES'!$I$27-'PIVOT TABLES'!$I$26</f>
        <v>32.802000000000007</v>
      </c>
      <c r="O1335" s="14">
        <f>'PIVOT TABLES'!$I$28-'PIVOT TABLES'!$I$27</f>
        <v>32.801999999999992</v>
      </c>
      <c r="P1335" s="14">
        <f>200-SUM(Table3[[#This Row],[M - LIGHT]:[M - VIGOROUS]])</f>
        <v>68.792000000000002</v>
      </c>
      <c r="Q1335" s="14">
        <f>'PIVOT TABLES'!$P$26</f>
        <v>62.64</v>
      </c>
      <c r="R1335" s="14">
        <f>'PIVOT TABLES'!$P$27-'PIVOT TABLES'!$P$26</f>
        <v>31.320000000000007</v>
      </c>
      <c r="S1335" s="14">
        <f>'PIVOT TABLES'!$P$28-'PIVOT TABLES'!$P$27</f>
        <v>31.319999999999993</v>
      </c>
      <c r="T1335" s="14">
        <f>200-SUM(Table3[[#This Row],[W - LIGHT]:[W - VIGOROUS]])</f>
        <v>74.72</v>
      </c>
      <c r="U1335" s="14">
        <f>'PIVOT TABLES'!$W$26</f>
        <v>55.895999999999994</v>
      </c>
      <c r="V1335" s="14">
        <f>'PIVOT TABLES'!$W$27-'PIVOT TABLES'!$W$26</f>
        <v>27.948</v>
      </c>
      <c r="W1335" s="14">
        <f>'PIVOT TABLES'!$W$28-'PIVOT TABLES'!$W$27</f>
        <v>27.947999999999993</v>
      </c>
      <c r="X1335" s="14">
        <f>200-SUM(Table3[[#This Row],[S - LIGHT]:[S - VIGOROUS]])</f>
        <v>88.208000000000013</v>
      </c>
    </row>
    <row r="1336" spans="1:24" x14ac:dyDescent="0.25">
      <c r="A1336" s="44" t="s">
        <v>56</v>
      </c>
      <c r="B1336" s="64" t="str">
        <f t="shared" si="22"/>
        <v>Midfielder</v>
      </c>
      <c r="C1336" s="7">
        <v>45377</v>
      </c>
      <c r="D1336" s="14">
        <v>11896</v>
      </c>
      <c r="E1336" s="14">
        <v>129</v>
      </c>
      <c r="F1336" s="14">
        <v>52</v>
      </c>
      <c r="G1336" s="14">
        <v>18</v>
      </c>
      <c r="H1336" s="14">
        <v>125.27</v>
      </c>
      <c r="I1336" s="14">
        <f>'PIVOT TABLES'!$B$26</f>
        <v>60.283999999999999</v>
      </c>
      <c r="J1336" s="14">
        <f>'PIVOT TABLES'!$B$27-'PIVOT TABLES'!$B$26</f>
        <v>30.142000000000003</v>
      </c>
      <c r="K1336" s="14">
        <f>'PIVOT TABLES'!$B$28-'PIVOT TABLES'!$B$27</f>
        <v>30.141999999999996</v>
      </c>
      <c r="L1336" s="14">
        <f>200-SUM(Table3[[#This Row],[D - LIGHT]:[D - VIGOROUS]])</f>
        <v>79.432000000000002</v>
      </c>
      <c r="M1336" s="14">
        <f>'PIVOT TABLES'!$I$26</f>
        <v>65.603999999999999</v>
      </c>
      <c r="N1336" s="14">
        <f>'PIVOT TABLES'!$I$27-'PIVOT TABLES'!$I$26</f>
        <v>32.802000000000007</v>
      </c>
      <c r="O1336" s="14">
        <f>'PIVOT TABLES'!$I$28-'PIVOT TABLES'!$I$27</f>
        <v>32.801999999999992</v>
      </c>
      <c r="P1336" s="14">
        <f>200-SUM(Table3[[#This Row],[M - LIGHT]:[M - VIGOROUS]])</f>
        <v>68.792000000000002</v>
      </c>
      <c r="Q1336" s="14">
        <f>'PIVOT TABLES'!$P$26</f>
        <v>62.64</v>
      </c>
      <c r="R1336" s="14">
        <f>'PIVOT TABLES'!$P$27-'PIVOT TABLES'!$P$26</f>
        <v>31.320000000000007</v>
      </c>
      <c r="S1336" s="14">
        <f>'PIVOT TABLES'!$P$28-'PIVOT TABLES'!$P$27</f>
        <v>31.319999999999993</v>
      </c>
      <c r="T1336" s="14">
        <f>200-SUM(Table3[[#This Row],[W - LIGHT]:[W - VIGOROUS]])</f>
        <v>74.72</v>
      </c>
      <c r="U1336" s="14">
        <f>'PIVOT TABLES'!$W$26</f>
        <v>55.895999999999994</v>
      </c>
      <c r="V1336" s="14">
        <f>'PIVOT TABLES'!$W$27-'PIVOT TABLES'!$W$26</f>
        <v>27.948</v>
      </c>
      <c r="W1336" s="14">
        <f>'PIVOT TABLES'!$W$28-'PIVOT TABLES'!$W$27</f>
        <v>27.947999999999993</v>
      </c>
      <c r="X1336" s="14">
        <f>200-SUM(Table3[[#This Row],[S - LIGHT]:[S - VIGOROUS]])</f>
        <v>88.208000000000013</v>
      </c>
    </row>
    <row r="1337" spans="1:24" x14ac:dyDescent="0.25">
      <c r="A1337" s="44" t="s">
        <v>58</v>
      </c>
      <c r="B1337" s="64" t="str">
        <f t="shared" si="22"/>
        <v>Defender</v>
      </c>
      <c r="C1337" s="7">
        <v>45377</v>
      </c>
      <c r="D1337" s="14">
        <v>9948</v>
      </c>
      <c r="E1337" s="14">
        <v>114</v>
      </c>
      <c r="F1337" s="14">
        <v>39</v>
      </c>
      <c r="G1337" s="14">
        <v>31</v>
      </c>
      <c r="H1337" s="14">
        <v>105.08</v>
      </c>
      <c r="I1337" s="14">
        <f>'PIVOT TABLES'!$B$26</f>
        <v>60.283999999999999</v>
      </c>
      <c r="J1337" s="14">
        <f>'PIVOT TABLES'!$B$27-'PIVOT TABLES'!$B$26</f>
        <v>30.142000000000003</v>
      </c>
      <c r="K1337" s="14">
        <f>'PIVOT TABLES'!$B$28-'PIVOT TABLES'!$B$27</f>
        <v>30.141999999999996</v>
      </c>
      <c r="L1337" s="14">
        <f>200-SUM(Table3[[#This Row],[D - LIGHT]:[D - VIGOROUS]])</f>
        <v>79.432000000000002</v>
      </c>
      <c r="M1337" s="14">
        <f>'PIVOT TABLES'!$I$26</f>
        <v>65.603999999999999</v>
      </c>
      <c r="N1337" s="14">
        <f>'PIVOT TABLES'!$I$27-'PIVOT TABLES'!$I$26</f>
        <v>32.802000000000007</v>
      </c>
      <c r="O1337" s="14">
        <f>'PIVOT TABLES'!$I$28-'PIVOT TABLES'!$I$27</f>
        <v>32.801999999999992</v>
      </c>
      <c r="P1337" s="14">
        <f>200-SUM(Table3[[#This Row],[M - LIGHT]:[M - VIGOROUS]])</f>
        <v>68.792000000000002</v>
      </c>
      <c r="Q1337" s="14">
        <f>'PIVOT TABLES'!$P$26</f>
        <v>62.64</v>
      </c>
      <c r="R1337" s="14">
        <f>'PIVOT TABLES'!$P$27-'PIVOT TABLES'!$P$26</f>
        <v>31.320000000000007</v>
      </c>
      <c r="S1337" s="14">
        <f>'PIVOT TABLES'!$P$28-'PIVOT TABLES'!$P$27</f>
        <v>31.319999999999993</v>
      </c>
      <c r="T1337" s="14">
        <f>200-SUM(Table3[[#This Row],[W - LIGHT]:[W - VIGOROUS]])</f>
        <v>74.72</v>
      </c>
      <c r="U1337" s="14">
        <f>'PIVOT TABLES'!$W$26</f>
        <v>55.895999999999994</v>
      </c>
      <c r="V1337" s="14">
        <f>'PIVOT TABLES'!$W$27-'PIVOT TABLES'!$W$26</f>
        <v>27.948</v>
      </c>
      <c r="W1337" s="14">
        <f>'PIVOT TABLES'!$W$28-'PIVOT TABLES'!$W$27</f>
        <v>27.947999999999993</v>
      </c>
      <c r="X1337" s="14">
        <f>200-SUM(Table3[[#This Row],[S - LIGHT]:[S - VIGOROUS]])</f>
        <v>88.208000000000013</v>
      </c>
    </row>
    <row r="1338" spans="1:24" x14ac:dyDescent="0.25">
      <c r="A1338" s="44" t="s">
        <v>94</v>
      </c>
      <c r="B1338" s="64" t="str">
        <f t="shared" si="22"/>
        <v>Defender</v>
      </c>
      <c r="C1338" s="7">
        <v>45377</v>
      </c>
      <c r="D1338" s="14">
        <v>9863</v>
      </c>
      <c r="E1338" s="14">
        <v>522</v>
      </c>
      <c r="F1338" s="14">
        <v>32</v>
      </c>
      <c r="G1338" s="14">
        <v>31</v>
      </c>
      <c r="H1338" s="14">
        <v>116.19</v>
      </c>
      <c r="I1338" s="14">
        <f>'PIVOT TABLES'!$B$26</f>
        <v>60.283999999999999</v>
      </c>
      <c r="J1338" s="14">
        <f>'PIVOT TABLES'!$B$27-'PIVOT TABLES'!$B$26</f>
        <v>30.142000000000003</v>
      </c>
      <c r="K1338" s="14">
        <f>'PIVOT TABLES'!$B$28-'PIVOT TABLES'!$B$27</f>
        <v>30.141999999999996</v>
      </c>
      <c r="L1338" s="14">
        <f>200-SUM(Table3[[#This Row],[D - LIGHT]:[D - VIGOROUS]])</f>
        <v>79.432000000000002</v>
      </c>
      <c r="M1338" s="14">
        <f>'PIVOT TABLES'!$I$26</f>
        <v>65.603999999999999</v>
      </c>
      <c r="N1338" s="14">
        <f>'PIVOT TABLES'!$I$27-'PIVOT TABLES'!$I$26</f>
        <v>32.802000000000007</v>
      </c>
      <c r="O1338" s="14">
        <f>'PIVOT TABLES'!$I$28-'PIVOT TABLES'!$I$27</f>
        <v>32.801999999999992</v>
      </c>
      <c r="P1338" s="14">
        <f>200-SUM(Table3[[#This Row],[M - LIGHT]:[M - VIGOROUS]])</f>
        <v>68.792000000000002</v>
      </c>
      <c r="Q1338" s="14">
        <f>'PIVOT TABLES'!$P$26</f>
        <v>62.64</v>
      </c>
      <c r="R1338" s="14">
        <f>'PIVOT TABLES'!$P$27-'PIVOT TABLES'!$P$26</f>
        <v>31.320000000000007</v>
      </c>
      <c r="S1338" s="14">
        <f>'PIVOT TABLES'!$P$28-'PIVOT TABLES'!$P$27</f>
        <v>31.319999999999993</v>
      </c>
      <c r="T1338" s="14">
        <f>200-SUM(Table3[[#This Row],[W - LIGHT]:[W - VIGOROUS]])</f>
        <v>74.72</v>
      </c>
      <c r="U1338" s="14">
        <f>'PIVOT TABLES'!$W$26</f>
        <v>55.895999999999994</v>
      </c>
      <c r="V1338" s="14">
        <f>'PIVOT TABLES'!$W$27-'PIVOT TABLES'!$W$26</f>
        <v>27.948</v>
      </c>
      <c r="W1338" s="14">
        <f>'PIVOT TABLES'!$W$28-'PIVOT TABLES'!$W$27</f>
        <v>27.947999999999993</v>
      </c>
      <c r="X1338" s="14">
        <f>200-SUM(Table3[[#This Row],[S - LIGHT]:[S - VIGOROUS]])</f>
        <v>88.208000000000013</v>
      </c>
    </row>
    <row r="1339" spans="1:24" x14ac:dyDescent="0.25">
      <c r="A1339" s="44" t="s">
        <v>3</v>
      </c>
      <c r="B1339" s="64" t="str">
        <f t="shared" si="22"/>
        <v>Defender</v>
      </c>
      <c r="C1339" s="7">
        <v>45377</v>
      </c>
      <c r="D1339" s="14">
        <v>6589</v>
      </c>
      <c r="E1339" s="14">
        <v>98</v>
      </c>
      <c r="F1339" s="14">
        <v>14</v>
      </c>
      <c r="G1339" s="14">
        <v>23</v>
      </c>
      <c r="H1339" s="14">
        <v>69.849999999999994</v>
      </c>
      <c r="I1339" s="14">
        <f>'PIVOT TABLES'!$B$26</f>
        <v>60.283999999999999</v>
      </c>
      <c r="J1339" s="14">
        <f>'PIVOT TABLES'!$B$27-'PIVOT TABLES'!$B$26</f>
        <v>30.142000000000003</v>
      </c>
      <c r="K1339" s="14">
        <f>'PIVOT TABLES'!$B$28-'PIVOT TABLES'!$B$27</f>
        <v>30.141999999999996</v>
      </c>
      <c r="L1339" s="14">
        <f>200-SUM(Table3[[#This Row],[D - LIGHT]:[D - VIGOROUS]])</f>
        <v>79.432000000000002</v>
      </c>
      <c r="M1339" s="14">
        <f>'PIVOT TABLES'!$I$26</f>
        <v>65.603999999999999</v>
      </c>
      <c r="N1339" s="14">
        <f>'PIVOT TABLES'!$I$27-'PIVOT TABLES'!$I$26</f>
        <v>32.802000000000007</v>
      </c>
      <c r="O1339" s="14">
        <f>'PIVOT TABLES'!$I$28-'PIVOT TABLES'!$I$27</f>
        <v>32.801999999999992</v>
      </c>
      <c r="P1339" s="14">
        <f>200-SUM(Table3[[#This Row],[M - LIGHT]:[M - VIGOROUS]])</f>
        <v>68.792000000000002</v>
      </c>
      <c r="Q1339" s="14">
        <f>'PIVOT TABLES'!$P$26</f>
        <v>62.64</v>
      </c>
      <c r="R1339" s="14">
        <f>'PIVOT TABLES'!$P$27-'PIVOT TABLES'!$P$26</f>
        <v>31.320000000000007</v>
      </c>
      <c r="S1339" s="14">
        <f>'PIVOT TABLES'!$P$28-'PIVOT TABLES'!$P$27</f>
        <v>31.319999999999993</v>
      </c>
      <c r="T1339" s="14">
        <f>200-SUM(Table3[[#This Row],[W - LIGHT]:[W - VIGOROUS]])</f>
        <v>74.72</v>
      </c>
      <c r="U1339" s="14">
        <f>'PIVOT TABLES'!$W$26</f>
        <v>55.895999999999994</v>
      </c>
      <c r="V1339" s="14">
        <f>'PIVOT TABLES'!$W$27-'PIVOT TABLES'!$W$26</f>
        <v>27.948</v>
      </c>
      <c r="W1339" s="14">
        <f>'PIVOT TABLES'!$W$28-'PIVOT TABLES'!$W$27</f>
        <v>27.947999999999993</v>
      </c>
      <c r="X1339" s="14">
        <f>200-SUM(Table3[[#This Row],[S - LIGHT]:[S - VIGOROUS]])</f>
        <v>88.208000000000013</v>
      </c>
    </row>
    <row r="1340" spans="1:24" x14ac:dyDescent="0.25">
      <c r="A1340" s="44" t="s">
        <v>59</v>
      </c>
      <c r="B1340" s="64" t="str">
        <f t="shared" si="22"/>
        <v>Striker</v>
      </c>
      <c r="C1340" s="7">
        <v>45377</v>
      </c>
      <c r="D1340" s="14">
        <v>6202</v>
      </c>
      <c r="E1340" s="14">
        <v>115</v>
      </c>
      <c r="F1340" s="14">
        <v>22</v>
      </c>
      <c r="G1340" s="14">
        <v>21</v>
      </c>
      <c r="H1340" s="14">
        <v>66.77</v>
      </c>
      <c r="I1340" s="14">
        <f>'PIVOT TABLES'!$B$26</f>
        <v>60.283999999999999</v>
      </c>
      <c r="J1340" s="14">
        <f>'PIVOT TABLES'!$B$27-'PIVOT TABLES'!$B$26</f>
        <v>30.142000000000003</v>
      </c>
      <c r="K1340" s="14">
        <f>'PIVOT TABLES'!$B$28-'PIVOT TABLES'!$B$27</f>
        <v>30.141999999999996</v>
      </c>
      <c r="L1340" s="14">
        <f>200-SUM(Table3[[#This Row],[D - LIGHT]:[D - VIGOROUS]])</f>
        <v>79.432000000000002</v>
      </c>
      <c r="M1340" s="14">
        <f>'PIVOT TABLES'!$I$26</f>
        <v>65.603999999999999</v>
      </c>
      <c r="N1340" s="14">
        <f>'PIVOT TABLES'!$I$27-'PIVOT TABLES'!$I$26</f>
        <v>32.802000000000007</v>
      </c>
      <c r="O1340" s="14">
        <f>'PIVOT TABLES'!$I$28-'PIVOT TABLES'!$I$27</f>
        <v>32.801999999999992</v>
      </c>
      <c r="P1340" s="14">
        <f>200-SUM(Table3[[#This Row],[M - LIGHT]:[M - VIGOROUS]])</f>
        <v>68.792000000000002</v>
      </c>
      <c r="Q1340" s="14">
        <f>'PIVOT TABLES'!$P$26</f>
        <v>62.64</v>
      </c>
      <c r="R1340" s="14">
        <f>'PIVOT TABLES'!$P$27-'PIVOT TABLES'!$P$26</f>
        <v>31.320000000000007</v>
      </c>
      <c r="S1340" s="14">
        <f>'PIVOT TABLES'!$P$28-'PIVOT TABLES'!$P$27</f>
        <v>31.319999999999993</v>
      </c>
      <c r="T1340" s="14">
        <f>200-SUM(Table3[[#This Row],[W - LIGHT]:[W - VIGOROUS]])</f>
        <v>74.72</v>
      </c>
      <c r="U1340" s="14">
        <f>'PIVOT TABLES'!$W$26</f>
        <v>55.895999999999994</v>
      </c>
      <c r="V1340" s="14">
        <f>'PIVOT TABLES'!$W$27-'PIVOT TABLES'!$W$26</f>
        <v>27.948</v>
      </c>
      <c r="W1340" s="14">
        <f>'PIVOT TABLES'!$W$28-'PIVOT TABLES'!$W$27</f>
        <v>27.947999999999993</v>
      </c>
      <c r="X1340" s="14">
        <f>200-SUM(Table3[[#This Row],[S - LIGHT]:[S - VIGOROUS]])</f>
        <v>88.208000000000013</v>
      </c>
    </row>
    <row r="1341" spans="1:24" x14ac:dyDescent="0.25">
      <c r="A1341" s="44" t="s">
        <v>4</v>
      </c>
      <c r="B1341" s="64" t="str">
        <f t="shared" si="22"/>
        <v>Midfielder</v>
      </c>
      <c r="C1341" s="7">
        <v>45377</v>
      </c>
      <c r="D1341" s="14">
        <v>1197</v>
      </c>
      <c r="E1341" s="14">
        <v>0</v>
      </c>
      <c r="F1341" s="14">
        <v>0</v>
      </c>
      <c r="G1341" s="14">
        <v>1</v>
      </c>
      <c r="H1341" s="14">
        <v>11.99</v>
      </c>
      <c r="I1341" s="14">
        <f>'PIVOT TABLES'!$B$26</f>
        <v>60.283999999999999</v>
      </c>
      <c r="J1341" s="14">
        <f>'PIVOT TABLES'!$B$27-'PIVOT TABLES'!$B$26</f>
        <v>30.142000000000003</v>
      </c>
      <c r="K1341" s="14">
        <f>'PIVOT TABLES'!$B$28-'PIVOT TABLES'!$B$27</f>
        <v>30.141999999999996</v>
      </c>
      <c r="L1341" s="14">
        <f>200-SUM(Table3[[#This Row],[D - LIGHT]:[D - VIGOROUS]])</f>
        <v>79.432000000000002</v>
      </c>
      <c r="M1341" s="14">
        <f>'PIVOT TABLES'!$I$26</f>
        <v>65.603999999999999</v>
      </c>
      <c r="N1341" s="14">
        <f>'PIVOT TABLES'!$I$27-'PIVOT TABLES'!$I$26</f>
        <v>32.802000000000007</v>
      </c>
      <c r="O1341" s="14">
        <f>'PIVOT TABLES'!$I$28-'PIVOT TABLES'!$I$27</f>
        <v>32.801999999999992</v>
      </c>
      <c r="P1341" s="14">
        <f>200-SUM(Table3[[#This Row],[M - LIGHT]:[M - VIGOROUS]])</f>
        <v>68.792000000000002</v>
      </c>
      <c r="Q1341" s="14">
        <f>'PIVOT TABLES'!$P$26</f>
        <v>62.64</v>
      </c>
      <c r="R1341" s="14">
        <f>'PIVOT TABLES'!$P$27-'PIVOT TABLES'!$P$26</f>
        <v>31.320000000000007</v>
      </c>
      <c r="S1341" s="14">
        <f>'PIVOT TABLES'!$P$28-'PIVOT TABLES'!$P$27</f>
        <v>31.319999999999993</v>
      </c>
      <c r="T1341" s="14">
        <f>200-SUM(Table3[[#This Row],[W - LIGHT]:[W - VIGOROUS]])</f>
        <v>74.72</v>
      </c>
      <c r="U1341" s="14">
        <f>'PIVOT TABLES'!$W$26</f>
        <v>55.895999999999994</v>
      </c>
      <c r="V1341" s="14">
        <f>'PIVOT TABLES'!$W$27-'PIVOT TABLES'!$W$26</f>
        <v>27.948</v>
      </c>
      <c r="W1341" s="14">
        <f>'PIVOT TABLES'!$W$28-'PIVOT TABLES'!$W$27</f>
        <v>27.947999999999993</v>
      </c>
      <c r="X1341" s="14">
        <f>200-SUM(Table3[[#This Row],[S - LIGHT]:[S - VIGOROUS]])</f>
        <v>88.208000000000013</v>
      </c>
    </row>
    <row r="1342" spans="1:24" x14ac:dyDescent="0.25">
      <c r="A1342" s="44" t="s">
        <v>60</v>
      </c>
      <c r="B1342" s="64" t="str">
        <f t="shared" si="22"/>
        <v>Winger</v>
      </c>
      <c r="C1342" s="7">
        <v>45377</v>
      </c>
      <c r="D1342" s="14">
        <v>1254</v>
      </c>
      <c r="E1342" s="14">
        <v>0</v>
      </c>
      <c r="F1342" s="14">
        <v>0</v>
      </c>
      <c r="G1342" s="14">
        <v>2</v>
      </c>
      <c r="H1342" s="14">
        <v>12.58</v>
      </c>
      <c r="I1342" s="14">
        <f>'PIVOT TABLES'!$B$26</f>
        <v>60.283999999999999</v>
      </c>
      <c r="J1342" s="14">
        <f>'PIVOT TABLES'!$B$27-'PIVOT TABLES'!$B$26</f>
        <v>30.142000000000003</v>
      </c>
      <c r="K1342" s="14">
        <f>'PIVOT TABLES'!$B$28-'PIVOT TABLES'!$B$27</f>
        <v>30.141999999999996</v>
      </c>
      <c r="L1342" s="14">
        <f>200-SUM(Table3[[#This Row],[D - LIGHT]:[D - VIGOROUS]])</f>
        <v>79.432000000000002</v>
      </c>
      <c r="M1342" s="14">
        <f>'PIVOT TABLES'!$I$26</f>
        <v>65.603999999999999</v>
      </c>
      <c r="N1342" s="14">
        <f>'PIVOT TABLES'!$I$27-'PIVOT TABLES'!$I$26</f>
        <v>32.802000000000007</v>
      </c>
      <c r="O1342" s="14">
        <f>'PIVOT TABLES'!$I$28-'PIVOT TABLES'!$I$27</f>
        <v>32.801999999999992</v>
      </c>
      <c r="P1342" s="14">
        <f>200-SUM(Table3[[#This Row],[M - LIGHT]:[M - VIGOROUS]])</f>
        <v>68.792000000000002</v>
      </c>
      <c r="Q1342" s="14">
        <f>'PIVOT TABLES'!$P$26</f>
        <v>62.64</v>
      </c>
      <c r="R1342" s="14">
        <f>'PIVOT TABLES'!$P$27-'PIVOT TABLES'!$P$26</f>
        <v>31.320000000000007</v>
      </c>
      <c r="S1342" s="14">
        <f>'PIVOT TABLES'!$P$28-'PIVOT TABLES'!$P$27</f>
        <v>31.319999999999993</v>
      </c>
      <c r="T1342" s="14">
        <f>200-SUM(Table3[[#This Row],[W - LIGHT]:[W - VIGOROUS]])</f>
        <v>74.72</v>
      </c>
      <c r="U1342" s="14">
        <f>'PIVOT TABLES'!$W$26</f>
        <v>55.895999999999994</v>
      </c>
      <c r="V1342" s="14">
        <f>'PIVOT TABLES'!$W$27-'PIVOT TABLES'!$W$26</f>
        <v>27.948</v>
      </c>
      <c r="W1342" s="14">
        <f>'PIVOT TABLES'!$W$28-'PIVOT TABLES'!$W$27</f>
        <v>27.947999999999993</v>
      </c>
      <c r="X1342" s="14">
        <f>200-SUM(Table3[[#This Row],[S - LIGHT]:[S - VIGOROUS]])</f>
        <v>88.208000000000013</v>
      </c>
    </row>
    <row r="1343" spans="1:24" x14ac:dyDescent="0.25">
      <c r="A1343" s="44" t="s">
        <v>71</v>
      </c>
      <c r="B1343" s="64" t="str">
        <f t="shared" si="22"/>
        <v>Midfielder</v>
      </c>
      <c r="C1343" s="7">
        <v>45377</v>
      </c>
      <c r="D1343" s="14">
        <v>6884</v>
      </c>
      <c r="E1343" s="14">
        <v>119</v>
      </c>
      <c r="F1343" s="14">
        <v>30</v>
      </c>
      <c r="G1343" s="14">
        <v>22</v>
      </c>
      <c r="H1343" s="14">
        <v>74.05</v>
      </c>
      <c r="I1343" s="14">
        <f>'PIVOT TABLES'!$B$26</f>
        <v>60.283999999999999</v>
      </c>
      <c r="J1343" s="14">
        <f>'PIVOT TABLES'!$B$27-'PIVOT TABLES'!$B$26</f>
        <v>30.142000000000003</v>
      </c>
      <c r="K1343" s="14">
        <f>'PIVOT TABLES'!$B$28-'PIVOT TABLES'!$B$27</f>
        <v>30.141999999999996</v>
      </c>
      <c r="L1343" s="14">
        <f>200-SUM(Table3[[#This Row],[D - LIGHT]:[D - VIGOROUS]])</f>
        <v>79.432000000000002</v>
      </c>
      <c r="M1343" s="14">
        <f>'PIVOT TABLES'!$I$26</f>
        <v>65.603999999999999</v>
      </c>
      <c r="N1343" s="14">
        <f>'PIVOT TABLES'!$I$27-'PIVOT TABLES'!$I$26</f>
        <v>32.802000000000007</v>
      </c>
      <c r="O1343" s="14">
        <f>'PIVOT TABLES'!$I$28-'PIVOT TABLES'!$I$27</f>
        <v>32.801999999999992</v>
      </c>
      <c r="P1343" s="14">
        <f>200-SUM(Table3[[#This Row],[M - LIGHT]:[M - VIGOROUS]])</f>
        <v>68.792000000000002</v>
      </c>
      <c r="Q1343" s="14">
        <f>'PIVOT TABLES'!$P$26</f>
        <v>62.64</v>
      </c>
      <c r="R1343" s="14">
        <f>'PIVOT TABLES'!$P$27-'PIVOT TABLES'!$P$26</f>
        <v>31.320000000000007</v>
      </c>
      <c r="S1343" s="14">
        <f>'PIVOT TABLES'!$P$28-'PIVOT TABLES'!$P$27</f>
        <v>31.319999999999993</v>
      </c>
      <c r="T1343" s="14">
        <f>200-SUM(Table3[[#This Row],[W - LIGHT]:[W - VIGOROUS]])</f>
        <v>74.72</v>
      </c>
      <c r="U1343" s="14">
        <f>'PIVOT TABLES'!$W$26</f>
        <v>55.895999999999994</v>
      </c>
      <c r="V1343" s="14">
        <f>'PIVOT TABLES'!$W$27-'PIVOT TABLES'!$W$26</f>
        <v>27.948</v>
      </c>
      <c r="W1343" s="14">
        <f>'PIVOT TABLES'!$W$28-'PIVOT TABLES'!$W$27</f>
        <v>27.947999999999993</v>
      </c>
      <c r="X1343" s="14">
        <f>200-SUM(Table3[[#This Row],[S - LIGHT]:[S - VIGOROUS]])</f>
        <v>88.208000000000013</v>
      </c>
    </row>
    <row r="1344" spans="1:24" x14ac:dyDescent="0.25">
      <c r="A1344" s="44" t="s">
        <v>5</v>
      </c>
      <c r="B1344" s="64" t="str">
        <f t="shared" si="22"/>
        <v>Midfielder</v>
      </c>
      <c r="C1344" s="7">
        <v>45377</v>
      </c>
      <c r="D1344" s="14">
        <v>6329</v>
      </c>
      <c r="E1344" s="14">
        <v>64</v>
      </c>
      <c r="F1344" s="14">
        <v>22</v>
      </c>
      <c r="G1344" s="14">
        <v>7</v>
      </c>
      <c r="H1344" s="14">
        <v>66.23</v>
      </c>
      <c r="I1344" s="14">
        <f>'PIVOT TABLES'!$B$26</f>
        <v>60.283999999999999</v>
      </c>
      <c r="J1344" s="14">
        <f>'PIVOT TABLES'!$B$27-'PIVOT TABLES'!$B$26</f>
        <v>30.142000000000003</v>
      </c>
      <c r="K1344" s="14">
        <f>'PIVOT TABLES'!$B$28-'PIVOT TABLES'!$B$27</f>
        <v>30.141999999999996</v>
      </c>
      <c r="L1344" s="14">
        <f>200-SUM(Table3[[#This Row],[D - LIGHT]:[D - VIGOROUS]])</f>
        <v>79.432000000000002</v>
      </c>
      <c r="M1344" s="14">
        <f>'PIVOT TABLES'!$I$26</f>
        <v>65.603999999999999</v>
      </c>
      <c r="N1344" s="14">
        <f>'PIVOT TABLES'!$I$27-'PIVOT TABLES'!$I$26</f>
        <v>32.802000000000007</v>
      </c>
      <c r="O1344" s="14">
        <f>'PIVOT TABLES'!$I$28-'PIVOT TABLES'!$I$27</f>
        <v>32.801999999999992</v>
      </c>
      <c r="P1344" s="14">
        <f>200-SUM(Table3[[#This Row],[M - LIGHT]:[M - VIGOROUS]])</f>
        <v>68.792000000000002</v>
      </c>
      <c r="Q1344" s="14">
        <f>'PIVOT TABLES'!$P$26</f>
        <v>62.64</v>
      </c>
      <c r="R1344" s="14">
        <f>'PIVOT TABLES'!$P$27-'PIVOT TABLES'!$P$26</f>
        <v>31.320000000000007</v>
      </c>
      <c r="S1344" s="14">
        <f>'PIVOT TABLES'!$P$28-'PIVOT TABLES'!$P$27</f>
        <v>31.319999999999993</v>
      </c>
      <c r="T1344" s="14">
        <f>200-SUM(Table3[[#This Row],[W - LIGHT]:[W - VIGOROUS]])</f>
        <v>74.72</v>
      </c>
      <c r="U1344" s="14">
        <f>'PIVOT TABLES'!$W$26</f>
        <v>55.895999999999994</v>
      </c>
      <c r="V1344" s="14">
        <f>'PIVOT TABLES'!$W$27-'PIVOT TABLES'!$W$26</f>
        <v>27.948</v>
      </c>
      <c r="W1344" s="14">
        <f>'PIVOT TABLES'!$W$28-'PIVOT TABLES'!$W$27</f>
        <v>27.947999999999993</v>
      </c>
      <c r="X1344" s="14">
        <f>200-SUM(Table3[[#This Row],[S - LIGHT]:[S - VIGOROUS]])</f>
        <v>88.208000000000013</v>
      </c>
    </row>
    <row r="1345" spans="1:24" x14ac:dyDescent="0.25">
      <c r="A1345" s="44" t="s">
        <v>6</v>
      </c>
      <c r="B1345" s="64" t="str">
        <f t="shared" si="22"/>
        <v>Midfielder</v>
      </c>
      <c r="C1345" s="7">
        <v>45377</v>
      </c>
      <c r="D1345" s="14">
        <v>11718</v>
      </c>
      <c r="E1345" s="14">
        <v>493</v>
      </c>
      <c r="F1345" s="14">
        <v>69</v>
      </c>
      <c r="G1345" s="14">
        <v>50</v>
      </c>
      <c r="H1345" s="14">
        <v>135.72999999999999</v>
      </c>
      <c r="I1345" s="14">
        <f>'PIVOT TABLES'!$B$26</f>
        <v>60.283999999999999</v>
      </c>
      <c r="J1345" s="14">
        <f>'PIVOT TABLES'!$B$27-'PIVOT TABLES'!$B$26</f>
        <v>30.142000000000003</v>
      </c>
      <c r="K1345" s="14">
        <f>'PIVOT TABLES'!$B$28-'PIVOT TABLES'!$B$27</f>
        <v>30.141999999999996</v>
      </c>
      <c r="L1345" s="14">
        <f>200-SUM(Table3[[#This Row],[D - LIGHT]:[D - VIGOROUS]])</f>
        <v>79.432000000000002</v>
      </c>
      <c r="M1345" s="14">
        <f>'PIVOT TABLES'!$I$26</f>
        <v>65.603999999999999</v>
      </c>
      <c r="N1345" s="14">
        <f>'PIVOT TABLES'!$I$27-'PIVOT TABLES'!$I$26</f>
        <v>32.802000000000007</v>
      </c>
      <c r="O1345" s="14">
        <f>'PIVOT TABLES'!$I$28-'PIVOT TABLES'!$I$27</f>
        <v>32.801999999999992</v>
      </c>
      <c r="P1345" s="14">
        <f>200-SUM(Table3[[#This Row],[M - LIGHT]:[M - VIGOROUS]])</f>
        <v>68.792000000000002</v>
      </c>
      <c r="Q1345" s="14">
        <f>'PIVOT TABLES'!$P$26</f>
        <v>62.64</v>
      </c>
      <c r="R1345" s="14">
        <f>'PIVOT TABLES'!$P$27-'PIVOT TABLES'!$P$26</f>
        <v>31.320000000000007</v>
      </c>
      <c r="S1345" s="14">
        <f>'PIVOT TABLES'!$P$28-'PIVOT TABLES'!$P$27</f>
        <v>31.319999999999993</v>
      </c>
      <c r="T1345" s="14">
        <f>200-SUM(Table3[[#This Row],[W - LIGHT]:[W - VIGOROUS]])</f>
        <v>74.72</v>
      </c>
      <c r="U1345" s="14">
        <f>'PIVOT TABLES'!$W$26</f>
        <v>55.895999999999994</v>
      </c>
      <c r="V1345" s="14">
        <f>'PIVOT TABLES'!$W$27-'PIVOT TABLES'!$W$26</f>
        <v>27.948</v>
      </c>
      <c r="W1345" s="14">
        <f>'PIVOT TABLES'!$W$28-'PIVOT TABLES'!$W$27</f>
        <v>27.947999999999993</v>
      </c>
      <c r="X1345" s="14">
        <f>200-SUM(Table3[[#This Row],[S - LIGHT]:[S - VIGOROUS]])</f>
        <v>88.208000000000013</v>
      </c>
    </row>
    <row r="1346" spans="1:24" x14ac:dyDescent="0.25">
      <c r="A1346" s="44" t="s">
        <v>62</v>
      </c>
      <c r="B1346" s="64" t="str">
        <f t="shared" si="22"/>
        <v>Midfielder</v>
      </c>
      <c r="C1346" s="7">
        <v>45377</v>
      </c>
      <c r="D1346" s="14">
        <v>6170</v>
      </c>
      <c r="E1346" s="14">
        <v>61</v>
      </c>
      <c r="F1346" s="14">
        <v>16</v>
      </c>
      <c r="G1346" s="14">
        <v>8</v>
      </c>
      <c r="H1346" s="14">
        <v>64.33</v>
      </c>
      <c r="I1346" s="14">
        <f>'PIVOT TABLES'!$B$26</f>
        <v>60.283999999999999</v>
      </c>
      <c r="J1346" s="14">
        <f>'PIVOT TABLES'!$B$27-'PIVOT TABLES'!$B$26</f>
        <v>30.142000000000003</v>
      </c>
      <c r="K1346" s="14">
        <f>'PIVOT TABLES'!$B$28-'PIVOT TABLES'!$B$27</f>
        <v>30.141999999999996</v>
      </c>
      <c r="L1346" s="14">
        <f>200-SUM(Table3[[#This Row],[D - LIGHT]:[D - VIGOROUS]])</f>
        <v>79.432000000000002</v>
      </c>
      <c r="M1346" s="14">
        <f>'PIVOT TABLES'!$I$26</f>
        <v>65.603999999999999</v>
      </c>
      <c r="N1346" s="14">
        <f>'PIVOT TABLES'!$I$27-'PIVOT TABLES'!$I$26</f>
        <v>32.802000000000007</v>
      </c>
      <c r="O1346" s="14">
        <f>'PIVOT TABLES'!$I$28-'PIVOT TABLES'!$I$27</f>
        <v>32.801999999999992</v>
      </c>
      <c r="P1346" s="14">
        <f>200-SUM(Table3[[#This Row],[M - LIGHT]:[M - VIGOROUS]])</f>
        <v>68.792000000000002</v>
      </c>
      <c r="Q1346" s="14">
        <f>'PIVOT TABLES'!$P$26</f>
        <v>62.64</v>
      </c>
      <c r="R1346" s="14">
        <f>'PIVOT TABLES'!$P$27-'PIVOT TABLES'!$P$26</f>
        <v>31.320000000000007</v>
      </c>
      <c r="S1346" s="14">
        <f>'PIVOT TABLES'!$P$28-'PIVOT TABLES'!$P$27</f>
        <v>31.319999999999993</v>
      </c>
      <c r="T1346" s="14">
        <f>200-SUM(Table3[[#This Row],[W - LIGHT]:[W - VIGOROUS]])</f>
        <v>74.72</v>
      </c>
      <c r="U1346" s="14">
        <f>'PIVOT TABLES'!$W$26</f>
        <v>55.895999999999994</v>
      </c>
      <c r="V1346" s="14">
        <f>'PIVOT TABLES'!$W$27-'PIVOT TABLES'!$W$26</f>
        <v>27.948</v>
      </c>
      <c r="W1346" s="14">
        <f>'PIVOT TABLES'!$W$28-'PIVOT TABLES'!$W$27</f>
        <v>27.947999999999993</v>
      </c>
      <c r="X1346" s="14">
        <f>200-SUM(Table3[[#This Row],[S - LIGHT]:[S - VIGOROUS]])</f>
        <v>88.208000000000013</v>
      </c>
    </row>
    <row r="1347" spans="1:24" x14ac:dyDescent="0.25">
      <c r="A1347" s="44" t="s">
        <v>63</v>
      </c>
      <c r="B1347" s="64" t="str">
        <f t="shared" si="22"/>
        <v>Winger</v>
      </c>
      <c r="C1347" s="7">
        <v>45377</v>
      </c>
      <c r="D1347" s="14">
        <v>2533</v>
      </c>
      <c r="E1347" s="14">
        <v>48</v>
      </c>
      <c r="F1347" s="14">
        <v>14</v>
      </c>
      <c r="G1347" s="14">
        <v>4</v>
      </c>
      <c r="H1347" s="14">
        <v>27.41</v>
      </c>
      <c r="I1347" s="14">
        <f>'PIVOT TABLES'!$B$26</f>
        <v>60.283999999999999</v>
      </c>
      <c r="J1347" s="14">
        <f>'PIVOT TABLES'!$B$27-'PIVOT TABLES'!$B$26</f>
        <v>30.142000000000003</v>
      </c>
      <c r="K1347" s="14">
        <f>'PIVOT TABLES'!$B$28-'PIVOT TABLES'!$B$27</f>
        <v>30.141999999999996</v>
      </c>
      <c r="L1347" s="14">
        <f>200-SUM(Table3[[#This Row],[D - LIGHT]:[D - VIGOROUS]])</f>
        <v>79.432000000000002</v>
      </c>
      <c r="M1347" s="14">
        <f>'PIVOT TABLES'!$I$26</f>
        <v>65.603999999999999</v>
      </c>
      <c r="N1347" s="14">
        <f>'PIVOT TABLES'!$I$27-'PIVOT TABLES'!$I$26</f>
        <v>32.802000000000007</v>
      </c>
      <c r="O1347" s="14">
        <f>'PIVOT TABLES'!$I$28-'PIVOT TABLES'!$I$27</f>
        <v>32.801999999999992</v>
      </c>
      <c r="P1347" s="14">
        <f>200-SUM(Table3[[#This Row],[M - LIGHT]:[M - VIGOROUS]])</f>
        <v>68.792000000000002</v>
      </c>
      <c r="Q1347" s="14">
        <f>'PIVOT TABLES'!$P$26</f>
        <v>62.64</v>
      </c>
      <c r="R1347" s="14">
        <f>'PIVOT TABLES'!$P$27-'PIVOT TABLES'!$P$26</f>
        <v>31.320000000000007</v>
      </c>
      <c r="S1347" s="14">
        <f>'PIVOT TABLES'!$P$28-'PIVOT TABLES'!$P$27</f>
        <v>31.319999999999993</v>
      </c>
      <c r="T1347" s="14">
        <f>200-SUM(Table3[[#This Row],[W - LIGHT]:[W - VIGOROUS]])</f>
        <v>74.72</v>
      </c>
      <c r="U1347" s="14">
        <f>'PIVOT TABLES'!$W$26</f>
        <v>55.895999999999994</v>
      </c>
      <c r="V1347" s="14">
        <f>'PIVOT TABLES'!$W$27-'PIVOT TABLES'!$W$26</f>
        <v>27.948</v>
      </c>
      <c r="W1347" s="14">
        <f>'PIVOT TABLES'!$W$28-'PIVOT TABLES'!$W$27</f>
        <v>27.947999999999993</v>
      </c>
      <c r="X1347" s="14">
        <f>200-SUM(Table3[[#This Row],[S - LIGHT]:[S - VIGOROUS]])</f>
        <v>88.208000000000013</v>
      </c>
    </row>
    <row r="1348" spans="1:24" x14ac:dyDescent="0.25">
      <c r="A1348" s="44" t="s">
        <v>64</v>
      </c>
      <c r="B1348" s="64" t="str">
        <f t="shared" si="22"/>
        <v>Midfielder</v>
      </c>
      <c r="C1348" s="7">
        <v>45377</v>
      </c>
      <c r="D1348" s="14">
        <v>12046</v>
      </c>
      <c r="E1348" s="14">
        <v>193</v>
      </c>
      <c r="F1348" s="14">
        <v>43</v>
      </c>
      <c r="G1348" s="14">
        <v>46</v>
      </c>
      <c r="H1348" s="14">
        <v>128.88999999999999</v>
      </c>
      <c r="I1348" s="14">
        <f>'PIVOT TABLES'!$B$26</f>
        <v>60.283999999999999</v>
      </c>
      <c r="J1348" s="14">
        <f>'PIVOT TABLES'!$B$27-'PIVOT TABLES'!$B$26</f>
        <v>30.142000000000003</v>
      </c>
      <c r="K1348" s="14">
        <f>'PIVOT TABLES'!$B$28-'PIVOT TABLES'!$B$27</f>
        <v>30.141999999999996</v>
      </c>
      <c r="L1348" s="14">
        <f>200-SUM(Table3[[#This Row],[D - LIGHT]:[D - VIGOROUS]])</f>
        <v>79.432000000000002</v>
      </c>
      <c r="M1348" s="14">
        <f>'PIVOT TABLES'!$I$26</f>
        <v>65.603999999999999</v>
      </c>
      <c r="N1348" s="14">
        <f>'PIVOT TABLES'!$I$27-'PIVOT TABLES'!$I$26</f>
        <v>32.802000000000007</v>
      </c>
      <c r="O1348" s="14">
        <f>'PIVOT TABLES'!$I$28-'PIVOT TABLES'!$I$27</f>
        <v>32.801999999999992</v>
      </c>
      <c r="P1348" s="14">
        <f>200-SUM(Table3[[#This Row],[M - LIGHT]:[M - VIGOROUS]])</f>
        <v>68.792000000000002</v>
      </c>
      <c r="Q1348" s="14">
        <f>'PIVOT TABLES'!$P$26</f>
        <v>62.64</v>
      </c>
      <c r="R1348" s="14">
        <f>'PIVOT TABLES'!$P$27-'PIVOT TABLES'!$P$26</f>
        <v>31.320000000000007</v>
      </c>
      <c r="S1348" s="14">
        <f>'PIVOT TABLES'!$P$28-'PIVOT TABLES'!$P$27</f>
        <v>31.319999999999993</v>
      </c>
      <c r="T1348" s="14">
        <f>200-SUM(Table3[[#This Row],[W - LIGHT]:[W - VIGOROUS]])</f>
        <v>74.72</v>
      </c>
      <c r="U1348" s="14">
        <f>'PIVOT TABLES'!$W$26</f>
        <v>55.895999999999994</v>
      </c>
      <c r="V1348" s="14">
        <f>'PIVOT TABLES'!$W$27-'PIVOT TABLES'!$W$26</f>
        <v>27.948</v>
      </c>
      <c r="W1348" s="14">
        <f>'PIVOT TABLES'!$W$28-'PIVOT TABLES'!$W$27</f>
        <v>27.947999999999993</v>
      </c>
      <c r="X1348" s="14">
        <f>200-SUM(Table3[[#This Row],[S - LIGHT]:[S - VIGOROUS]])</f>
        <v>88.208000000000013</v>
      </c>
    </row>
    <row r="1349" spans="1:24" x14ac:dyDescent="0.25">
      <c r="A1349" s="44" t="s">
        <v>65</v>
      </c>
      <c r="B1349" s="64" t="str">
        <f t="shared" si="22"/>
        <v>Winger</v>
      </c>
      <c r="C1349" s="7">
        <v>45377</v>
      </c>
      <c r="D1349" s="14">
        <v>6087</v>
      </c>
      <c r="E1349" s="14">
        <v>182</v>
      </c>
      <c r="F1349" s="14">
        <v>33</v>
      </c>
      <c r="G1349" s="14">
        <v>23</v>
      </c>
      <c r="H1349" s="14">
        <v>68.11</v>
      </c>
      <c r="I1349" s="14">
        <f>'PIVOT TABLES'!$B$26</f>
        <v>60.283999999999999</v>
      </c>
      <c r="J1349" s="14">
        <f>'PIVOT TABLES'!$B$27-'PIVOT TABLES'!$B$26</f>
        <v>30.142000000000003</v>
      </c>
      <c r="K1349" s="14">
        <f>'PIVOT TABLES'!$B$28-'PIVOT TABLES'!$B$27</f>
        <v>30.141999999999996</v>
      </c>
      <c r="L1349" s="14">
        <f>200-SUM(Table3[[#This Row],[D - LIGHT]:[D - VIGOROUS]])</f>
        <v>79.432000000000002</v>
      </c>
      <c r="M1349" s="14">
        <f>'PIVOT TABLES'!$I$26</f>
        <v>65.603999999999999</v>
      </c>
      <c r="N1349" s="14">
        <f>'PIVOT TABLES'!$I$27-'PIVOT TABLES'!$I$26</f>
        <v>32.802000000000007</v>
      </c>
      <c r="O1349" s="14">
        <f>'PIVOT TABLES'!$I$28-'PIVOT TABLES'!$I$27</f>
        <v>32.801999999999992</v>
      </c>
      <c r="P1349" s="14">
        <f>200-SUM(Table3[[#This Row],[M - LIGHT]:[M - VIGOROUS]])</f>
        <v>68.792000000000002</v>
      </c>
      <c r="Q1349" s="14">
        <f>'PIVOT TABLES'!$P$26</f>
        <v>62.64</v>
      </c>
      <c r="R1349" s="14">
        <f>'PIVOT TABLES'!$P$27-'PIVOT TABLES'!$P$26</f>
        <v>31.320000000000007</v>
      </c>
      <c r="S1349" s="14">
        <f>'PIVOT TABLES'!$P$28-'PIVOT TABLES'!$P$27</f>
        <v>31.319999999999993</v>
      </c>
      <c r="T1349" s="14">
        <f>200-SUM(Table3[[#This Row],[W - LIGHT]:[W - VIGOROUS]])</f>
        <v>74.72</v>
      </c>
      <c r="U1349" s="14">
        <f>'PIVOT TABLES'!$W$26</f>
        <v>55.895999999999994</v>
      </c>
      <c r="V1349" s="14">
        <f>'PIVOT TABLES'!$W$27-'PIVOT TABLES'!$W$26</f>
        <v>27.948</v>
      </c>
      <c r="W1349" s="14">
        <f>'PIVOT TABLES'!$W$28-'PIVOT TABLES'!$W$27</f>
        <v>27.947999999999993</v>
      </c>
      <c r="X1349" s="14">
        <f>200-SUM(Table3[[#This Row],[S - LIGHT]:[S - VIGOROUS]])</f>
        <v>88.208000000000013</v>
      </c>
    </row>
    <row r="1350" spans="1:24" x14ac:dyDescent="0.25">
      <c r="A1350" s="44" t="s">
        <v>66</v>
      </c>
      <c r="B1350" s="64" t="str">
        <f t="shared" si="22"/>
        <v>Striker</v>
      </c>
      <c r="C1350" s="7">
        <v>45377</v>
      </c>
      <c r="D1350" s="14">
        <v>1178</v>
      </c>
      <c r="E1350" s="14">
        <v>0</v>
      </c>
      <c r="F1350" s="14">
        <v>0</v>
      </c>
      <c r="G1350" s="14">
        <v>0</v>
      </c>
      <c r="H1350" s="14">
        <v>11.78</v>
      </c>
      <c r="I1350" s="14">
        <f>'PIVOT TABLES'!$B$26</f>
        <v>60.283999999999999</v>
      </c>
      <c r="J1350" s="14">
        <f>'PIVOT TABLES'!$B$27-'PIVOT TABLES'!$B$26</f>
        <v>30.142000000000003</v>
      </c>
      <c r="K1350" s="14">
        <f>'PIVOT TABLES'!$B$28-'PIVOT TABLES'!$B$27</f>
        <v>30.141999999999996</v>
      </c>
      <c r="L1350" s="14">
        <f>200-SUM(Table3[[#This Row],[D - LIGHT]:[D - VIGOROUS]])</f>
        <v>79.432000000000002</v>
      </c>
      <c r="M1350" s="14">
        <f>'PIVOT TABLES'!$I$26</f>
        <v>65.603999999999999</v>
      </c>
      <c r="N1350" s="14">
        <f>'PIVOT TABLES'!$I$27-'PIVOT TABLES'!$I$26</f>
        <v>32.802000000000007</v>
      </c>
      <c r="O1350" s="14">
        <f>'PIVOT TABLES'!$I$28-'PIVOT TABLES'!$I$27</f>
        <v>32.801999999999992</v>
      </c>
      <c r="P1350" s="14">
        <f>200-SUM(Table3[[#This Row],[M - LIGHT]:[M - VIGOROUS]])</f>
        <v>68.792000000000002</v>
      </c>
      <c r="Q1350" s="14">
        <f>'PIVOT TABLES'!$P$26</f>
        <v>62.64</v>
      </c>
      <c r="R1350" s="14">
        <f>'PIVOT TABLES'!$P$27-'PIVOT TABLES'!$P$26</f>
        <v>31.320000000000007</v>
      </c>
      <c r="S1350" s="14">
        <f>'PIVOT TABLES'!$P$28-'PIVOT TABLES'!$P$27</f>
        <v>31.319999999999993</v>
      </c>
      <c r="T1350" s="14">
        <f>200-SUM(Table3[[#This Row],[W - LIGHT]:[W - VIGOROUS]])</f>
        <v>74.72</v>
      </c>
      <c r="U1350" s="14">
        <f>'PIVOT TABLES'!$W$26</f>
        <v>55.895999999999994</v>
      </c>
      <c r="V1350" s="14">
        <f>'PIVOT TABLES'!$W$27-'PIVOT TABLES'!$W$26</f>
        <v>27.948</v>
      </c>
      <c r="W1350" s="14">
        <f>'PIVOT TABLES'!$W$28-'PIVOT TABLES'!$W$27</f>
        <v>27.947999999999993</v>
      </c>
      <c r="X1350" s="14">
        <f>200-SUM(Table3[[#This Row],[S - LIGHT]:[S - VIGOROUS]])</f>
        <v>88.208000000000013</v>
      </c>
    </row>
    <row r="1351" spans="1:24" x14ac:dyDescent="0.25">
      <c r="A1351" s="44" t="s">
        <v>78</v>
      </c>
      <c r="B1351" s="64" t="str">
        <f t="shared" si="22"/>
        <v>Defender</v>
      </c>
      <c r="C1351" s="7">
        <v>45377</v>
      </c>
      <c r="D1351" s="14">
        <v>5807</v>
      </c>
      <c r="E1351" s="14">
        <v>124</v>
      </c>
      <c r="F1351" s="14">
        <v>17</v>
      </c>
      <c r="G1351" s="14">
        <v>22</v>
      </c>
      <c r="H1351" s="14">
        <v>62.91</v>
      </c>
      <c r="I1351" s="14">
        <f>'PIVOT TABLES'!$B$26</f>
        <v>60.283999999999999</v>
      </c>
      <c r="J1351" s="14">
        <f>'PIVOT TABLES'!$B$27-'PIVOT TABLES'!$B$26</f>
        <v>30.142000000000003</v>
      </c>
      <c r="K1351" s="14">
        <f>'PIVOT TABLES'!$B$28-'PIVOT TABLES'!$B$27</f>
        <v>30.141999999999996</v>
      </c>
      <c r="L1351" s="14">
        <f>200-SUM(Table3[[#This Row],[D - LIGHT]:[D - VIGOROUS]])</f>
        <v>79.432000000000002</v>
      </c>
      <c r="M1351" s="14">
        <f>'PIVOT TABLES'!$I$26</f>
        <v>65.603999999999999</v>
      </c>
      <c r="N1351" s="14">
        <f>'PIVOT TABLES'!$I$27-'PIVOT TABLES'!$I$26</f>
        <v>32.802000000000007</v>
      </c>
      <c r="O1351" s="14">
        <f>'PIVOT TABLES'!$I$28-'PIVOT TABLES'!$I$27</f>
        <v>32.801999999999992</v>
      </c>
      <c r="P1351" s="14">
        <f>200-SUM(Table3[[#This Row],[M - LIGHT]:[M - VIGOROUS]])</f>
        <v>68.792000000000002</v>
      </c>
      <c r="Q1351" s="14">
        <f>'PIVOT TABLES'!$P$26</f>
        <v>62.64</v>
      </c>
      <c r="R1351" s="14">
        <f>'PIVOT TABLES'!$P$27-'PIVOT TABLES'!$P$26</f>
        <v>31.320000000000007</v>
      </c>
      <c r="S1351" s="14">
        <f>'PIVOT TABLES'!$P$28-'PIVOT TABLES'!$P$27</f>
        <v>31.319999999999993</v>
      </c>
      <c r="T1351" s="14">
        <f>200-SUM(Table3[[#This Row],[W - LIGHT]:[W - VIGOROUS]])</f>
        <v>74.72</v>
      </c>
      <c r="U1351" s="14">
        <f>'PIVOT TABLES'!$W$26</f>
        <v>55.895999999999994</v>
      </c>
      <c r="V1351" s="14">
        <f>'PIVOT TABLES'!$W$27-'PIVOT TABLES'!$W$26</f>
        <v>27.948</v>
      </c>
      <c r="W1351" s="14">
        <f>'PIVOT TABLES'!$W$28-'PIVOT TABLES'!$W$27</f>
        <v>27.947999999999993</v>
      </c>
      <c r="X1351" s="14">
        <f>200-SUM(Table3[[#This Row],[S - LIGHT]:[S - VIGOROUS]])</f>
        <v>88.208000000000013</v>
      </c>
    </row>
    <row r="1352" spans="1:24" x14ac:dyDescent="0.25">
      <c r="A1352" s="44" t="s">
        <v>96</v>
      </c>
      <c r="B1352" s="64" t="str">
        <f t="shared" si="22"/>
        <v>Winger</v>
      </c>
      <c r="C1352" s="7">
        <v>45377</v>
      </c>
      <c r="D1352" s="14">
        <v>1007</v>
      </c>
      <c r="E1352" s="14">
        <v>0</v>
      </c>
      <c r="F1352" s="14">
        <v>0</v>
      </c>
      <c r="G1352" s="14">
        <v>0</v>
      </c>
      <c r="H1352" s="14">
        <v>10.07</v>
      </c>
      <c r="I1352" s="14">
        <f>'PIVOT TABLES'!$B$26</f>
        <v>60.283999999999999</v>
      </c>
      <c r="J1352" s="14">
        <f>'PIVOT TABLES'!$B$27-'PIVOT TABLES'!$B$26</f>
        <v>30.142000000000003</v>
      </c>
      <c r="K1352" s="14">
        <f>'PIVOT TABLES'!$B$28-'PIVOT TABLES'!$B$27</f>
        <v>30.141999999999996</v>
      </c>
      <c r="L1352" s="14">
        <f>200-SUM(Table3[[#This Row],[D - LIGHT]:[D - VIGOROUS]])</f>
        <v>79.432000000000002</v>
      </c>
      <c r="M1352" s="14">
        <f>'PIVOT TABLES'!$I$26</f>
        <v>65.603999999999999</v>
      </c>
      <c r="N1352" s="14">
        <f>'PIVOT TABLES'!$I$27-'PIVOT TABLES'!$I$26</f>
        <v>32.802000000000007</v>
      </c>
      <c r="O1352" s="14">
        <f>'PIVOT TABLES'!$I$28-'PIVOT TABLES'!$I$27</f>
        <v>32.801999999999992</v>
      </c>
      <c r="P1352" s="14">
        <f>200-SUM(Table3[[#This Row],[M - LIGHT]:[M - VIGOROUS]])</f>
        <v>68.792000000000002</v>
      </c>
      <c r="Q1352" s="14">
        <f>'PIVOT TABLES'!$P$26</f>
        <v>62.64</v>
      </c>
      <c r="R1352" s="14">
        <f>'PIVOT TABLES'!$P$27-'PIVOT TABLES'!$P$26</f>
        <v>31.320000000000007</v>
      </c>
      <c r="S1352" s="14">
        <f>'PIVOT TABLES'!$P$28-'PIVOT TABLES'!$P$27</f>
        <v>31.319999999999993</v>
      </c>
      <c r="T1352" s="14">
        <f>200-SUM(Table3[[#This Row],[W - LIGHT]:[W - VIGOROUS]])</f>
        <v>74.72</v>
      </c>
      <c r="U1352" s="14">
        <f>'PIVOT TABLES'!$W$26</f>
        <v>55.895999999999994</v>
      </c>
      <c r="V1352" s="14">
        <f>'PIVOT TABLES'!$W$27-'PIVOT TABLES'!$W$26</f>
        <v>27.948</v>
      </c>
      <c r="W1352" s="14">
        <f>'PIVOT TABLES'!$W$28-'PIVOT TABLES'!$W$27</f>
        <v>27.947999999999993</v>
      </c>
      <c r="X1352" s="14">
        <f>200-SUM(Table3[[#This Row],[S - LIGHT]:[S - VIGOROUS]])</f>
        <v>88.208000000000013</v>
      </c>
    </row>
    <row r="1353" spans="1:24" x14ac:dyDescent="0.25">
      <c r="A1353" s="44" t="s">
        <v>8</v>
      </c>
      <c r="B1353" s="64" t="str">
        <f t="shared" si="22"/>
        <v>Striker</v>
      </c>
      <c r="C1353" s="7">
        <v>45377</v>
      </c>
      <c r="D1353" s="14">
        <v>9658</v>
      </c>
      <c r="E1353" s="14">
        <v>331</v>
      </c>
      <c r="F1353" s="14">
        <v>42</v>
      </c>
      <c r="G1353" s="14">
        <v>23</v>
      </c>
      <c r="H1353" s="14">
        <v>108.65</v>
      </c>
      <c r="I1353" s="14">
        <f>'PIVOT TABLES'!$B$26</f>
        <v>60.283999999999999</v>
      </c>
      <c r="J1353" s="14">
        <f>'PIVOT TABLES'!$B$27-'PIVOT TABLES'!$B$26</f>
        <v>30.142000000000003</v>
      </c>
      <c r="K1353" s="14">
        <f>'PIVOT TABLES'!$B$28-'PIVOT TABLES'!$B$27</f>
        <v>30.141999999999996</v>
      </c>
      <c r="L1353" s="14">
        <f>200-SUM(Table3[[#This Row],[D - LIGHT]:[D - VIGOROUS]])</f>
        <v>79.432000000000002</v>
      </c>
      <c r="M1353" s="14">
        <f>'PIVOT TABLES'!$I$26</f>
        <v>65.603999999999999</v>
      </c>
      <c r="N1353" s="14">
        <f>'PIVOT TABLES'!$I$27-'PIVOT TABLES'!$I$26</f>
        <v>32.802000000000007</v>
      </c>
      <c r="O1353" s="14">
        <f>'PIVOT TABLES'!$I$28-'PIVOT TABLES'!$I$27</f>
        <v>32.801999999999992</v>
      </c>
      <c r="P1353" s="14">
        <f>200-SUM(Table3[[#This Row],[M - LIGHT]:[M - VIGOROUS]])</f>
        <v>68.792000000000002</v>
      </c>
      <c r="Q1353" s="14">
        <f>'PIVOT TABLES'!$P$26</f>
        <v>62.64</v>
      </c>
      <c r="R1353" s="14">
        <f>'PIVOT TABLES'!$P$27-'PIVOT TABLES'!$P$26</f>
        <v>31.320000000000007</v>
      </c>
      <c r="S1353" s="14">
        <f>'PIVOT TABLES'!$P$28-'PIVOT TABLES'!$P$27</f>
        <v>31.319999999999993</v>
      </c>
      <c r="T1353" s="14">
        <f>200-SUM(Table3[[#This Row],[W - LIGHT]:[W - VIGOROUS]])</f>
        <v>74.72</v>
      </c>
      <c r="U1353" s="14">
        <f>'PIVOT TABLES'!$W$26</f>
        <v>55.895999999999994</v>
      </c>
      <c r="V1353" s="14">
        <f>'PIVOT TABLES'!$W$27-'PIVOT TABLES'!$W$26</f>
        <v>27.948</v>
      </c>
      <c r="W1353" s="14">
        <f>'PIVOT TABLES'!$W$28-'PIVOT TABLES'!$W$27</f>
        <v>27.947999999999993</v>
      </c>
      <c r="X1353" s="14">
        <f>200-SUM(Table3[[#This Row],[S - LIGHT]:[S - VIGOROUS]])</f>
        <v>88.208000000000013</v>
      </c>
    </row>
    <row r="1354" spans="1:24" x14ac:dyDescent="0.25">
      <c r="A1354" s="44" t="s">
        <v>67</v>
      </c>
      <c r="B1354" s="64" t="str">
        <f t="shared" si="22"/>
        <v>Midfielder</v>
      </c>
      <c r="C1354" s="7">
        <v>45377</v>
      </c>
      <c r="D1354" s="14">
        <v>10999</v>
      </c>
      <c r="E1354" s="14">
        <v>261</v>
      </c>
      <c r="F1354" s="14">
        <v>70</v>
      </c>
      <c r="G1354" s="14">
        <v>43</v>
      </c>
      <c r="H1354" s="14">
        <v>121.48</v>
      </c>
      <c r="I1354" s="14">
        <f>'PIVOT TABLES'!$B$26</f>
        <v>60.283999999999999</v>
      </c>
      <c r="J1354" s="14">
        <f>'PIVOT TABLES'!$B$27-'PIVOT TABLES'!$B$26</f>
        <v>30.142000000000003</v>
      </c>
      <c r="K1354" s="14">
        <f>'PIVOT TABLES'!$B$28-'PIVOT TABLES'!$B$27</f>
        <v>30.141999999999996</v>
      </c>
      <c r="L1354" s="14">
        <f>200-SUM(Table3[[#This Row],[D - LIGHT]:[D - VIGOROUS]])</f>
        <v>79.432000000000002</v>
      </c>
      <c r="M1354" s="14">
        <f>'PIVOT TABLES'!$I$26</f>
        <v>65.603999999999999</v>
      </c>
      <c r="N1354" s="14">
        <f>'PIVOT TABLES'!$I$27-'PIVOT TABLES'!$I$26</f>
        <v>32.802000000000007</v>
      </c>
      <c r="O1354" s="14">
        <f>'PIVOT TABLES'!$I$28-'PIVOT TABLES'!$I$27</f>
        <v>32.801999999999992</v>
      </c>
      <c r="P1354" s="14">
        <f>200-SUM(Table3[[#This Row],[M - LIGHT]:[M - VIGOROUS]])</f>
        <v>68.792000000000002</v>
      </c>
      <c r="Q1354" s="14">
        <f>'PIVOT TABLES'!$P$26</f>
        <v>62.64</v>
      </c>
      <c r="R1354" s="14">
        <f>'PIVOT TABLES'!$P$27-'PIVOT TABLES'!$P$26</f>
        <v>31.320000000000007</v>
      </c>
      <c r="S1354" s="14">
        <f>'PIVOT TABLES'!$P$28-'PIVOT TABLES'!$P$27</f>
        <v>31.319999999999993</v>
      </c>
      <c r="T1354" s="14">
        <f>200-SUM(Table3[[#This Row],[W - LIGHT]:[W - VIGOROUS]])</f>
        <v>74.72</v>
      </c>
      <c r="U1354" s="14">
        <f>'PIVOT TABLES'!$W$26</f>
        <v>55.895999999999994</v>
      </c>
      <c r="V1354" s="14">
        <f>'PIVOT TABLES'!$W$27-'PIVOT TABLES'!$W$26</f>
        <v>27.948</v>
      </c>
      <c r="W1354" s="14">
        <f>'PIVOT TABLES'!$W$28-'PIVOT TABLES'!$W$27</f>
        <v>27.947999999999993</v>
      </c>
      <c r="X1354" s="14">
        <f>200-SUM(Table3[[#This Row],[S - LIGHT]:[S - VIGOROUS]])</f>
        <v>88.208000000000013</v>
      </c>
    </row>
    <row r="1355" spans="1:24" x14ac:dyDescent="0.25">
      <c r="A1355" s="44" t="s">
        <v>69</v>
      </c>
      <c r="B1355" s="64" t="str">
        <f t="shared" si="22"/>
        <v>Midfielder</v>
      </c>
      <c r="C1355" s="7">
        <v>45377</v>
      </c>
      <c r="D1355" s="14">
        <v>5374</v>
      </c>
      <c r="E1355" s="14">
        <v>169</v>
      </c>
      <c r="F1355" s="14">
        <v>33</v>
      </c>
      <c r="G1355" s="14">
        <v>36</v>
      </c>
      <c r="H1355" s="14">
        <v>60.85</v>
      </c>
      <c r="I1355" s="14">
        <f>'PIVOT TABLES'!$B$26</f>
        <v>60.283999999999999</v>
      </c>
      <c r="J1355" s="14">
        <f>'PIVOT TABLES'!$B$27-'PIVOT TABLES'!$B$26</f>
        <v>30.142000000000003</v>
      </c>
      <c r="K1355" s="14">
        <f>'PIVOT TABLES'!$B$28-'PIVOT TABLES'!$B$27</f>
        <v>30.141999999999996</v>
      </c>
      <c r="L1355" s="14">
        <f>200-SUM(Table3[[#This Row],[D - LIGHT]:[D - VIGOROUS]])</f>
        <v>79.432000000000002</v>
      </c>
      <c r="M1355" s="14">
        <f>'PIVOT TABLES'!$I$26</f>
        <v>65.603999999999999</v>
      </c>
      <c r="N1355" s="14">
        <f>'PIVOT TABLES'!$I$27-'PIVOT TABLES'!$I$26</f>
        <v>32.802000000000007</v>
      </c>
      <c r="O1355" s="14">
        <f>'PIVOT TABLES'!$I$28-'PIVOT TABLES'!$I$27</f>
        <v>32.801999999999992</v>
      </c>
      <c r="P1355" s="14">
        <f>200-SUM(Table3[[#This Row],[M - LIGHT]:[M - VIGOROUS]])</f>
        <v>68.792000000000002</v>
      </c>
      <c r="Q1355" s="14">
        <f>'PIVOT TABLES'!$P$26</f>
        <v>62.64</v>
      </c>
      <c r="R1355" s="14">
        <f>'PIVOT TABLES'!$P$27-'PIVOT TABLES'!$P$26</f>
        <v>31.320000000000007</v>
      </c>
      <c r="S1355" s="14">
        <f>'PIVOT TABLES'!$P$28-'PIVOT TABLES'!$P$27</f>
        <v>31.319999999999993</v>
      </c>
      <c r="T1355" s="14">
        <f>200-SUM(Table3[[#This Row],[W - LIGHT]:[W - VIGOROUS]])</f>
        <v>74.72</v>
      </c>
      <c r="U1355" s="14">
        <f>'PIVOT TABLES'!$W$26</f>
        <v>55.895999999999994</v>
      </c>
      <c r="V1355" s="14">
        <f>'PIVOT TABLES'!$W$27-'PIVOT TABLES'!$W$26</f>
        <v>27.948</v>
      </c>
      <c r="W1355" s="14">
        <f>'PIVOT TABLES'!$W$28-'PIVOT TABLES'!$W$27</f>
        <v>27.947999999999993</v>
      </c>
      <c r="X1355" s="14">
        <f>200-SUM(Table3[[#This Row],[S - LIGHT]:[S - VIGOROUS]])</f>
        <v>88.208000000000013</v>
      </c>
    </row>
    <row r="1356" spans="1:24" x14ac:dyDescent="0.25">
      <c r="A1356" s="44" t="s">
        <v>1</v>
      </c>
      <c r="B1356" s="64" t="str">
        <f t="shared" ref="B1356:B1374" si="23">IF(A1356="Sihle Gum","Defender",IF(A1356="Kenny Langa","Defender",IF(A1356="Tshepang Makara","Defender",IF(A1356="Tshepiso Mahlangu","Defender",IF(A1356="Neo Ramashala","Defender",IF(A1356="Keabetswe Nkogatse","Defender",IF(A1356="Kaketso Harold Majadibodu","Defender",IF(A1356="Samuel Julies","Midfielder",IF(A1356="Frank Mpedi","Midfielder",IF(A1356="Sapholwethu Kelepu","Midfielder",IF(A1356="Manelisi Sithole","Midfielder",IF(A1356="Thabiso Mokoena","Midfielder",IF(A1356="Khomotso Marebane","Midfielder",IF(A1356="Tebogo Mohlamonyane","Midfielder",IF(A1356="Thulani Zandamela","Midfielder",IF(A1356="Mdevulana Camagu","Midfielder",IF(A1356="Promise Mkhuma","Midfielder",IF(A1356="Essien Makwarimba","Midfielder",IF(A1356="Ayanda Mvambi","Winger",IF(A1356="Delano Abrahams","Winger",IF(A1356="Thokozani Sekotlong","Winger",IF(A1356="Maselaelo Seanego","Winger",IF(A1356="Lesedi Motha","Winger",IF(A1356="Malekgene Mampuru","Winger",IF(A1356="Matome Rangata","Winger",IF(A1356="Thabang Sibanyoni","Striker",IF(A1356="Tebogo Makungo","Striker",IF(A1356="Neo Dikgale","Striker",IF(A1356="Kamohelo Pheeane","Striker",IF(A1356="Athenkosi Tonisi","Striker",IF(A1356="Jesse Francis","Striker","####")))))))))))))))))))))))))))))))</f>
        <v>Defender</v>
      </c>
      <c r="C1356" s="7">
        <v>45378</v>
      </c>
      <c r="D1356" s="14">
        <v>1222</v>
      </c>
      <c r="E1356" s="14">
        <v>0</v>
      </c>
      <c r="F1356" s="14">
        <v>0</v>
      </c>
      <c r="G1356" s="14">
        <v>0</v>
      </c>
      <c r="H1356" s="14">
        <v>12.22</v>
      </c>
      <c r="I1356" s="14">
        <f>'PIVOT TABLES'!$B$26</f>
        <v>60.283999999999999</v>
      </c>
      <c r="J1356" s="14">
        <f>'PIVOT TABLES'!$B$27-'PIVOT TABLES'!$B$26</f>
        <v>30.142000000000003</v>
      </c>
      <c r="K1356" s="14">
        <f>'PIVOT TABLES'!$B$28-'PIVOT TABLES'!$B$27</f>
        <v>30.141999999999996</v>
      </c>
      <c r="L1356" s="14">
        <f>200-SUM(Table3[[#This Row],[D - LIGHT]:[D - VIGOROUS]])</f>
        <v>79.432000000000002</v>
      </c>
      <c r="M1356" s="14">
        <f>'PIVOT TABLES'!$I$26</f>
        <v>65.603999999999999</v>
      </c>
      <c r="N1356" s="14">
        <f>'PIVOT TABLES'!$I$27-'PIVOT TABLES'!$I$26</f>
        <v>32.802000000000007</v>
      </c>
      <c r="O1356" s="14">
        <f>'PIVOT TABLES'!$I$28-'PIVOT TABLES'!$I$27</f>
        <v>32.801999999999992</v>
      </c>
      <c r="P1356" s="14">
        <f>200-SUM(Table3[[#This Row],[M - LIGHT]:[M - VIGOROUS]])</f>
        <v>68.792000000000002</v>
      </c>
      <c r="Q1356" s="14">
        <f>'PIVOT TABLES'!$P$26</f>
        <v>62.64</v>
      </c>
      <c r="R1356" s="14">
        <f>'PIVOT TABLES'!$P$27-'PIVOT TABLES'!$P$26</f>
        <v>31.320000000000007</v>
      </c>
      <c r="S1356" s="14">
        <f>'PIVOT TABLES'!$P$28-'PIVOT TABLES'!$P$27</f>
        <v>31.319999999999993</v>
      </c>
      <c r="T1356" s="14">
        <f>200-SUM(Table3[[#This Row],[W - LIGHT]:[W - VIGOROUS]])</f>
        <v>74.72</v>
      </c>
      <c r="U1356" s="14">
        <f>'PIVOT TABLES'!$W$26</f>
        <v>55.895999999999994</v>
      </c>
      <c r="V1356" s="14">
        <f>'PIVOT TABLES'!$W$27-'PIVOT TABLES'!$W$26</f>
        <v>27.948</v>
      </c>
      <c r="W1356" s="14">
        <f>'PIVOT TABLES'!$W$28-'PIVOT TABLES'!$W$27</f>
        <v>27.947999999999993</v>
      </c>
      <c r="X1356" s="14">
        <f>200-SUM(Table3[[#This Row],[S - LIGHT]:[S - VIGOROUS]])</f>
        <v>88.208000000000013</v>
      </c>
    </row>
    <row r="1357" spans="1:24" x14ac:dyDescent="0.25">
      <c r="A1357" s="44" t="s">
        <v>56</v>
      </c>
      <c r="B1357" s="64" t="str">
        <f t="shared" si="23"/>
        <v>Midfielder</v>
      </c>
      <c r="C1357" s="7">
        <v>45378</v>
      </c>
      <c r="D1357" s="14">
        <v>1444</v>
      </c>
      <c r="E1357" s="14">
        <v>0</v>
      </c>
      <c r="F1357" s="14">
        <v>1</v>
      </c>
      <c r="G1357" s="14">
        <v>1</v>
      </c>
      <c r="H1357" s="14">
        <v>14.5</v>
      </c>
      <c r="I1357" s="14">
        <f>'PIVOT TABLES'!$B$26</f>
        <v>60.283999999999999</v>
      </c>
      <c r="J1357" s="14">
        <f>'PIVOT TABLES'!$B$27-'PIVOT TABLES'!$B$26</f>
        <v>30.142000000000003</v>
      </c>
      <c r="K1357" s="14">
        <f>'PIVOT TABLES'!$B$28-'PIVOT TABLES'!$B$27</f>
        <v>30.141999999999996</v>
      </c>
      <c r="L1357" s="14">
        <f>200-SUM(Table3[[#This Row],[D - LIGHT]:[D - VIGOROUS]])</f>
        <v>79.432000000000002</v>
      </c>
      <c r="M1357" s="14">
        <f>'PIVOT TABLES'!$I$26</f>
        <v>65.603999999999999</v>
      </c>
      <c r="N1357" s="14">
        <f>'PIVOT TABLES'!$I$27-'PIVOT TABLES'!$I$26</f>
        <v>32.802000000000007</v>
      </c>
      <c r="O1357" s="14">
        <f>'PIVOT TABLES'!$I$28-'PIVOT TABLES'!$I$27</f>
        <v>32.801999999999992</v>
      </c>
      <c r="P1357" s="14">
        <f>200-SUM(Table3[[#This Row],[M - LIGHT]:[M - VIGOROUS]])</f>
        <v>68.792000000000002</v>
      </c>
      <c r="Q1357" s="14">
        <f>'PIVOT TABLES'!$P$26</f>
        <v>62.64</v>
      </c>
      <c r="R1357" s="14">
        <f>'PIVOT TABLES'!$P$27-'PIVOT TABLES'!$P$26</f>
        <v>31.320000000000007</v>
      </c>
      <c r="S1357" s="14">
        <f>'PIVOT TABLES'!$P$28-'PIVOT TABLES'!$P$27</f>
        <v>31.319999999999993</v>
      </c>
      <c r="T1357" s="14">
        <f>200-SUM(Table3[[#This Row],[W - LIGHT]:[W - VIGOROUS]])</f>
        <v>74.72</v>
      </c>
      <c r="U1357" s="14">
        <f>'PIVOT TABLES'!$W$26</f>
        <v>55.895999999999994</v>
      </c>
      <c r="V1357" s="14">
        <f>'PIVOT TABLES'!$W$27-'PIVOT TABLES'!$W$26</f>
        <v>27.948</v>
      </c>
      <c r="W1357" s="14">
        <f>'PIVOT TABLES'!$W$28-'PIVOT TABLES'!$W$27</f>
        <v>27.947999999999993</v>
      </c>
      <c r="X1357" s="14">
        <f>200-SUM(Table3[[#This Row],[S - LIGHT]:[S - VIGOROUS]])</f>
        <v>88.208000000000013</v>
      </c>
    </row>
    <row r="1358" spans="1:24" x14ac:dyDescent="0.25">
      <c r="A1358" s="44" t="s">
        <v>58</v>
      </c>
      <c r="B1358" s="64" t="str">
        <f t="shared" si="23"/>
        <v>Defender</v>
      </c>
      <c r="C1358" s="7">
        <v>45378</v>
      </c>
      <c r="D1358" s="14">
        <v>2180</v>
      </c>
      <c r="E1358" s="14">
        <v>15</v>
      </c>
      <c r="F1358" s="14">
        <v>3</v>
      </c>
      <c r="G1358" s="14">
        <v>5</v>
      </c>
      <c r="H1358" s="14">
        <v>22.47</v>
      </c>
      <c r="I1358" s="14">
        <f>'PIVOT TABLES'!$B$26</f>
        <v>60.283999999999999</v>
      </c>
      <c r="J1358" s="14">
        <f>'PIVOT TABLES'!$B$27-'PIVOT TABLES'!$B$26</f>
        <v>30.142000000000003</v>
      </c>
      <c r="K1358" s="14">
        <f>'PIVOT TABLES'!$B$28-'PIVOT TABLES'!$B$27</f>
        <v>30.141999999999996</v>
      </c>
      <c r="L1358" s="14">
        <f>200-SUM(Table3[[#This Row],[D - LIGHT]:[D - VIGOROUS]])</f>
        <v>79.432000000000002</v>
      </c>
      <c r="M1358" s="14">
        <f>'PIVOT TABLES'!$I$26</f>
        <v>65.603999999999999</v>
      </c>
      <c r="N1358" s="14">
        <f>'PIVOT TABLES'!$I$27-'PIVOT TABLES'!$I$26</f>
        <v>32.802000000000007</v>
      </c>
      <c r="O1358" s="14">
        <f>'PIVOT TABLES'!$I$28-'PIVOT TABLES'!$I$27</f>
        <v>32.801999999999992</v>
      </c>
      <c r="P1358" s="14">
        <f>200-SUM(Table3[[#This Row],[M - LIGHT]:[M - VIGOROUS]])</f>
        <v>68.792000000000002</v>
      </c>
      <c r="Q1358" s="14">
        <f>'PIVOT TABLES'!$P$26</f>
        <v>62.64</v>
      </c>
      <c r="R1358" s="14">
        <f>'PIVOT TABLES'!$P$27-'PIVOT TABLES'!$P$26</f>
        <v>31.320000000000007</v>
      </c>
      <c r="S1358" s="14">
        <f>'PIVOT TABLES'!$P$28-'PIVOT TABLES'!$P$27</f>
        <v>31.319999999999993</v>
      </c>
      <c r="T1358" s="14">
        <f>200-SUM(Table3[[#This Row],[W - LIGHT]:[W - VIGOROUS]])</f>
        <v>74.72</v>
      </c>
      <c r="U1358" s="14">
        <f>'PIVOT TABLES'!$W$26</f>
        <v>55.895999999999994</v>
      </c>
      <c r="V1358" s="14">
        <f>'PIVOT TABLES'!$W$27-'PIVOT TABLES'!$W$26</f>
        <v>27.948</v>
      </c>
      <c r="W1358" s="14">
        <f>'PIVOT TABLES'!$W$28-'PIVOT TABLES'!$W$27</f>
        <v>27.947999999999993</v>
      </c>
      <c r="X1358" s="14">
        <f>200-SUM(Table3[[#This Row],[S - LIGHT]:[S - VIGOROUS]])</f>
        <v>88.208000000000013</v>
      </c>
    </row>
    <row r="1359" spans="1:24" x14ac:dyDescent="0.25">
      <c r="A1359" s="44" t="s">
        <v>94</v>
      </c>
      <c r="B1359" s="64" t="str">
        <f t="shared" si="23"/>
        <v>Defender</v>
      </c>
      <c r="C1359" s="7">
        <v>45378</v>
      </c>
      <c r="D1359" s="14">
        <v>1229</v>
      </c>
      <c r="E1359" s="14">
        <v>0</v>
      </c>
      <c r="F1359" s="14">
        <v>0</v>
      </c>
      <c r="G1359" s="14">
        <v>1</v>
      </c>
      <c r="H1359" s="14">
        <v>12.31</v>
      </c>
      <c r="I1359" s="14">
        <f>'PIVOT TABLES'!$B$26</f>
        <v>60.283999999999999</v>
      </c>
      <c r="J1359" s="14">
        <f>'PIVOT TABLES'!$B$27-'PIVOT TABLES'!$B$26</f>
        <v>30.142000000000003</v>
      </c>
      <c r="K1359" s="14">
        <f>'PIVOT TABLES'!$B$28-'PIVOT TABLES'!$B$27</f>
        <v>30.141999999999996</v>
      </c>
      <c r="L1359" s="14">
        <f>200-SUM(Table3[[#This Row],[D - LIGHT]:[D - VIGOROUS]])</f>
        <v>79.432000000000002</v>
      </c>
      <c r="M1359" s="14">
        <f>'PIVOT TABLES'!$I$26</f>
        <v>65.603999999999999</v>
      </c>
      <c r="N1359" s="14">
        <f>'PIVOT TABLES'!$I$27-'PIVOT TABLES'!$I$26</f>
        <v>32.802000000000007</v>
      </c>
      <c r="O1359" s="14">
        <f>'PIVOT TABLES'!$I$28-'PIVOT TABLES'!$I$27</f>
        <v>32.801999999999992</v>
      </c>
      <c r="P1359" s="14">
        <f>200-SUM(Table3[[#This Row],[M - LIGHT]:[M - VIGOROUS]])</f>
        <v>68.792000000000002</v>
      </c>
      <c r="Q1359" s="14">
        <f>'PIVOT TABLES'!$P$26</f>
        <v>62.64</v>
      </c>
      <c r="R1359" s="14">
        <f>'PIVOT TABLES'!$P$27-'PIVOT TABLES'!$P$26</f>
        <v>31.320000000000007</v>
      </c>
      <c r="S1359" s="14">
        <f>'PIVOT TABLES'!$P$28-'PIVOT TABLES'!$P$27</f>
        <v>31.319999999999993</v>
      </c>
      <c r="T1359" s="14">
        <f>200-SUM(Table3[[#This Row],[W - LIGHT]:[W - VIGOROUS]])</f>
        <v>74.72</v>
      </c>
      <c r="U1359" s="14">
        <f>'PIVOT TABLES'!$W$26</f>
        <v>55.895999999999994</v>
      </c>
      <c r="V1359" s="14">
        <f>'PIVOT TABLES'!$W$27-'PIVOT TABLES'!$W$26</f>
        <v>27.948</v>
      </c>
      <c r="W1359" s="14">
        <f>'PIVOT TABLES'!$W$28-'PIVOT TABLES'!$W$27</f>
        <v>27.947999999999993</v>
      </c>
      <c r="X1359" s="14">
        <f>200-SUM(Table3[[#This Row],[S - LIGHT]:[S - VIGOROUS]])</f>
        <v>88.208000000000013</v>
      </c>
    </row>
    <row r="1360" spans="1:24" x14ac:dyDescent="0.25">
      <c r="A1360" s="44" t="s">
        <v>3</v>
      </c>
      <c r="B1360" s="64" t="str">
        <f t="shared" si="23"/>
        <v>Defender</v>
      </c>
      <c r="C1360" s="7">
        <v>45378</v>
      </c>
      <c r="D1360" s="14">
        <v>8596</v>
      </c>
      <c r="E1360" s="14">
        <v>58</v>
      </c>
      <c r="F1360" s="14">
        <v>19</v>
      </c>
      <c r="G1360" s="14">
        <v>36</v>
      </c>
      <c r="H1360" s="14">
        <v>89.18</v>
      </c>
      <c r="I1360" s="14">
        <f>'PIVOT TABLES'!$B$26</f>
        <v>60.283999999999999</v>
      </c>
      <c r="J1360" s="14">
        <f>'PIVOT TABLES'!$B$27-'PIVOT TABLES'!$B$26</f>
        <v>30.142000000000003</v>
      </c>
      <c r="K1360" s="14">
        <f>'PIVOT TABLES'!$B$28-'PIVOT TABLES'!$B$27</f>
        <v>30.141999999999996</v>
      </c>
      <c r="L1360" s="14">
        <f>200-SUM(Table3[[#This Row],[D - LIGHT]:[D - VIGOROUS]])</f>
        <v>79.432000000000002</v>
      </c>
      <c r="M1360" s="14">
        <f>'PIVOT TABLES'!$I$26</f>
        <v>65.603999999999999</v>
      </c>
      <c r="N1360" s="14">
        <f>'PIVOT TABLES'!$I$27-'PIVOT TABLES'!$I$26</f>
        <v>32.802000000000007</v>
      </c>
      <c r="O1360" s="14">
        <f>'PIVOT TABLES'!$I$28-'PIVOT TABLES'!$I$27</f>
        <v>32.801999999999992</v>
      </c>
      <c r="P1360" s="14">
        <f>200-SUM(Table3[[#This Row],[M - LIGHT]:[M - VIGOROUS]])</f>
        <v>68.792000000000002</v>
      </c>
      <c r="Q1360" s="14">
        <f>'PIVOT TABLES'!$P$26</f>
        <v>62.64</v>
      </c>
      <c r="R1360" s="14">
        <f>'PIVOT TABLES'!$P$27-'PIVOT TABLES'!$P$26</f>
        <v>31.320000000000007</v>
      </c>
      <c r="S1360" s="14">
        <f>'PIVOT TABLES'!$P$28-'PIVOT TABLES'!$P$27</f>
        <v>31.319999999999993</v>
      </c>
      <c r="T1360" s="14">
        <f>200-SUM(Table3[[#This Row],[W - LIGHT]:[W - VIGOROUS]])</f>
        <v>74.72</v>
      </c>
      <c r="U1360" s="14">
        <f>'PIVOT TABLES'!$W$26</f>
        <v>55.895999999999994</v>
      </c>
      <c r="V1360" s="14">
        <f>'PIVOT TABLES'!$W$27-'PIVOT TABLES'!$W$26</f>
        <v>27.948</v>
      </c>
      <c r="W1360" s="14">
        <f>'PIVOT TABLES'!$W$28-'PIVOT TABLES'!$W$27</f>
        <v>27.947999999999993</v>
      </c>
      <c r="X1360" s="14">
        <f>200-SUM(Table3[[#This Row],[S - LIGHT]:[S - VIGOROUS]])</f>
        <v>88.208000000000013</v>
      </c>
    </row>
    <row r="1361" spans="1:24" x14ac:dyDescent="0.25">
      <c r="A1361" s="44" t="s">
        <v>59</v>
      </c>
      <c r="B1361" s="64" t="str">
        <f t="shared" si="23"/>
        <v>Striker</v>
      </c>
      <c r="C1361" s="7">
        <v>45378</v>
      </c>
      <c r="D1361" s="14">
        <v>7595</v>
      </c>
      <c r="E1361" s="14">
        <v>175</v>
      </c>
      <c r="F1361" s="14">
        <v>32</v>
      </c>
      <c r="G1361" s="14">
        <v>30</v>
      </c>
      <c r="H1361" s="14">
        <v>83.08</v>
      </c>
      <c r="I1361" s="14">
        <f>'PIVOT TABLES'!$B$26</f>
        <v>60.283999999999999</v>
      </c>
      <c r="J1361" s="14">
        <f>'PIVOT TABLES'!$B$27-'PIVOT TABLES'!$B$26</f>
        <v>30.142000000000003</v>
      </c>
      <c r="K1361" s="14">
        <f>'PIVOT TABLES'!$B$28-'PIVOT TABLES'!$B$27</f>
        <v>30.141999999999996</v>
      </c>
      <c r="L1361" s="14">
        <f>200-SUM(Table3[[#This Row],[D - LIGHT]:[D - VIGOROUS]])</f>
        <v>79.432000000000002</v>
      </c>
      <c r="M1361" s="14">
        <f>'PIVOT TABLES'!$I$26</f>
        <v>65.603999999999999</v>
      </c>
      <c r="N1361" s="14">
        <f>'PIVOT TABLES'!$I$27-'PIVOT TABLES'!$I$26</f>
        <v>32.802000000000007</v>
      </c>
      <c r="O1361" s="14">
        <f>'PIVOT TABLES'!$I$28-'PIVOT TABLES'!$I$27</f>
        <v>32.801999999999992</v>
      </c>
      <c r="P1361" s="14">
        <f>200-SUM(Table3[[#This Row],[M - LIGHT]:[M - VIGOROUS]])</f>
        <v>68.792000000000002</v>
      </c>
      <c r="Q1361" s="14">
        <f>'PIVOT TABLES'!$P$26</f>
        <v>62.64</v>
      </c>
      <c r="R1361" s="14">
        <f>'PIVOT TABLES'!$P$27-'PIVOT TABLES'!$P$26</f>
        <v>31.320000000000007</v>
      </c>
      <c r="S1361" s="14">
        <f>'PIVOT TABLES'!$P$28-'PIVOT TABLES'!$P$27</f>
        <v>31.319999999999993</v>
      </c>
      <c r="T1361" s="14">
        <f>200-SUM(Table3[[#This Row],[W - LIGHT]:[W - VIGOROUS]])</f>
        <v>74.72</v>
      </c>
      <c r="U1361" s="14">
        <f>'PIVOT TABLES'!$W$26</f>
        <v>55.895999999999994</v>
      </c>
      <c r="V1361" s="14">
        <f>'PIVOT TABLES'!$W$27-'PIVOT TABLES'!$W$26</f>
        <v>27.948</v>
      </c>
      <c r="W1361" s="14">
        <f>'PIVOT TABLES'!$W$28-'PIVOT TABLES'!$W$27</f>
        <v>27.947999999999993</v>
      </c>
      <c r="X1361" s="14">
        <f>200-SUM(Table3[[#This Row],[S - LIGHT]:[S - VIGOROUS]])</f>
        <v>88.208000000000013</v>
      </c>
    </row>
    <row r="1362" spans="1:24" x14ac:dyDescent="0.25">
      <c r="A1362" s="44" t="s">
        <v>4</v>
      </c>
      <c r="B1362" s="64" t="str">
        <f t="shared" si="23"/>
        <v>Midfielder</v>
      </c>
      <c r="C1362" s="7">
        <v>45378</v>
      </c>
      <c r="D1362" s="14">
        <v>4807</v>
      </c>
      <c r="E1362" s="14">
        <v>0</v>
      </c>
      <c r="F1362" s="14">
        <v>9</v>
      </c>
      <c r="G1362" s="14">
        <v>19</v>
      </c>
      <c r="H1362" s="14">
        <v>48.81</v>
      </c>
      <c r="I1362" s="14">
        <f>'PIVOT TABLES'!$B$26</f>
        <v>60.283999999999999</v>
      </c>
      <c r="J1362" s="14">
        <f>'PIVOT TABLES'!$B$27-'PIVOT TABLES'!$B$26</f>
        <v>30.142000000000003</v>
      </c>
      <c r="K1362" s="14">
        <f>'PIVOT TABLES'!$B$28-'PIVOT TABLES'!$B$27</f>
        <v>30.141999999999996</v>
      </c>
      <c r="L1362" s="14">
        <f>200-SUM(Table3[[#This Row],[D - LIGHT]:[D - VIGOROUS]])</f>
        <v>79.432000000000002</v>
      </c>
      <c r="M1362" s="14">
        <f>'PIVOT TABLES'!$I$26</f>
        <v>65.603999999999999</v>
      </c>
      <c r="N1362" s="14">
        <f>'PIVOT TABLES'!$I$27-'PIVOT TABLES'!$I$26</f>
        <v>32.802000000000007</v>
      </c>
      <c r="O1362" s="14">
        <f>'PIVOT TABLES'!$I$28-'PIVOT TABLES'!$I$27</f>
        <v>32.801999999999992</v>
      </c>
      <c r="P1362" s="14">
        <f>200-SUM(Table3[[#This Row],[M - LIGHT]:[M - VIGOROUS]])</f>
        <v>68.792000000000002</v>
      </c>
      <c r="Q1362" s="14">
        <f>'PIVOT TABLES'!$P$26</f>
        <v>62.64</v>
      </c>
      <c r="R1362" s="14">
        <f>'PIVOT TABLES'!$P$27-'PIVOT TABLES'!$P$26</f>
        <v>31.320000000000007</v>
      </c>
      <c r="S1362" s="14">
        <f>'PIVOT TABLES'!$P$28-'PIVOT TABLES'!$P$27</f>
        <v>31.319999999999993</v>
      </c>
      <c r="T1362" s="14">
        <f>200-SUM(Table3[[#This Row],[W - LIGHT]:[W - VIGOROUS]])</f>
        <v>74.72</v>
      </c>
      <c r="U1362" s="14">
        <f>'PIVOT TABLES'!$W$26</f>
        <v>55.895999999999994</v>
      </c>
      <c r="V1362" s="14">
        <f>'PIVOT TABLES'!$W$27-'PIVOT TABLES'!$W$26</f>
        <v>27.948</v>
      </c>
      <c r="W1362" s="14">
        <f>'PIVOT TABLES'!$W$28-'PIVOT TABLES'!$W$27</f>
        <v>27.947999999999993</v>
      </c>
      <c r="X1362" s="14">
        <f>200-SUM(Table3[[#This Row],[S - LIGHT]:[S - VIGOROUS]])</f>
        <v>88.208000000000013</v>
      </c>
    </row>
    <row r="1363" spans="1:24" x14ac:dyDescent="0.25">
      <c r="A1363" s="44" t="s">
        <v>71</v>
      </c>
      <c r="B1363" s="64" t="str">
        <f t="shared" si="23"/>
        <v>Midfielder</v>
      </c>
      <c r="C1363" s="7">
        <v>45378</v>
      </c>
      <c r="D1363" s="14">
        <v>9631</v>
      </c>
      <c r="E1363" s="14">
        <v>48</v>
      </c>
      <c r="F1363" s="14">
        <v>29</v>
      </c>
      <c r="G1363" s="14">
        <v>31</v>
      </c>
      <c r="H1363" s="14">
        <v>99.53</v>
      </c>
      <c r="I1363" s="14">
        <f>'PIVOT TABLES'!$B$26</f>
        <v>60.283999999999999</v>
      </c>
      <c r="J1363" s="14">
        <f>'PIVOT TABLES'!$B$27-'PIVOT TABLES'!$B$26</f>
        <v>30.142000000000003</v>
      </c>
      <c r="K1363" s="14">
        <f>'PIVOT TABLES'!$B$28-'PIVOT TABLES'!$B$27</f>
        <v>30.141999999999996</v>
      </c>
      <c r="L1363" s="14">
        <f>200-SUM(Table3[[#This Row],[D - LIGHT]:[D - VIGOROUS]])</f>
        <v>79.432000000000002</v>
      </c>
      <c r="M1363" s="14">
        <f>'PIVOT TABLES'!$I$26</f>
        <v>65.603999999999999</v>
      </c>
      <c r="N1363" s="14">
        <f>'PIVOT TABLES'!$I$27-'PIVOT TABLES'!$I$26</f>
        <v>32.802000000000007</v>
      </c>
      <c r="O1363" s="14">
        <f>'PIVOT TABLES'!$I$28-'PIVOT TABLES'!$I$27</f>
        <v>32.801999999999992</v>
      </c>
      <c r="P1363" s="14">
        <f>200-SUM(Table3[[#This Row],[M - LIGHT]:[M - VIGOROUS]])</f>
        <v>68.792000000000002</v>
      </c>
      <c r="Q1363" s="14">
        <f>'PIVOT TABLES'!$P$26</f>
        <v>62.64</v>
      </c>
      <c r="R1363" s="14">
        <f>'PIVOT TABLES'!$P$27-'PIVOT TABLES'!$P$26</f>
        <v>31.320000000000007</v>
      </c>
      <c r="S1363" s="14">
        <f>'PIVOT TABLES'!$P$28-'PIVOT TABLES'!$P$27</f>
        <v>31.319999999999993</v>
      </c>
      <c r="T1363" s="14">
        <f>200-SUM(Table3[[#This Row],[W - LIGHT]:[W - VIGOROUS]])</f>
        <v>74.72</v>
      </c>
      <c r="U1363" s="14">
        <f>'PIVOT TABLES'!$W$26</f>
        <v>55.895999999999994</v>
      </c>
      <c r="V1363" s="14">
        <f>'PIVOT TABLES'!$W$27-'PIVOT TABLES'!$W$26</f>
        <v>27.948</v>
      </c>
      <c r="W1363" s="14">
        <f>'PIVOT TABLES'!$W$28-'PIVOT TABLES'!$W$27</f>
        <v>27.947999999999993</v>
      </c>
      <c r="X1363" s="14">
        <f>200-SUM(Table3[[#This Row],[S - LIGHT]:[S - VIGOROUS]])</f>
        <v>88.208000000000013</v>
      </c>
    </row>
    <row r="1364" spans="1:24" x14ac:dyDescent="0.25">
      <c r="A1364" s="44" t="s">
        <v>5</v>
      </c>
      <c r="B1364" s="64" t="str">
        <f t="shared" si="23"/>
        <v>Midfielder</v>
      </c>
      <c r="C1364" s="7">
        <v>45378</v>
      </c>
      <c r="D1364" s="14">
        <v>7568</v>
      </c>
      <c r="E1364" s="14">
        <v>124</v>
      </c>
      <c r="F1364" s="14">
        <v>34</v>
      </c>
      <c r="G1364" s="14">
        <v>29</v>
      </c>
      <c r="H1364" s="14">
        <v>81.34</v>
      </c>
      <c r="I1364" s="14">
        <f>'PIVOT TABLES'!$B$26</f>
        <v>60.283999999999999</v>
      </c>
      <c r="J1364" s="14">
        <f>'PIVOT TABLES'!$B$27-'PIVOT TABLES'!$B$26</f>
        <v>30.142000000000003</v>
      </c>
      <c r="K1364" s="14">
        <f>'PIVOT TABLES'!$B$28-'PIVOT TABLES'!$B$27</f>
        <v>30.141999999999996</v>
      </c>
      <c r="L1364" s="14">
        <f>200-SUM(Table3[[#This Row],[D - LIGHT]:[D - VIGOROUS]])</f>
        <v>79.432000000000002</v>
      </c>
      <c r="M1364" s="14">
        <f>'PIVOT TABLES'!$I$26</f>
        <v>65.603999999999999</v>
      </c>
      <c r="N1364" s="14">
        <f>'PIVOT TABLES'!$I$27-'PIVOT TABLES'!$I$26</f>
        <v>32.802000000000007</v>
      </c>
      <c r="O1364" s="14">
        <f>'PIVOT TABLES'!$I$28-'PIVOT TABLES'!$I$27</f>
        <v>32.801999999999992</v>
      </c>
      <c r="P1364" s="14">
        <f>200-SUM(Table3[[#This Row],[M - LIGHT]:[M - VIGOROUS]])</f>
        <v>68.792000000000002</v>
      </c>
      <c r="Q1364" s="14">
        <f>'PIVOT TABLES'!$P$26</f>
        <v>62.64</v>
      </c>
      <c r="R1364" s="14">
        <f>'PIVOT TABLES'!$P$27-'PIVOT TABLES'!$P$26</f>
        <v>31.320000000000007</v>
      </c>
      <c r="S1364" s="14">
        <f>'PIVOT TABLES'!$P$28-'PIVOT TABLES'!$P$27</f>
        <v>31.319999999999993</v>
      </c>
      <c r="T1364" s="14">
        <f>200-SUM(Table3[[#This Row],[W - LIGHT]:[W - VIGOROUS]])</f>
        <v>74.72</v>
      </c>
      <c r="U1364" s="14">
        <f>'PIVOT TABLES'!$W$26</f>
        <v>55.895999999999994</v>
      </c>
      <c r="V1364" s="14">
        <f>'PIVOT TABLES'!$W$27-'PIVOT TABLES'!$W$26</f>
        <v>27.948</v>
      </c>
      <c r="W1364" s="14">
        <f>'PIVOT TABLES'!$W$28-'PIVOT TABLES'!$W$27</f>
        <v>27.947999999999993</v>
      </c>
      <c r="X1364" s="14">
        <f>200-SUM(Table3[[#This Row],[S - LIGHT]:[S - VIGOROUS]])</f>
        <v>88.208000000000013</v>
      </c>
    </row>
    <row r="1365" spans="1:24" x14ac:dyDescent="0.25">
      <c r="A1365" s="44" t="s">
        <v>62</v>
      </c>
      <c r="B1365" s="64" t="str">
        <f t="shared" si="23"/>
        <v>Midfielder</v>
      </c>
      <c r="C1365" s="7">
        <v>45378</v>
      </c>
      <c r="D1365" s="14">
        <v>10997</v>
      </c>
      <c r="E1365" s="14">
        <v>46</v>
      </c>
      <c r="F1365" s="14">
        <v>42</v>
      </c>
      <c r="G1365" s="14">
        <v>20</v>
      </c>
      <c r="H1365" s="14">
        <v>113.43</v>
      </c>
      <c r="I1365" s="14">
        <f>'PIVOT TABLES'!$B$26</f>
        <v>60.283999999999999</v>
      </c>
      <c r="J1365" s="14">
        <f>'PIVOT TABLES'!$B$27-'PIVOT TABLES'!$B$26</f>
        <v>30.142000000000003</v>
      </c>
      <c r="K1365" s="14">
        <f>'PIVOT TABLES'!$B$28-'PIVOT TABLES'!$B$27</f>
        <v>30.141999999999996</v>
      </c>
      <c r="L1365" s="14">
        <f>200-SUM(Table3[[#This Row],[D - LIGHT]:[D - VIGOROUS]])</f>
        <v>79.432000000000002</v>
      </c>
      <c r="M1365" s="14">
        <f>'PIVOT TABLES'!$I$26</f>
        <v>65.603999999999999</v>
      </c>
      <c r="N1365" s="14">
        <f>'PIVOT TABLES'!$I$27-'PIVOT TABLES'!$I$26</f>
        <v>32.802000000000007</v>
      </c>
      <c r="O1365" s="14">
        <f>'PIVOT TABLES'!$I$28-'PIVOT TABLES'!$I$27</f>
        <v>32.801999999999992</v>
      </c>
      <c r="P1365" s="14">
        <f>200-SUM(Table3[[#This Row],[M - LIGHT]:[M - VIGOROUS]])</f>
        <v>68.792000000000002</v>
      </c>
      <c r="Q1365" s="14">
        <f>'PIVOT TABLES'!$P$26</f>
        <v>62.64</v>
      </c>
      <c r="R1365" s="14">
        <f>'PIVOT TABLES'!$P$27-'PIVOT TABLES'!$P$26</f>
        <v>31.320000000000007</v>
      </c>
      <c r="S1365" s="14">
        <f>'PIVOT TABLES'!$P$28-'PIVOT TABLES'!$P$27</f>
        <v>31.319999999999993</v>
      </c>
      <c r="T1365" s="14">
        <f>200-SUM(Table3[[#This Row],[W - LIGHT]:[W - VIGOROUS]])</f>
        <v>74.72</v>
      </c>
      <c r="U1365" s="14">
        <f>'PIVOT TABLES'!$W$26</f>
        <v>55.895999999999994</v>
      </c>
      <c r="V1365" s="14">
        <f>'PIVOT TABLES'!$W$27-'PIVOT TABLES'!$W$26</f>
        <v>27.948</v>
      </c>
      <c r="W1365" s="14">
        <f>'PIVOT TABLES'!$W$28-'PIVOT TABLES'!$W$27</f>
        <v>27.947999999999993</v>
      </c>
      <c r="X1365" s="14">
        <f>200-SUM(Table3[[#This Row],[S - LIGHT]:[S - VIGOROUS]])</f>
        <v>88.208000000000013</v>
      </c>
    </row>
    <row r="1366" spans="1:24" x14ac:dyDescent="0.25">
      <c r="A1366" s="44" t="s">
        <v>63</v>
      </c>
      <c r="B1366" s="64" t="str">
        <f t="shared" si="23"/>
        <v>Winger</v>
      </c>
      <c r="C1366" s="7">
        <v>45378</v>
      </c>
      <c r="D1366" s="14">
        <v>5310</v>
      </c>
      <c r="E1366" s="14">
        <v>35</v>
      </c>
      <c r="F1366" s="14">
        <v>25</v>
      </c>
      <c r="G1366" s="14">
        <v>19</v>
      </c>
      <c r="H1366" s="14">
        <v>55.53</v>
      </c>
      <c r="I1366" s="14">
        <f>'PIVOT TABLES'!$B$26</f>
        <v>60.283999999999999</v>
      </c>
      <c r="J1366" s="14">
        <f>'PIVOT TABLES'!$B$27-'PIVOT TABLES'!$B$26</f>
        <v>30.142000000000003</v>
      </c>
      <c r="K1366" s="14">
        <f>'PIVOT TABLES'!$B$28-'PIVOT TABLES'!$B$27</f>
        <v>30.141999999999996</v>
      </c>
      <c r="L1366" s="14">
        <f>200-SUM(Table3[[#This Row],[D - LIGHT]:[D - VIGOROUS]])</f>
        <v>79.432000000000002</v>
      </c>
      <c r="M1366" s="14">
        <f>'PIVOT TABLES'!$I$26</f>
        <v>65.603999999999999</v>
      </c>
      <c r="N1366" s="14">
        <f>'PIVOT TABLES'!$I$27-'PIVOT TABLES'!$I$26</f>
        <v>32.802000000000007</v>
      </c>
      <c r="O1366" s="14">
        <f>'PIVOT TABLES'!$I$28-'PIVOT TABLES'!$I$27</f>
        <v>32.801999999999992</v>
      </c>
      <c r="P1366" s="14">
        <f>200-SUM(Table3[[#This Row],[M - LIGHT]:[M - VIGOROUS]])</f>
        <v>68.792000000000002</v>
      </c>
      <c r="Q1366" s="14">
        <f>'PIVOT TABLES'!$P$26</f>
        <v>62.64</v>
      </c>
      <c r="R1366" s="14">
        <f>'PIVOT TABLES'!$P$27-'PIVOT TABLES'!$P$26</f>
        <v>31.320000000000007</v>
      </c>
      <c r="S1366" s="14">
        <f>'PIVOT TABLES'!$P$28-'PIVOT TABLES'!$P$27</f>
        <v>31.319999999999993</v>
      </c>
      <c r="T1366" s="14">
        <f>200-SUM(Table3[[#This Row],[W - LIGHT]:[W - VIGOROUS]])</f>
        <v>74.72</v>
      </c>
      <c r="U1366" s="14">
        <f>'PIVOT TABLES'!$W$26</f>
        <v>55.895999999999994</v>
      </c>
      <c r="V1366" s="14">
        <f>'PIVOT TABLES'!$W$27-'PIVOT TABLES'!$W$26</f>
        <v>27.948</v>
      </c>
      <c r="W1366" s="14">
        <f>'PIVOT TABLES'!$W$28-'PIVOT TABLES'!$W$27</f>
        <v>27.947999999999993</v>
      </c>
      <c r="X1366" s="14">
        <f>200-SUM(Table3[[#This Row],[S - LIGHT]:[S - VIGOROUS]])</f>
        <v>88.208000000000013</v>
      </c>
    </row>
    <row r="1367" spans="1:24" x14ac:dyDescent="0.25">
      <c r="A1367" s="44" t="s">
        <v>64</v>
      </c>
      <c r="B1367" s="64" t="str">
        <f t="shared" si="23"/>
        <v>Midfielder</v>
      </c>
      <c r="C1367" s="7">
        <v>45378</v>
      </c>
      <c r="D1367" s="14">
        <v>1662</v>
      </c>
      <c r="E1367" s="14">
        <v>0</v>
      </c>
      <c r="F1367" s="14">
        <v>1</v>
      </c>
      <c r="G1367" s="14">
        <v>0</v>
      </c>
      <c r="H1367" s="14">
        <v>16.66</v>
      </c>
      <c r="I1367" s="14">
        <f>'PIVOT TABLES'!$B$26</f>
        <v>60.283999999999999</v>
      </c>
      <c r="J1367" s="14">
        <f>'PIVOT TABLES'!$B$27-'PIVOT TABLES'!$B$26</f>
        <v>30.142000000000003</v>
      </c>
      <c r="K1367" s="14">
        <f>'PIVOT TABLES'!$B$28-'PIVOT TABLES'!$B$27</f>
        <v>30.141999999999996</v>
      </c>
      <c r="L1367" s="14">
        <f>200-SUM(Table3[[#This Row],[D - LIGHT]:[D - VIGOROUS]])</f>
        <v>79.432000000000002</v>
      </c>
      <c r="M1367" s="14">
        <f>'PIVOT TABLES'!$I$26</f>
        <v>65.603999999999999</v>
      </c>
      <c r="N1367" s="14">
        <f>'PIVOT TABLES'!$I$27-'PIVOT TABLES'!$I$26</f>
        <v>32.802000000000007</v>
      </c>
      <c r="O1367" s="14">
        <f>'PIVOT TABLES'!$I$28-'PIVOT TABLES'!$I$27</f>
        <v>32.801999999999992</v>
      </c>
      <c r="P1367" s="14">
        <f>200-SUM(Table3[[#This Row],[M - LIGHT]:[M - VIGOROUS]])</f>
        <v>68.792000000000002</v>
      </c>
      <c r="Q1367" s="14">
        <f>'PIVOT TABLES'!$P$26</f>
        <v>62.64</v>
      </c>
      <c r="R1367" s="14">
        <f>'PIVOT TABLES'!$P$27-'PIVOT TABLES'!$P$26</f>
        <v>31.320000000000007</v>
      </c>
      <c r="S1367" s="14">
        <f>'PIVOT TABLES'!$P$28-'PIVOT TABLES'!$P$27</f>
        <v>31.319999999999993</v>
      </c>
      <c r="T1367" s="14">
        <f>200-SUM(Table3[[#This Row],[W - LIGHT]:[W - VIGOROUS]])</f>
        <v>74.72</v>
      </c>
      <c r="U1367" s="14">
        <f>'PIVOT TABLES'!$W$26</f>
        <v>55.895999999999994</v>
      </c>
      <c r="V1367" s="14">
        <f>'PIVOT TABLES'!$W$27-'PIVOT TABLES'!$W$26</f>
        <v>27.948</v>
      </c>
      <c r="W1367" s="14">
        <f>'PIVOT TABLES'!$W$28-'PIVOT TABLES'!$W$27</f>
        <v>27.947999999999993</v>
      </c>
      <c r="X1367" s="14">
        <f>200-SUM(Table3[[#This Row],[S - LIGHT]:[S - VIGOROUS]])</f>
        <v>88.208000000000013</v>
      </c>
    </row>
    <row r="1368" spans="1:24" x14ac:dyDescent="0.25">
      <c r="A1368" s="44" t="s">
        <v>65</v>
      </c>
      <c r="B1368" s="64" t="str">
        <f t="shared" si="23"/>
        <v>Winger</v>
      </c>
      <c r="C1368" s="7">
        <v>45378</v>
      </c>
      <c r="D1368" s="14">
        <v>5739</v>
      </c>
      <c r="E1368" s="14">
        <v>125</v>
      </c>
      <c r="F1368" s="14">
        <v>36</v>
      </c>
      <c r="G1368" s="14">
        <v>24</v>
      </c>
      <c r="H1368" s="14">
        <v>63.06</v>
      </c>
      <c r="I1368" s="14">
        <f>'PIVOT TABLES'!$B$26</f>
        <v>60.283999999999999</v>
      </c>
      <c r="J1368" s="14">
        <f>'PIVOT TABLES'!$B$27-'PIVOT TABLES'!$B$26</f>
        <v>30.142000000000003</v>
      </c>
      <c r="K1368" s="14">
        <f>'PIVOT TABLES'!$B$28-'PIVOT TABLES'!$B$27</f>
        <v>30.141999999999996</v>
      </c>
      <c r="L1368" s="14">
        <f>200-SUM(Table3[[#This Row],[D - LIGHT]:[D - VIGOROUS]])</f>
        <v>79.432000000000002</v>
      </c>
      <c r="M1368" s="14">
        <f>'PIVOT TABLES'!$I$26</f>
        <v>65.603999999999999</v>
      </c>
      <c r="N1368" s="14">
        <f>'PIVOT TABLES'!$I$27-'PIVOT TABLES'!$I$26</f>
        <v>32.802000000000007</v>
      </c>
      <c r="O1368" s="14">
        <f>'PIVOT TABLES'!$I$28-'PIVOT TABLES'!$I$27</f>
        <v>32.801999999999992</v>
      </c>
      <c r="P1368" s="14">
        <f>200-SUM(Table3[[#This Row],[M - LIGHT]:[M - VIGOROUS]])</f>
        <v>68.792000000000002</v>
      </c>
      <c r="Q1368" s="14">
        <f>'PIVOT TABLES'!$P$26</f>
        <v>62.64</v>
      </c>
      <c r="R1368" s="14">
        <f>'PIVOT TABLES'!$P$27-'PIVOT TABLES'!$P$26</f>
        <v>31.320000000000007</v>
      </c>
      <c r="S1368" s="14">
        <f>'PIVOT TABLES'!$P$28-'PIVOT TABLES'!$P$27</f>
        <v>31.319999999999993</v>
      </c>
      <c r="T1368" s="14">
        <f>200-SUM(Table3[[#This Row],[W - LIGHT]:[W - VIGOROUS]])</f>
        <v>74.72</v>
      </c>
      <c r="U1368" s="14">
        <f>'PIVOT TABLES'!$W$26</f>
        <v>55.895999999999994</v>
      </c>
      <c r="V1368" s="14">
        <f>'PIVOT TABLES'!$W$27-'PIVOT TABLES'!$W$26</f>
        <v>27.948</v>
      </c>
      <c r="W1368" s="14">
        <f>'PIVOT TABLES'!$W$28-'PIVOT TABLES'!$W$27</f>
        <v>27.947999999999993</v>
      </c>
      <c r="X1368" s="14">
        <f>200-SUM(Table3[[#This Row],[S - LIGHT]:[S - VIGOROUS]])</f>
        <v>88.208000000000013</v>
      </c>
    </row>
    <row r="1369" spans="1:24" x14ac:dyDescent="0.25">
      <c r="A1369" s="44" t="s">
        <v>66</v>
      </c>
      <c r="B1369" s="64" t="str">
        <f t="shared" si="23"/>
        <v>Striker</v>
      </c>
      <c r="C1369" s="7">
        <v>45378</v>
      </c>
      <c r="D1369" s="14">
        <v>3641</v>
      </c>
      <c r="E1369" s="14">
        <v>0</v>
      </c>
      <c r="F1369" s="14">
        <v>0</v>
      </c>
      <c r="G1369" s="14">
        <v>2</v>
      </c>
      <c r="H1369" s="14">
        <v>36.450000000000003</v>
      </c>
      <c r="I1369" s="14">
        <f>'PIVOT TABLES'!$B$26</f>
        <v>60.283999999999999</v>
      </c>
      <c r="J1369" s="14">
        <f>'PIVOT TABLES'!$B$27-'PIVOT TABLES'!$B$26</f>
        <v>30.142000000000003</v>
      </c>
      <c r="K1369" s="14">
        <f>'PIVOT TABLES'!$B$28-'PIVOT TABLES'!$B$27</f>
        <v>30.141999999999996</v>
      </c>
      <c r="L1369" s="14">
        <f>200-SUM(Table3[[#This Row],[D - LIGHT]:[D - VIGOROUS]])</f>
        <v>79.432000000000002</v>
      </c>
      <c r="M1369" s="14">
        <f>'PIVOT TABLES'!$I$26</f>
        <v>65.603999999999999</v>
      </c>
      <c r="N1369" s="14">
        <f>'PIVOT TABLES'!$I$27-'PIVOT TABLES'!$I$26</f>
        <v>32.802000000000007</v>
      </c>
      <c r="O1369" s="14">
        <f>'PIVOT TABLES'!$I$28-'PIVOT TABLES'!$I$27</f>
        <v>32.801999999999992</v>
      </c>
      <c r="P1369" s="14">
        <f>200-SUM(Table3[[#This Row],[M - LIGHT]:[M - VIGOROUS]])</f>
        <v>68.792000000000002</v>
      </c>
      <c r="Q1369" s="14">
        <f>'PIVOT TABLES'!$P$26</f>
        <v>62.64</v>
      </c>
      <c r="R1369" s="14">
        <f>'PIVOT TABLES'!$P$27-'PIVOT TABLES'!$P$26</f>
        <v>31.320000000000007</v>
      </c>
      <c r="S1369" s="14">
        <f>'PIVOT TABLES'!$P$28-'PIVOT TABLES'!$P$27</f>
        <v>31.319999999999993</v>
      </c>
      <c r="T1369" s="14">
        <f>200-SUM(Table3[[#This Row],[W - LIGHT]:[W - VIGOROUS]])</f>
        <v>74.72</v>
      </c>
      <c r="U1369" s="14">
        <f>'PIVOT TABLES'!$W$26</f>
        <v>55.895999999999994</v>
      </c>
      <c r="V1369" s="14">
        <f>'PIVOT TABLES'!$W$27-'PIVOT TABLES'!$W$26</f>
        <v>27.948</v>
      </c>
      <c r="W1369" s="14">
        <f>'PIVOT TABLES'!$W$28-'PIVOT TABLES'!$W$27</f>
        <v>27.947999999999993</v>
      </c>
      <c r="X1369" s="14">
        <f>200-SUM(Table3[[#This Row],[S - LIGHT]:[S - VIGOROUS]])</f>
        <v>88.208000000000013</v>
      </c>
    </row>
    <row r="1370" spans="1:24" x14ac:dyDescent="0.25">
      <c r="A1370" s="44" t="s">
        <v>78</v>
      </c>
      <c r="B1370" s="64" t="str">
        <f t="shared" si="23"/>
        <v>Defender</v>
      </c>
      <c r="C1370" s="7">
        <v>45378</v>
      </c>
      <c r="D1370" s="14">
        <v>9889</v>
      </c>
      <c r="E1370" s="14">
        <v>97</v>
      </c>
      <c r="F1370" s="14">
        <v>26</v>
      </c>
      <c r="G1370" s="14">
        <v>27</v>
      </c>
      <c r="H1370" s="14">
        <v>103.38</v>
      </c>
      <c r="I1370" s="14">
        <f>'PIVOT TABLES'!$B$26</f>
        <v>60.283999999999999</v>
      </c>
      <c r="J1370" s="14">
        <f>'PIVOT TABLES'!$B$27-'PIVOT TABLES'!$B$26</f>
        <v>30.142000000000003</v>
      </c>
      <c r="K1370" s="14">
        <f>'PIVOT TABLES'!$B$28-'PIVOT TABLES'!$B$27</f>
        <v>30.141999999999996</v>
      </c>
      <c r="L1370" s="14">
        <f>200-SUM(Table3[[#This Row],[D - LIGHT]:[D - VIGOROUS]])</f>
        <v>79.432000000000002</v>
      </c>
      <c r="M1370" s="14">
        <f>'PIVOT TABLES'!$I$26</f>
        <v>65.603999999999999</v>
      </c>
      <c r="N1370" s="14">
        <f>'PIVOT TABLES'!$I$27-'PIVOT TABLES'!$I$26</f>
        <v>32.802000000000007</v>
      </c>
      <c r="O1370" s="14">
        <f>'PIVOT TABLES'!$I$28-'PIVOT TABLES'!$I$27</f>
        <v>32.801999999999992</v>
      </c>
      <c r="P1370" s="14">
        <f>200-SUM(Table3[[#This Row],[M - LIGHT]:[M - VIGOROUS]])</f>
        <v>68.792000000000002</v>
      </c>
      <c r="Q1370" s="14">
        <f>'PIVOT TABLES'!$P$26</f>
        <v>62.64</v>
      </c>
      <c r="R1370" s="14">
        <f>'PIVOT TABLES'!$P$27-'PIVOT TABLES'!$P$26</f>
        <v>31.320000000000007</v>
      </c>
      <c r="S1370" s="14">
        <f>'PIVOT TABLES'!$P$28-'PIVOT TABLES'!$P$27</f>
        <v>31.319999999999993</v>
      </c>
      <c r="T1370" s="14">
        <f>200-SUM(Table3[[#This Row],[W - LIGHT]:[W - VIGOROUS]])</f>
        <v>74.72</v>
      </c>
      <c r="U1370" s="14">
        <f>'PIVOT TABLES'!$W$26</f>
        <v>55.895999999999994</v>
      </c>
      <c r="V1370" s="14">
        <f>'PIVOT TABLES'!$W$27-'PIVOT TABLES'!$W$26</f>
        <v>27.948</v>
      </c>
      <c r="W1370" s="14">
        <f>'PIVOT TABLES'!$W$28-'PIVOT TABLES'!$W$27</f>
        <v>27.947999999999993</v>
      </c>
      <c r="X1370" s="14">
        <f>200-SUM(Table3[[#This Row],[S - LIGHT]:[S - VIGOROUS]])</f>
        <v>88.208000000000013</v>
      </c>
    </row>
    <row r="1371" spans="1:24" x14ac:dyDescent="0.25">
      <c r="A1371" s="44" t="s">
        <v>95</v>
      </c>
      <c r="B1371" s="64" t="str">
        <f t="shared" si="23"/>
        <v>Winger</v>
      </c>
      <c r="C1371" s="7">
        <v>45378</v>
      </c>
      <c r="D1371" s="14">
        <v>6575</v>
      </c>
      <c r="E1371" s="14">
        <v>62</v>
      </c>
      <c r="F1371" s="14">
        <v>14</v>
      </c>
      <c r="G1371" s="14">
        <v>12</v>
      </c>
      <c r="H1371" s="14">
        <v>68.41</v>
      </c>
      <c r="I1371" s="14">
        <f>'PIVOT TABLES'!$B$26</f>
        <v>60.283999999999999</v>
      </c>
      <c r="J1371" s="14">
        <f>'PIVOT TABLES'!$B$27-'PIVOT TABLES'!$B$26</f>
        <v>30.142000000000003</v>
      </c>
      <c r="K1371" s="14">
        <f>'PIVOT TABLES'!$B$28-'PIVOT TABLES'!$B$27</f>
        <v>30.141999999999996</v>
      </c>
      <c r="L1371" s="14">
        <f>200-SUM(Table3[[#This Row],[D - LIGHT]:[D - VIGOROUS]])</f>
        <v>79.432000000000002</v>
      </c>
      <c r="M1371" s="14">
        <f>'PIVOT TABLES'!$I$26</f>
        <v>65.603999999999999</v>
      </c>
      <c r="N1371" s="14">
        <f>'PIVOT TABLES'!$I$27-'PIVOT TABLES'!$I$26</f>
        <v>32.802000000000007</v>
      </c>
      <c r="O1371" s="14">
        <f>'PIVOT TABLES'!$I$28-'PIVOT TABLES'!$I$27</f>
        <v>32.801999999999992</v>
      </c>
      <c r="P1371" s="14">
        <f>200-SUM(Table3[[#This Row],[M - LIGHT]:[M - VIGOROUS]])</f>
        <v>68.792000000000002</v>
      </c>
      <c r="Q1371" s="14">
        <f>'PIVOT TABLES'!$P$26</f>
        <v>62.64</v>
      </c>
      <c r="R1371" s="14">
        <f>'PIVOT TABLES'!$P$27-'PIVOT TABLES'!$P$26</f>
        <v>31.320000000000007</v>
      </c>
      <c r="S1371" s="14">
        <f>'PIVOT TABLES'!$P$28-'PIVOT TABLES'!$P$27</f>
        <v>31.319999999999993</v>
      </c>
      <c r="T1371" s="14">
        <f>200-SUM(Table3[[#This Row],[W - LIGHT]:[W - VIGOROUS]])</f>
        <v>74.72</v>
      </c>
      <c r="U1371" s="14">
        <f>'PIVOT TABLES'!$W$26</f>
        <v>55.895999999999994</v>
      </c>
      <c r="V1371" s="14">
        <f>'PIVOT TABLES'!$W$27-'PIVOT TABLES'!$W$26</f>
        <v>27.948</v>
      </c>
      <c r="W1371" s="14">
        <f>'PIVOT TABLES'!$W$28-'PIVOT TABLES'!$W$27</f>
        <v>27.947999999999993</v>
      </c>
      <c r="X1371" s="14">
        <f>200-SUM(Table3[[#This Row],[S - LIGHT]:[S - VIGOROUS]])</f>
        <v>88.208000000000013</v>
      </c>
    </row>
    <row r="1372" spans="1:24" x14ac:dyDescent="0.25">
      <c r="A1372" s="44" t="s">
        <v>8</v>
      </c>
      <c r="B1372" s="64" t="str">
        <f t="shared" si="23"/>
        <v>Striker</v>
      </c>
      <c r="C1372" s="7">
        <v>45378</v>
      </c>
      <c r="D1372" s="14">
        <v>1322</v>
      </c>
      <c r="E1372" s="14">
        <v>0</v>
      </c>
      <c r="F1372" s="14">
        <v>0</v>
      </c>
      <c r="G1372" s="14">
        <v>1</v>
      </c>
      <c r="H1372" s="14">
        <v>13.24</v>
      </c>
      <c r="I1372" s="14">
        <f>'PIVOT TABLES'!$B$26</f>
        <v>60.283999999999999</v>
      </c>
      <c r="J1372" s="14">
        <f>'PIVOT TABLES'!$B$27-'PIVOT TABLES'!$B$26</f>
        <v>30.142000000000003</v>
      </c>
      <c r="K1372" s="14">
        <f>'PIVOT TABLES'!$B$28-'PIVOT TABLES'!$B$27</f>
        <v>30.141999999999996</v>
      </c>
      <c r="L1372" s="14">
        <f>200-SUM(Table3[[#This Row],[D - LIGHT]:[D - VIGOROUS]])</f>
        <v>79.432000000000002</v>
      </c>
      <c r="M1372" s="14">
        <f>'PIVOT TABLES'!$I$26</f>
        <v>65.603999999999999</v>
      </c>
      <c r="N1372" s="14">
        <f>'PIVOT TABLES'!$I$27-'PIVOT TABLES'!$I$26</f>
        <v>32.802000000000007</v>
      </c>
      <c r="O1372" s="14">
        <f>'PIVOT TABLES'!$I$28-'PIVOT TABLES'!$I$27</f>
        <v>32.801999999999992</v>
      </c>
      <c r="P1372" s="14">
        <f>200-SUM(Table3[[#This Row],[M - LIGHT]:[M - VIGOROUS]])</f>
        <v>68.792000000000002</v>
      </c>
      <c r="Q1372" s="14">
        <f>'PIVOT TABLES'!$P$26</f>
        <v>62.64</v>
      </c>
      <c r="R1372" s="14">
        <f>'PIVOT TABLES'!$P$27-'PIVOT TABLES'!$P$26</f>
        <v>31.320000000000007</v>
      </c>
      <c r="S1372" s="14">
        <f>'PIVOT TABLES'!$P$28-'PIVOT TABLES'!$P$27</f>
        <v>31.319999999999993</v>
      </c>
      <c r="T1372" s="14">
        <f>200-SUM(Table3[[#This Row],[W - LIGHT]:[W - VIGOROUS]])</f>
        <v>74.72</v>
      </c>
      <c r="U1372" s="14">
        <f>'PIVOT TABLES'!$W$26</f>
        <v>55.895999999999994</v>
      </c>
      <c r="V1372" s="14">
        <f>'PIVOT TABLES'!$W$27-'PIVOT TABLES'!$W$26</f>
        <v>27.948</v>
      </c>
      <c r="W1372" s="14">
        <f>'PIVOT TABLES'!$W$28-'PIVOT TABLES'!$W$27</f>
        <v>27.947999999999993</v>
      </c>
      <c r="X1372" s="14">
        <f>200-SUM(Table3[[#This Row],[S - LIGHT]:[S - VIGOROUS]])</f>
        <v>88.208000000000013</v>
      </c>
    </row>
    <row r="1373" spans="1:24" x14ac:dyDescent="0.25">
      <c r="A1373" s="44" t="s">
        <v>67</v>
      </c>
      <c r="B1373" s="64" t="str">
        <f t="shared" si="23"/>
        <v>Midfielder</v>
      </c>
      <c r="C1373" s="7">
        <v>45378</v>
      </c>
      <c r="D1373" s="14">
        <v>6301</v>
      </c>
      <c r="E1373" s="14">
        <v>72</v>
      </c>
      <c r="F1373" s="14">
        <v>43</v>
      </c>
      <c r="G1373" s="14">
        <v>31</v>
      </c>
      <c r="H1373" s="14">
        <v>67.510000000000005</v>
      </c>
      <c r="I1373" s="14">
        <f>'PIVOT TABLES'!$B$26</f>
        <v>60.283999999999999</v>
      </c>
      <c r="J1373" s="14">
        <f>'PIVOT TABLES'!$B$27-'PIVOT TABLES'!$B$26</f>
        <v>30.142000000000003</v>
      </c>
      <c r="K1373" s="14">
        <f>'PIVOT TABLES'!$B$28-'PIVOT TABLES'!$B$27</f>
        <v>30.141999999999996</v>
      </c>
      <c r="L1373" s="14">
        <f>200-SUM(Table3[[#This Row],[D - LIGHT]:[D - VIGOROUS]])</f>
        <v>79.432000000000002</v>
      </c>
      <c r="M1373" s="14">
        <f>'PIVOT TABLES'!$I$26</f>
        <v>65.603999999999999</v>
      </c>
      <c r="N1373" s="14">
        <f>'PIVOT TABLES'!$I$27-'PIVOT TABLES'!$I$26</f>
        <v>32.802000000000007</v>
      </c>
      <c r="O1373" s="14">
        <f>'PIVOT TABLES'!$I$28-'PIVOT TABLES'!$I$27</f>
        <v>32.801999999999992</v>
      </c>
      <c r="P1373" s="14">
        <f>200-SUM(Table3[[#This Row],[M - LIGHT]:[M - VIGOROUS]])</f>
        <v>68.792000000000002</v>
      </c>
      <c r="Q1373" s="14">
        <f>'PIVOT TABLES'!$P$26</f>
        <v>62.64</v>
      </c>
      <c r="R1373" s="14">
        <f>'PIVOT TABLES'!$P$27-'PIVOT TABLES'!$P$26</f>
        <v>31.320000000000007</v>
      </c>
      <c r="S1373" s="14">
        <f>'PIVOT TABLES'!$P$28-'PIVOT TABLES'!$P$27</f>
        <v>31.319999999999993</v>
      </c>
      <c r="T1373" s="14">
        <f>200-SUM(Table3[[#This Row],[W - LIGHT]:[W - VIGOROUS]])</f>
        <v>74.72</v>
      </c>
      <c r="U1373" s="14">
        <f>'PIVOT TABLES'!$W$26</f>
        <v>55.895999999999994</v>
      </c>
      <c r="V1373" s="14">
        <f>'PIVOT TABLES'!$W$27-'PIVOT TABLES'!$W$26</f>
        <v>27.948</v>
      </c>
      <c r="W1373" s="14">
        <f>'PIVOT TABLES'!$W$28-'PIVOT TABLES'!$W$27</f>
        <v>27.947999999999993</v>
      </c>
      <c r="X1373" s="14">
        <f>200-SUM(Table3[[#This Row],[S - LIGHT]:[S - VIGOROUS]])</f>
        <v>88.208000000000013</v>
      </c>
    </row>
    <row r="1374" spans="1:24" x14ac:dyDescent="0.25">
      <c r="A1374" s="44" t="s">
        <v>69</v>
      </c>
      <c r="B1374" s="64" t="str">
        <f t="shared" si="23"/>
        <v>Midfielder</v>
      </c>
      <c r="C1374" s="7">
        <v>45378</v>
      </c>
      <c r="D1374" s="14">
        <v>5861</v>
      </c>
      <c r="E1374" s="14">
        <v>118</v>
      </c>
      <c r="F1374" s="14">
        <v>27</v>
      </c>
      <c r="G1374" s="14">
        <v>30</v>
      </c>
      <c r="H1374" s="14">
        <v>63.83</v>
      </c>
      <c r="I1374" s="14">
        <f>'PIVOT TABLES'!$B$26</f>
        <v>60.283999999999999</v>
      </c>
      <c r="J1374" s="14">
        <f>'PIVOT TABLES'!$B$27-'PIVOT TABLES'!$B$26</f>
        <v>30.142000000000003</v>
      </c>
      <c r="K1374" s="14">
        <f>'PIVOT TABLES'!$B$28-'PIVOT TABLES'!$B$27</f>
        <v>30.141999999999996</v>
      </c>
      <c r="L1374" s="14">
        <f>200-SUM(Table3[[#This Row],[D - LIGHT]:[D - VIGOROUS]])</f>
        <v>79.432000000000002</v>
      </c>
      <c r="M1374" s="14">
        <f>'PIVOT TABLES'!$I$26</f>
        <v>65.603999999999999</v>
      </c>
      <c r="N1374" s="14">
        <f>'PIVOT TABLES'!$I$27-'PIVOT TABLES'!$I$26</f>
        <v>32.802000000000007</v>
      </c>
      <c r="O1374" s="14">
        <f>'PIVOT TABLES'!$I$28-'PIVOT TABLES'!$I$27</f>
        <v>32.801999999999992</v>
      </c>
      <c r="P1374" s="14">
        <f>200-SUM(Table3[[#This Row],[M - LIGHT]:[M - VIGOROUS]])</f>
        <v>68.792000000000002</v>
      </c>
      <c r="Q1374" s="14">
        <f>'PIVOT TABLES'!$P$26</f>
        <v>62.64</v>
      </c>
      <c r="R1374" s="14">
        <f>'PIVOT TABLES'!$P$27-'PIVOT TABLES'!$P$26</f>
        <v>31.320000000000007</v>
      </c>
      <c r="S1374" s="14">
        <f>'PIVOT TABLES'!$P$28-'PIVOT TABLES'!$P$27</f>
        <v>31.319999999999993</v>
      </c>
      <c r="T1374" s="14">
        <f>200-SUM(Table3[[#This Row],[W - LIGHT]:[W - VIGOROUS]])</f>
        <v>74.72</v>
      </c>
      <c r="U1374" s="14">
        <f>'PIVOT TABLES'!$W$26</f>
        <v>55.895999999999994</v>
      </c>
      <c r="V1374" s="14">
        <f>'PIVOT TABLES'!$W$27-'PIVOT TABLES'!$W$26</f>
        <v>27.948</v>
      </c>
      <c r="W1374" s="14">
        <f>'PIVOT TABLES'!$W$28-'PIVOT TABLES'!$W$27</f>
        <v>27.947999999999993</v>
      </c>
      <c r="X1374" s="14">
        <f>200-SUM(Table3[[#This Row],[S - LIGHT]:[S - VIGOROUS]])</f>
        <v>88.208000000000013</v>
      </c>
    </row>
    <row r="1375" spans="1:24" x14ac:dyDescent="0.25">
      <c r="A1375" s="44" t="s">
        <v>70</v>
      </c>
      <c r="B1375" s="64" t="s">
        <v>206</v>
      </c>
      <c r="C1375" s="7">
        <v>45381.424699074072</v>
      </c>
      <c r="D1375" s="14">
        <v>7637</v>
      </c>
      <c r="E1375" s="14">
        <v>19</v>
      </c>
      <c r="F1375" s="14">
        <v>27</v>
      </c>
      <c r="G1375" s="14">
        <v>31</v>
      </c>
      <c r="H1375" s="14">
        <v>78.64</v>
      </c>
      <c r="I1375" s="14">
        <f>'PIVOT TABLES'!$B$26</f>
        <v>60.283999999999999</v>
      </c>
      <c r="J1375" s="14">
        <f>'PIVOT TABLES'!$B$27-'PIVOT TABLES'!$B$26</f>
        <v>30.142000000000003</v>
      </c>
      <c r="K1375" s="14">
        <f>'PIVOT TABLES'!$B$28-'PIVOT TABLES'!$B$27</f>
        <v>30.141999999999996</v>
      </c>
      <c r="L1375" s="14">
        <f>200-SUM(Table3[[#This Row],[D - LIGHT]:[D - VIGOROUS]])</f>
        <v>79.432000000000002</v>
      </c>
      <c r="M1375" s="14">
        <f>'PIVOT TABLES'!$I$26</f>
        <v>65.603999999999999</v>
      </c>
      <c r="N1375" s="14">
        <f>'PIVOT TABLES'!$I$27-'PIVOT TABLES'!$I$26</f>
        <v>32.802000000000007</v>
      </c>
      <c r="O1375" s="14">
        <f>'PIVOT TABLES'!$I$28-'PIVOT TABLES'!$I$27</f>
        <v>32.801999999999992</v>
      </c>
      <c r="P1375" s="14">
        <f>200-SUM(Table3[[#This Row],[M - LIGHT]:[M - VIGOROUS]])</f>
        <v>68.792000000000002</v>
      </c>
      <c r="Q1375" s="14">
        <f>'PIVOT TABLES'!$P$26</f>
        <v>62.64</v>
      </c>
      <c r="R1375" s="14">
        <f>'PIVOT TABLES'!$P$27-'PIVOT TABLES'!$P$26</f>
        <v>31.320000000000007</v>
      </c>
      <c r="S1375" s="14">
        <f>'PIVOT TABLES'!$P$28-'PIVOT TABLES'!$P$27</f>
        <v>31.319999999999993</v>
      </c>
      <c r="T1375" s="14">
        <f>200-SUM(Table3[[#This Row],[W - LIGHT]:[W - VIGOROUS]])</f>
        <v>74.72</v>
      </c>
      <c r="U1375" s="14">
        <f>'PIVOT TABLES'!$W$26</f>
        <v>55.895999999999994</v>
      </c>
      <c r="V1375" s="14">
        <f>'PIVOT TABLES'!$W$27-'PIVOT TABLES'!$W$26</f>
        <v>27.948</v>
      </c>
      <c r="W1375" s="14">
        <f>'PIVOT TABLES'!$W$28-'PIVOT TABLES'!$W$27</f>
        <v>27.947999999999993</v>
      </c>
      <c r="X1375" s="14">
        <f>200-SUM(Table3[[#This Row],[S - LIGHT]:[S - VIGOROUS]])</f>
        <v>88.208000000000013</v>
      </c>
    </row>
    <row r="1376" spans="1:24" x14ac:dyDescent="0.25">
      <c r="A1376" s="44" t="s">
        <v>53</v>
      </c>
      <c r="B1376" s="64" t="s">
        <v>204</v>
      </c>
      <c r="C1376" s="7">
        <v>45381.424699074072</v>
      </c>
      <c r="D1376" s="14">
        <v>9608</v>
      </c>
      <c r="E1376" s="14">
        <v>36</v>
      </c>
      <c r="F1376" s="14">
        <v>46</v>
      </c>
      <c r="G1376" s="14">
        <v>50</v>
      </c>
      <c r="H1376" s="14">
        <v>100</v>
      </c>
      <c r="I1376" s="14">
        <f>'PIVOT TABLES'!$B$26</f>
        <v>60.283999999999999</v>
      </c>
      <c r="J1376" s="14">
        <f>'PIVOT TABLES'!$B$27-'PIVOT TABLES'!$B$26</f>
        <v>30.142000000000003</v>
      </c>
      <c r="K1376" s="14">
        <f>'PIVOT TABLES'!$B$28-'PIVOT TABLES'!$B$27</f>
        <v>30.141999999999996</v>
      </c>
      <c r="L1376" s="14">
        <f>200-SUM(Table3[[#This Row],[D - LIGHT]:[D - VIGOROUS]])</f>
        <v>79.432000000000002</v>
      </c>
      <c r="M1376" s="14">
        <f>'PIVOT TABLES'!$I$26</f>
        <v>65.603999999999999</v>
      </c>
      <c r="N1376" s="14">
        <f>'PIVOT TABLES'!$I$27-'PIVOT TABLES'!$I$26</f>
        <v>32.802000000000007</v>
      </c>
      <c r="O1376" s="14">
        <f>'PIVOT TABLES'!$I$28-'PIVOT TABLES'!$I$27</f>
        <v>32.801999999999992</v>
      </c>
      <c r="P1376" s="14">
        <f>200-SUM(Table3[[#This Row],[M - LIGHT]:[M - VIGOROUS]])</f>
        <v>68.792000000000002</v>
      </c>
      <c r="Q1376" s="14">
        <f>'PIVOT TABLES'!$P$26</f>
        <v>62.64</v>
      </c>
      <c r="R1376" s="14">
        <f>'PIVOT TABLES'!$P$27-'PIVOT TABLES'!$P$26</f>
        <v>31.320000000000007</v>
      </c>
      <c r="S1376" s="14">
        <f>'PIVOT TABLES'!$P$28-'PIVOT TABLES'!$P$27</f>
        <v>31.319999999999993</v>
      </c>
      <c r="T1376" s="14">
        <f>200-SUM(Table3[[#This Row],[W - LIGHT]:[W - VIGOROUS]])</f>
        <v>74.72</v>
      </c>
      <c r="U1376" s="14">
        <f>'PIVOT TABLES'!$W$26</f>
        <v>55.895999999999994</v>
      </c>
      <c r="V1376" s="14">
        <f>'PIVOT TABLES'!$W$27-'PIVOT TABLES'!$W$26</f>
        <v>27.948</v>
      </c>
      <c r="W1376" s="14">
        <f>'PIVOT TABLES'!$W$28-'PIVOT TABLES'!$W$27</f>
        <v>27.947999999999993</v>
      </c>
      <c r="X1376" s="14">
        <f>200-SUM(Table3[[#This Row],[S - LIGHT]:[S - VIGOROUS]])</f>
        <v>88.208000000000013</v>
      </c>
    </row>
    <row r="1377" spans="1:24" x14ac:dyDescent="0.25">
      <c r="A1377" s="44" t="s">
        <v>54</v>
      </c>
      <c r="B1377" s="64" t="s">
        <v>205</v>
      </c>
      <c r="C1377" s="7">
        <v>45381.424699074072</v>
      </c>
      <c r="D1377" s="14">
        <v>6600</v>
      </c>
      <c r="E1377" s="14">
        <v>5</v>
      </c>
      <c r="F1377" s="14">
        <v>18</v>
      </c>
      <c r="G1377" s="14">
        <v>27</v>
      </c>
      <c r="H1377" s="14">
        <v>67.41</v>
      </c>
      <c r="I1377" s="14">
        <f>'PIVOT TABLES'!$B$26</f>
        <v>60.283999999999999</v>
      </c>
      <c r="J1377" s="14">
        <f>'PIVOT TABLES'!$B$27-'PIVOT TABLES'!$B$26</f>
        <v>30.142000000000003</v>
      </c>
      <c r="K1377" s="14">
        <f>'PIVOT TABLES'!$B$28-'PIVOT TABLES'!$B$27</f>
        <v>30.141999999999996</v>
      </c>
      <c r="L1377" s="14">
        <f>200-SUM(Table3[[#This Row],[D - LIGHT]:[D - VIGOROUS]])</f>
        <v>79.432000000000002</v>
      </c>
      <c r="M1377" s="14">
        <f>'PIVOT TABLES'!$I$26</f>
        <v>65.603999999999999</v>
      </c>
      <c r="N1377" s="14">
        <f>'PIVOT TABLES'!$I$27-'PIVOT TABLES'!$I$26</f>
        <v>32.802000000000007</v>
      </c>
      <c r="O1377" s="14">
        <f>'PIVOT TABLES'!$I$28-'PIVOT TABLES'!$I$27</f>
        <v>32.801999999999992</v>
      </c>
      <c r="P1377" s="14">
        <f>200-SUM(Table3[[#This Row],[M - LIGHT]:[M - VIGOROUS]])</f>
        <v>68.792000000000002</v>
      </c>
      <c r="Q1377" s="14">
        <f>'PIVOT TABLES'!$P$26</f>
        <v>62.64</v>
      </c>
      <c r="R1377" s="14">
        <f>'PIVOT TABLES'!$P$27-'PIVOT TABLES'!$P$26</f>
        <v>31.320000000000007</v>
      </c>
      <c r="S1377" s="14">
        <f>'PIVOT TABLES'!$P$28-'PIVOT TABLES'!$P$27</f>
        <v>31.319999999999993</v>
      </c>
      <c r="T1377" s="14">
        <f>200-SUM(Table3[[#This Row],[W - LIGHT]:[W - VIGOROUS]])</f>
        <v>74.72</v>
      </c>
      <c r="U1377" s="14">
        <f>'PIVOT TABLES'!$W$26</f>
        <v>55.895999999999994</v>
      </c>
      <c r="V1377" s="14">
        <f>'PIVOT TABLES'!$W$27-'PIVOT TABLES'!$W$26</f>
        <v>27.948</v>
      </c>
      <c r="W1377" s="14">
        <f>'PIVOT TABLES'!$W$28-'PIVOT TABLES'!$W$27</f>
        <v>27.947999999999993</v>
      </c>
      <c r="X1377" s="14">
        <f>200-SUM(Table3[[#This Row],[S - LIGHT]:[S - VIGOROUS]])</f>
        <v>88.208000000000013</v>
      </c>
    </row>
    <row r="1378" spans="1:24" x14ac:dyDescent="0.25">
      <c r="A1378" s="44" t="s">
        <v>1</v>
      </c>
      <c r="B1378" s="64" t="s">
        <v>203</v>
      </c>
      <c r="C1378" s="7">
        <v>45381.424699074072</v>
      </c>
      <c r="D1378" s="14">
        <v>5741</v>
      </c>
      <c r="E1378" s="14">
        <v>5</v>
      </c>
      <c r="F1378" s="14">
        <v>18</v>
      </c>
      <c r="G1378" s="14">
        <v>12</v>
      </c>
      <c r="H1378" s="14">
        <v>58.52</v>
      </c>
      <c r="I1378" s="14">
        <f>'PIVOT TABLES'!$B$26</f>
        <v>60.283999999999999</v>
      </c>
      <c r="J1378" s="14">
        <f>'PIVOT TABLES'!$B$27-'PIVOT TABLES'!$B$26</f>
        <v>30.142000000000003</v>
      </c>
      <c r="K1378" s="14">
        <f>'PIVOT TABLES'!$B$28-'PIVOT TABLES'!$B$27</f>
        <v>30.141999999999996</v>
      </c>
      <c r="L1378" s="14">
        <f>200-SUM(Table3[[#This Row],[D - LIGHT]:[D - VIGOROUS]])</f>
        <v>79.432000000000002</v>
      </c>
      <c r="M1378" s="14">
        <f>'PIVOT TABLES'!$I$26</f>
        <v>65.603999999999999</v>
      </c>
      <c r="N1378" s="14">
        <f>'PIVOT TABLES'!$I$27-'PIVOT TABLES'!$I$26</f>
        <v>32.802000000000007</v>
      </c>
      <c r="O1378" s="14">
        <f>'PIVOT TABLES'!$I$28-'PIVOT TABLES'!$I$27</f>
        <v>32.801999999999992</v>
      </c>
      <c r="P1378" s="14">
        <f>200-SUM(Table3[[#This Row],[M - LIGHT]:[M - VIGOROUS]])</f>
        <v>68.792000000000002</v>
      </c>
      <c r="Q1378" s="14">
        <f>'PIVOT TABLES'!$P$26</f>
        <v>62.64</v>
      </c>
      <c r="R1378" s="14">
        <f>'PIVOT TABLES'!$P$27-'PIVOT TABLES'!$P$26</f>
        <v>31.320000000000007</v>
      </c>
      <c r="S1378" s="14">
        <f>'PIVOT TABLES'!$P$28-'PIVOT TABLES'!$P$27</f>
        <v>31.319999999999993</v>
      </c>
      <c r="T1378" s="14">
        <f>200-SUM(Table3[[#This Row],[W - LIGHT]:[W - VIGOROUS]])</f>
        <v>74.72</v>
      </c>
      <c r="U1378" s="14">
        <f>'PIVOT TABLES'!$W$26</f>
        <v>55.895999999999994</v>
      </c>
      <c r="V1378" s="14">
        <f>'PIVOT TABLES'!$W$27-'PIVOT TABLES'!$W$26</f>
        <v>27.948</v>
      </c>
      <c r="W1378" s="14">
        <f>'PIVOT TABLES'!$W$28-'PIVOT TABLES'!$W$27</f>
        <v>27.947999999999993</v>
      </c>
      <c r="X1378" s="14">
        <f>200-SUM(Table3[[#This Row],[S - LIGHT]:[S - VIGOROUS]])</f>
        <v>88.208000000000013</v>
      </c>
    </row>
    <row r="1379" spans="1:24" x14ac:dyDescent="0.25">
      <c r="A1379" s="44" t="s">
        <v>56</v>
      </c>
      <c r="B1379" s="64" t="s">
        <v>204</v>
      </c>
      <c r="C1379" s="7">
        <v>45381.424699074072</v>
      </c>
      <c r="D1379" s="14">
        <v>9079</v>
      </c>
      <c r="E1379" s="14">
        <v>22</v>
      </c>
      <c r="F1379" s="14">
        <v>40</v>
      </c>
      <c r="G1379" s="14">
        <v>30</v>
      </c>
      <c r="H1379" s="14">
        <v>93.65</v>
      </c>
      <c r="I1379" s="14">
        <f>'PIVOT TABLES'!$B$26</f>
        <v>60.283999999999999</v>
      </c>
      <c r="J1379" s="14">
        <f>'PIVOT TABLES'!$B$27-'PIVOT TABLES'!$B$26</f>
        <v>30.142000000000003</v>
      </c>
      <c r="K1379" s="14">
        <f>'PIVOT TABLES'!$B$28-'PIVOT TABLES'!$B$27</f>
        <v>30.141999999999996</v>
      </c>
      <c r="L1379" s="14">
        <f>200-SUM(Table3[[#This Row],[D - LIGHT]:[D - VIGOROUS]])</f>
        <v>79.432000000000002</v>
      </c>
      <c r="M1379" s="14">
        <f>'PIVOT TABLES'!$I$26</f>
        <v>65.603999999999999</v>
      </c>
      <c r="N1379" s="14">
        <f>'PIVOT TABLES'!$I$27-'PIVOT TABLES'!$I$26</f>
        <v>32.802000000000007</v>
      </c>
      <c r="O1379" s="14">
        <f>'PIVOT TABLES'!$I$28-'PIVOT TABLES'!$I$27</f>
        <v>32.801999999999992</v>
      </c>
      <c r="P1379" s="14">
        <f>200-SUM(Table3[[#This Row],[M - LIGHT]:[M - VIGOROUS]])</f>
        <v>68.792000000000002</v>
      </c>
      <c r="Q1379" s="14">
        <f>'PIVOT TABLES'!$P$26</f>
        <v>62.64</v>
      </c>
      <c r="R1379" s="14">
        <f>'PIVOT TABLES'!$P$27-'PIVOT TABLES'!$P$26</f>
        <v>31.320000000000007</v>
      </c>
      <c r="S1379" s="14">
        <f>'PIVOT TABLES'!$P$28-'PIVOT TABLES'!$P$27</f>
        <v>31.319999999999993</v>
      </c>
      <c r="T1379" s="14">
        <f>200-SUM(Table3[[#This Row],[W - LIGHT]:[W - VIGOROUS]])</f>
        <v>74.72</v>
      </c>
      <c r="U1379" s="14">
        <f>'PIVOT TABLES'!$W$26</f>
        <v>55.895999999999994</v>
      </c>
      <c r="V1379" s="14">
        <f>'PIVOT TABLES'!$W$27-'PIVOT TABLES'!$W$26</f>
        <v>27.948</v>
      </c>
      <c r="W1379" s="14">
        <f>'PIVOT TABLES'!$W$28-'PIVOT TABLES'!$W$27</f>
        <v>27.947999999999993</v>
      </c>
      <c r="X1379" s="14">
        <f>200-SUM(Table3[[#This Row],[S - LIGHT]:[S - VIGOROUS]])</f>
        <v>88.208000000000013</v>
      </c>
    </row>
    <row r="1380" spans="1:24" x14ac:dyDescent="0.25">
      <c r="A1380" s="44" t="s">
        <v>2</v>
      </c>
      <c r="B1380" s="64" t="s">
        <v>203</v>
      </c>
      <c r="C1380" s="7">
        <v>45381.424699074072</v>
      </c>
      <c r="D1380" s="14">
        <v>7534</v>
      </c>
      <c r="E1380" s="14">
        <v>44</v>
      </c>
      <c r="F1380" s="14">
        <v>36</v>
      </c>
      <c r="G1380" s="14">
        <v>55</v>
      </c>
      <c r="H1380" s="14">
        <v>79.2</v>
      </c>
      <c r="I1380" s="14">
        <f>'PIVOT TABLES'!$B$26</f>
        <v>60.283999999999999</v>
      </c>
      <c r="J1380" s="14">
        <f>'PIVOT TABLES'!$B$27-'PIVOT TABLES'!$B$26</f>
        <v>30.142000000000003</v>
      </c>
      <c r="K1380" s="14">
        <f>'PIVOT TABLES'!$B$28-'PIVOT TABLES'!$B$27</f>
        <v>30.141999999999996</v>
      </c>
      <c r="L1380" s="14">
        <f>200-SUM(Table3[[#This Row],[D - LIGHT]:[D - VIGOROUS]])</f>
        <v>79.432000000000002</v>
      </c>
      <c r="M1380" s="14">
        <f>'PIVOT TABLES'!$I$26</f>
        <v>65.603999999999999</v>
      </c>
      <c r="N1380" s="14">
        <f>'PIVOT TABLES'!$I$27-'PIVOT TABLES'!$I$26</f>
        <v>32.802000000000007</v>
      </c>
      <c r="O1380" s="14">
        <f>'PIVOT TABLES'!$I$28-'PIVOT TABLES'!$I$27</f>
        <v>32.801999999999992</v>
      </c>
      <c r="P1380" s="14">
        <f>200-SUM(Table3[[#This Row],[M - LIGHT]:[M - VIGOROUS]])</f>
        <v>68.792000000000002</v>
      </c>
      <c r="Q1380" s="14">
        <f>'PIVOT TABLES'!$P$26</f>
        <v>62.64</v>
      </c>
      <c r="R1380" s="14">
        <f>'PIVOT TABLES'!$P$27-'PIVOT TABLES'!$P$26</f>
        <v>31.320000000000007</v>
      </c>
      <c r="S1380" s="14">
        <f>'PIVOT TABLES'!$P$28-'PIVOT TABLES'!$P$27</f>
        <v>31.319999999999993</v>
      </c>
      <c r="T1380" s="14">
        <f>200-SUM(Table3[[#This Row],[W - LIGHT]:[W - VIGOROUS]])</f>
        <v>74.72</v>
      </c>
      <c r="U1380" s="14">
        <f>'PIVOT TABLES'!$W$26</f>
        <v>55.895999999999994</v>
      </c>
      <c r="V1380" s="14">
        <f>'PIVOT TABLES'!$W$27-'PIVOT TABLES'!$W$26</f>
        <v>27.948</v>
      </c>
      <c r="W1380" s="14">
        <f>'PIVOT TABLES'!$W$28-'PIVOT TABLES'!$W$27</f>
        <v>27.947999999999993</v>
      </c>
      <c r="X1380" s="14">
        <f>200-SUM(Table3[[#This Row],[S - LIGHT]:[S - VIGOROUS]])</f>
        <v>88.208000000000013</v>
      </c>
    </row>
    <row r="1381" spans="1:24" x14ac:dyDescent="0.25">
      <c r="A1381" s="44" t="s">
        <v>58</v>
      </c>
      <c r="B1381" s="64" t="s">
        <v>203</v>
      </c>
      <c r="C1381" s="7">
        <v>45381.424699074072</v>
      </c>
      <c r="D1381" s="14">
        <v>7391</v>
      </c>
      <c r="E1381" s="14">
        <v>38</v>
      </c>
      <c r="F1381" s="14">
        <v>29</v>
      </c>
      <c r="G1381" s="14">
        <v>16</v>
      </c>
      <c r="H1381" s="14">
        <v>76.53</v>
      </c>
      <c r="I1381" s="14">
        <f>'PIVOT TABLES'!$B$26</f>
        <v>60.283999999999999</v>
      </c>
      <c r="J1381" s="14">
        <f>'PIVOT TABLES'!$B$27-'PIVOT TABLES'!$B$26</f>
        <v>30.142000000000003</v>
      </c>
      <c r="K1381" s="14">
        <f>'PIVOT TABLES'!$B$28-'PIVOT TABLES'!$B$27</f>
        <v>30.141999999999996</v>
      </c>
      <c r="L1381" s="14">
        <f>200-SUM(Table3[[#This Row],[D - LIGHT]:[D - VIGOROUS]])</f>
        <v>79.432000000000002</v>
      </c>
      <c r="M1381" s="14">
        <f>'PIVOT TABLES'!$I$26</f>
        <v>65.603999999999999</v>
      </c>
      <c r="N1381" s="14">
        <f>'PIVOT TABLES'!$I$27-'PIVOT TABLES'!$I$26</f>
        <v>32.802000000000007</v>
      </c>
      <c r="O1381" s="14">
        <f>'PIVOT TABLES'!$I$28-'PIVOT TABLES'!$I$27</f>
        <v>32.801999999999992</v>
      </c>
      <c r="P1381" s="14">
        <f>200-SUM(Table3[[#This Row],[M - LIGHT]:[M - VIGOROUS]])</f>
        <v>68.792000000000002</v>
      </c>
      <c r="Q1381" s="14">
        <f>'PIVOT TABLES'!$P$26</f>
        <v>62.64</v>
      </c>
      <c r="R1381" s="14">
        <f>'PIVOT TABLES'!$P$27-'PIVOT TABLES'!$P$26</f>
        <v>31.320000000000007</v>
      </c>
      <c r="S1381" s="14">
        <f>'PIVOT TABLES'!$P$28-'PIVOT TABLES'!$P$27</f>
        <v>31.319999999999993</v>
      </c>
      <c r="T1381" s="14">
        <f>200-SUM(Table3[[#This Row],[W - LIGHT]:[W - VIGOROUS]])</f>
        <v>74.72</v>
      </c>
      <c r="U1381" s="14">
        <f>'PIVOT TABLES'!$W$26</f>
        <v>55.895999999999994</v>
      </c>
      <c r="V1381" s="14">
        <f>'PIVOT TABLES'!$W$27-'PIVOT TABLES'!$W$26</f>
        <v>27.948</v>
      </c>
      <c r="W1381" s="14">
        <f>'PIVOT TABLES'!$W$28-'PIVOT TABLES'!$W$27</f>
        <v>27.947999999999993</v>
      </c>
      <c r="X1381" s="14">
        <f>200-SUM(Table3[[#This Row],[S - LIGHT]:[S - VIGOROUS]])</f>
        <v>88.208000000000013</v>
      </c>
    </row>
    <row r="1382" spans="1:24" x14ac:dyDescent="0.25">
      <c r="A1382" s="44" t="s">
        <v>94</v>
      </c>
      <c r="B1382" s="64" t="s">
        <v>203</v>
      </c>
      <c r="C1382" s="7">
        <v>45381.424699074072</v>
      </c>
      <c r="D1382" s="14">
        <v>6062</v>
      </c>
      <c r="E1382" s="14">
        <v>13</v>
      </c>
      <c r="F1382" s="14">
        <v>9</v>
      </c>
      <c r="G1382" s="14">
        <v>15</v>
      </c>
      <c r="H1382" s="14">
        <v>61.67</v>
      </c>
      <c r="I1382" s="14">
        <f>'PIVOT TABLES'!$B$26</f>
        <v>60.283999999999999</v>
      </c>
      <c r="J1382" s="14">
        <f>'PIVOT TABLES'!$B$27-'PIVOT TABLES'!$B$26</f>
        <v>30.142000000000003</v>
      </c>
      <c r="K1382" s="14">
        <f>'PIVOT TABLES'!$B$28-'PIVOT TABLES'!$B$27</f>
        <v>30.141999999999996</v>
      </c>
      <c r="L1382" s="14">
        <f>200-SUM(Table3[[#This Row],[D - LIGHT]:[D - VIGOROUS]])</f>
        <v>79.432000000000002</v>
      </c>
      <c r="M1382" s="14">
        <f>'PIVOT TABLES'!$I$26</f>
        <v>65.603999999999999</v>
      </c>
      <c r="N1382" s="14">
        <f>'PIVOT TABLES'!$I$27-'PIVOT TABLES'!$I$26</f>
        <v>32.802000000000007</v>
      </c>
      <c r="O1382" s="14">
        <f>'PIVOT TABLES'!$I$28-'PIVOT TABLES'!$I$27</f>
        <v>32.801999999999992</v>
      </c>
      <c r="P1382" s="14">
        <f>200-SUM(Table3[[#This Row],[M - LIGHT]:[M - VIGOROUS]])</f>
        <v>68.792000000000002</v>
      </c>
      <c r="Q1382" s="14">
        <f>'PIVOT TABLES'!$P$26</f>
        <v>62.64</v>
      </c>
      <c r="R1382" s="14">
        <f>'PIVOT TABLES'!$P$27-'PIVOT TABLES'!$P$26</f>
        <v>31.320000000000007</v>
      </c>
      <c r="S1382" s="14">
        <f>'PIVOT TABLES'!$P$28-'PIVOT TABLES'!$P$27</f>
        <v>31.319999999999993</v>
      </c>
      <c r="T1382" s="14">
        <f>200-SUM(Table3[[#This Row],[W - LIGHT]:[W - VIGOROUS]])</f>
        <v>74.72</v>
      </c>
      <c r="U1382" s="14">
        <f>'PIVOT TABLES'!$W$26</f>
        <v>55.895999999999994</v>
      </c>
      <c r="V1382" s="14">
        <f>'PIVOT TABLES'!$W$27-'PIVOT TABLES'!$W$26</f>
        <v>27.948</v>
      </c>
      <c r="W1382" s="14">
        <f>'PIVOT TABLES'!$W$28-'PIVOT TABLES'!$W$27</f>
        <v>27.947999999999993</v>
      </c>
      <c r="X1382" s="14">
        <f>200-SUM(Table3[[#This Row],[S - LIGHT]:[S - VIGOROUS]])</f>
        <v>88.208000000000013</v>
      </c>
    </row>
    <row r="1383" spans="1:24" x14ac:dyDescent="0.25">
      <c r="A1383" s="44" t="s">
        <v>3</v>
      </c>
      <c r="B1383" s="64" t="s">
        <v>203</v>
      </c>
      <c r="C1383" s="7">
        <v>45381.424699074072</v>
      </c>
      <c r="D1383" s="14">
        <v>6805</v>
      </c>
      <c r="E1383" s="14">
        <v>25</v>
      </c>
      <c r="F1383" s="14">
        <v>18</v>
      </c>
      <c r="G1383" s="14">
        <v>28</v>
      </c>
      <c r="H1383" s="14">
        <v>70.08</v>
      </c>
      <c r="I1383" s="14">
        <f>'PIVOT TABLES'!$B$26</f>
        <v>60.283999999999999</v>
      </c>
      <c r="J1383" s="14">
        <f>'PIVOT TABLES'!$B$27-'PIVOT TABLES'!$B$26</f>
        <v>30.142000000000003</v>
      </c>
      <c r="K1383" s="14">
        <f>'PIVOT TABLES'!$B$28-'PIVOT TABLES'!$B$27</f>
        <v>30.141999999999996</v>
      </c>
      <c r="L1383" s="14">
        <f>200-SUM(Table3[[#This Row],[D - LIGHT]:[D - VIGOROUS]])</f>
        <v>79.432000000000002</v>
      </c>
      <c r="M1383" s="14">
        <f>'PIVOT TABLES'!$I$26</f>
        <v>65.603999999999999</v>
      </c>
      <c r="N1383" s="14">
        <f>'PIVOT TABLES'!$I$27-'PIVOT TABLES'!$I$26</f>
        <v>32.802000000000007</v>
      </c>
      <c r="O1383" s="14">
        <f>'PIVOT TABLES'!$I$28-'PIVOT TABLES'!$I$27</f>
        <v>32.801999999999992</v>
      </c>
      <c r="P1383" s="14">
        <f>200-SUM(Table3[[#This Row],[M - LIGHT]:[M - VIGOROUS]])</f>
        <v>68.792000000000002</v>
      </c>
      <c r="Q1383" s="14">
        <f>'PIVOT TABLES'!$P$26</f>
        <v>62.64</v>
      </c>
      <c r="R1383" s="14">
        <f>'PIVOT TABLES'!$P$27-'PIVOT TABLES'!$P$26</f>
        <v>31.320000000000007</v>
      </c>
      <c r="S1383" s="14">
        <f>'PIVOT TABLES'!$P$28-'PIVOT TABLES'!$P$27</f>
        <v>31.319999999999993</v>
      </c>
      <c r="T1383" s="14">
        <f>200-SUM(Table3[[#This Row],[W - LIGHT]:[W - VIGOROUS]])</f>
        <v>74.72</v>
      </c>
      <c r="U1383" s="14">
        <f>'PIVOT TABLES'!$W$26</f>
        <v>55.895999999999994</v>
      </c>
      <c r="V1383" s="14">
        <f>'PIVOT TABLES'!$W$27-'PIVOT TABLES'!$W$26</f>
        <v>27.948</v>
      </c>
      <c r="W1383" s="14">
        <f>'PIVOT TABLES'!$W$28-'PIVOT TABLES'!$W$27</f>
        <v>27.947999999999993</v>
      </c>
      <c r="X1383" s="14">
        <f>200-SUM(Table3[[#This Row],[S - LIGHT]:[S - VIGOROUS]])</f>
        <v>88.208000000000013</v>
      </c>
    </row>
    <row r="1384" spans="1:24" x14ac:dyDescent="0.25">
      <c r="A1384" s="44" t="s">
        <v>59</v>
      </c>
      <c r="B1384" s="64" t="s">
        <v>205</v>
      </c>
      <c r="C1384" s="7">
        <v>45381.424699074072</v>
      </c>
      <c r="D1384" s="14">
        <v>7377</v>
      </c>
      <c r="E1384" s="14">
        <v>2</v>
      </c>
      <c r="F1384" s="14">
        <v>31</v>
      </c>
      <c r="G1384" s="14">
        <v>44</v>
      </c>
      <c r="H1384" s="14">
        <v>75.95</v>
      </c>
      <c r="I1384" s="14">
        <f>'PIVOT TABLES'!$B$26</f>
        <v>60.283999999999999</v>
      </c>
      <c r="J1384" s="14">
        <f>'PIVOT TABLES'!$B$27-'PIVOT TABLES'!$B$26</f>
        <v>30.142000000000003</v>
      </c>
      <c r="K1384" s="14">
        <f>'PIVOT TABLES'!$B$28-'PIVOT TABLES'!$B$27</f>
        <v>30.141999999999996</v>
      </c>
      <c r="L1384" s="14">
        <f>200-SUM(Table3[[#This Row],[D - LIGHT]:[D - VIGOROUS]])</f>
        <v>79.432000000000002</v>
      </c>
      <c r="M1384" s="14">
        <f>'PIVOT TABLES'!$I$26</f>
        <v>65.603999999999999</v>
      </c>
      <c r="N1384" s="14">
        <f>'PIVOT TABLES'!$I$27-'PIVOT TABLES'!$I$26</f>
        <v>32.802000000000007</v>
      </c>
      <c r="O1384" s="14">
        <f>'PIVOT TABLES'!$I$28-'PIVOT TABLES'!$I$27</f>
        <v>32.801999999999992</v>
      </c>
      <c r="P1384" s="14">
        <f>200-SUM(Table3[[#This Row],[M - LIGHT]:[M - VIGOROUS]])</f>
        <v>68.792000000000002</v>
      </c>
      <c r="Q1384" s="14">
        <f>'PIVOT TABLES'!$P$26</f>
        <v>62.64</v>
      </c>
      <c r="R1384" s="14">
        <f>'PIVOT TABLES'!$P$27-'PIVOT TABLES'!$P$26</f>
        <v>31.320000000000007</v>
      </c>
      <c r="S1384" s="14">
        <f>'PIVOT TABLES'!$P$28-'PIVOT TABLES'!$P$27</f>
        <v>31.319999999999993</v>
      </c>
      <c r="T1384" s="14">
        <f>200-SUM(Table3[[#This Row],[W - LIGHT]:[W - VIGOROUS]])</f>
        <v>74.72</v>
      </c>
      <c r="U1384" s="14">
        <f>'PIVOT TABLES'!$W$26</f>
        <v>55.895999999999994</v>
      </c>
      <c r="V1384" s="14">
        <f>'PIVOT TABLES'!$W$27-'PIVOT TABLES'!$W$26</f>
        <v>27.948</v>
      </c>
      <c r="W1384" s="14">
        <f>'PIVOT TABLES'!$W$28-'PIVOT TABLES'!$W$27</f>
        <v>27.947999999999993</v>
      </c>
      <c r="X1384" s="14">
        <f>200-SUM(Table3[[#This Row],[S - LIGHT]:[S - VIGOROUS]])</f>
        <v>88.208000000000013</v>
      </c>
    </row>
    <row r="1385" spans="1:24" x14ac:dyDescent="0.25">
      <c r="A1385" s="44" t="s">
        <v>60</v>
      </c>
      <c r="B1385" s="64" t="s">
        <v>206</v>
      </c>
      <c r="C1385" s="7">
        <v>45381.424699074072</v>
      </c>
      <c r="D1385" s="14">
        <v>7525</v>
      </c>
      <c r="E1385" s="14">
        <v>42</v>
      </c>
      <c r="F1385" s="14">
        <v>30</v>
      </c>
      <c r="G1385" s="14">
        <v>42</v>
      </c>
      <c r="H1385" s="14">
        <v>78.55</v>
      </c>
      <c r="I1385" s="14">
        <f>'PIVOT TABLES'!$B$26</f>
        <v>60.283999999999999</v>
      </c>
      <c r="J1385" s="14">
        <f>'PIVOT TABLES'!$B$27-'PIVOT TABLES'!$B$26</f>
        <v>30.142000000000003</v>
      </c>
      <c r="K1385" s="14">
        <f>'PIVOT TABLES'!$B$28-'PIVOT TABLES'!$B$27</f>
        <v>30.141999999999996</v>
      </c>
      <c r="L1385" s="14">
        <f>200-SUM(Table3[[#This Row],[D - LIGHT]:[D - VIGOROUS]])</f>
        <v>79.432000000000002</v>
      </c>
      <c r="M1385" s="14">
        <f>'PIVOT TABLES'!$I$26</f>
        <v>65.603999999999999</v>
      </c>
      <c r="N1385" s="14">
        <f>'PIVOT TABLES'!$I$27-'PIVOT TABLES'!$I$26</f>
        <v>32.802000000000007</v>
      </c>
      <c r="O1385" s="14">
        <f>'PIVOT TABLES'!$I$28-'PIVOT TABLES'!$I$27</f>
        <v>32.801999999999992</v>
      </c>
      <c r="P1385" s="14">
        <f>200-SUM(Table3[[#This Row],[M - LIGHT]:[M - VIGOROUS]])</f>
        <v>68.792000000000002</v>
      </c>
      <c r="Q1385" s="14">
        <f>'PIVOT TABLES'!$P$26</f>
        <v>62.64</v>
      </c>
      <c r="R1385" s="14">
        <f>'PIVOT TABLES'!$P$27-'PIVOT TABLES'!$P$26</f>
        <v>31.320000000000007</v>
      </c>
      <c r="S1385" s="14">
        <f>'PIVOT TABLES'!$P$28-'PIVOT TABLES'!$P$27</f>
        <v>31.319999999999993</v>
      </c>
      <c r="T1385" s="14">
        <f>200-SUM(Table3[[#This Row],[W - LIGHT]:[W - VIGOROUS]])</f>
        <v>74.72</v>
      </c>
      <c r="U1385" s="14">
        <f>'PIVOT TABLES'!$W$26</f>
        <v>55.895999999999994</v>
      </c>
      <c r="V1385" s="14">
        <f>'PIVOT TABLES'!$W$27-'PIVOT TABLES'!$W$26</f>
        <v>27.948</v>
      </c>
      <c r="W1385" s="14">
        <f>'PIVOT TABLES'!$W$28-'PIVOT TABLES'!$W$27</f>
        <v>27.947999999999993</v>
      </c>
      <c r="X1385" s="14">
        <f>200-SUM(Table3[[#This Row],[S - LIGHT]:[S - VIGOROUS]])</f>
        <v>88.208000000000013</v>
      </c>
    </row>
    <row r="1386" spans="1:24" x14ac:dyDescent="0.25">
      <c r="A1386" s="44" t="s">
        <v>71</v>
      </c>
      <c r="B1386" s="64" t="s">
        <v>204</v>
      </c>
      <c r="C1386" s="7">
        <v>45381.424699074072</v>
      </c>
      <c r="D1386" s="14">
        <v>8601</v>
      </c>
      <c r="E1386" s="14">
        <v>4</v>
      </c>
      <c r="F1386" s="14">
        <v>21</v>
      </c>
      <c r="G1386" s="14">
        <v>21</v>
      </c>
      <c r="H1386" s="14">
        <v>87.39</v>
      </c>
      <c r="I1386" s="14">
        <f>'PIVOT TABLES'!$B$26</f>
        <v>60.283999999999999</v>
      </c>
      <c r="J1386" s="14">
        <f>'PIVOT TABLES'!$B$27-'PIVOT TABLES'!$B$26</f>
        <v>30.142000000000003</v>
      </c>
      <c r="K1386" s="14">
        <f>'PIVOT TABLES'!$B$28-'PIVOT TABLES'!$B$27</f>
        <v>30.141999999999996</v>
      </c>
      <c r="L1386" s="14">
        <f>200-SUM(Table3[[#This Row],[D - LIGHT]:[D - VIGOROUS]])</f>
        <v>79.432000000000002</v>
      </c>
      <c r="M1386" s="14">
        <f>'PIVOT TABLES'!$I$26</f>
        <v>65.603999999999999</v>
      </c>
      <c r="N1386" s="14">
        <f>'PIVOT TABLES'!$I$27-'PIVOT TABLES'!$I$26</f>
        <v>32.802000000000007</v>
      </c>
      <c r="O1386" s="14">
        <f>'PIVOT TABLES'!$I$28-'PIVOT TABLES'!$I$27</f>
        <v>32.801999999999992</v>
      </c>
      <c r="P1386" s="14">
        <f>200-SUM(Table3[[#This Row],[M - LIGHT]:[M - VIGOROUS]])</f>
        <v>68.792000000000002</v>
      </c>
      <c r="Q1386" s="14">
        <f>'PIVOT TABLES'!$P$26</f>
        <v>62.64</v>
      </c>
      <c r="R1386" s="14">
        <f>'PIVOT TABLES'!$P$27-'PIVOT TABLES'!$P$26</f>
        <v>31.320000000000007</v>
      </c>
      <c r="S1386" s="14">
        <f>'PIVOT TABLES'!$P$28-'PIVOT TABLES'!$P$27</f>
        <v>31.319999999999993</v>
      </c>
      <c r="T1386" s="14">
        <f>200-SUM(Table3[[#This Row],[W - LIGHT]:[W - VIGOROUS]])</f>
        <v>74.72</v>
      </c>
      <c r="U1386" s="14">
        <f>'PIVOT TABLES'!$W$26</f>
        <v>55.895999999999994</v>
      </c>
      <c r="V1386" s="14">
        <f>'PIVOT TABLES'!$W$27-'PIVOT TABLES'!$W$26</f>
        <v>27.948</v>
      </c>
      <c r="W1386" s="14">
        <f>'PIVOT TABLES'!$W$28-'PIVOT TABLES'!$W$27</f>
        <v>27.947999999999993</v>
      </c>
      <c r="X1386" s="14">
        <f>200-SUM(Table3[[#This Row],[S - LIGHT]:[S - VIGOROUS]])</f>
        <v>88.208000000000013</v>
      </c>
    </row>
    <row r="1387" spans="1:24" x14ac:dyDescent="0.25">
      <c r="A1387" s="44" t="s">
        <v>5</v>
      </c>
      <c r="B1387" s="64" t="s">
        <v>204</v>
      </c>
      <c r="C1387" s="7">
        <v>45381.424699074072</v>
      </c>
      <c r="D1387" s="14">
        <v>7735</v>
      </c>
      <c r="E1387" s="14">
        <v>82</v>
      </c>
      <c r="F1387" s="14">
        <v>19</v>
      </c>
      <c r="G1387" s="14">
        <v>23</v>
      </c>
      <c r="H1387" s="14">
        <v>81.03</v>
      </c>
      <c r="I1387" s="14">
        <f>'PIVOT TABLES'!$B$26</f>
        <v>60.283999999999999</v>
      </c>
      <c r="J1387" s="14">
        <f>'PIVOT TABLES'!$B$27-'PIVOT TABLES'!$B$26</f>
        <v>30.142000000000003</v>
      </c>
      <c r="K1387" s="14">
        <f>'PIVOT TABLES'!$B$28-'PIVOT TABLES'!$B$27</f>
        <v>30.141999999999996</v>
      </c>
      <c r="L1387" s="14">
        <f>200-SUM(Table3[[#This Row],[D - LIGHT]:[D - VIGOROUS]])</f>
        <v>79.432000000000002</v>
      </c>
      <c r="M1387" s="14">
        <f>'PIVOT TABLES'!$I$26</f>
        <v>65.603999999999999</v>
      </c>
      <c r="N1387" s="14">
        <f>'PIVOT TABLES'!$I$27-'PIVOT TABLES'!$I$26</f>
        <v>32.802000000000007</v>
      </c>
      <c r="O1387" s="14">
        <f>'PIVOT TABLES'!$I$28-'PIVOT TABLES'!$I$27</f>
        <v>32.801999999999992</v>
      </c>
      <c r="P1387" s="14">
        <f>200-SUM(Table3[[#This Row],[M - LIGHT]:[M - VIGOROUS]])</f>
        <v>68.792000000000002</v>
      </c>
      <c r="Q1387" s="14">
        <f>'PIVOT TABLES'!$P$26</f>
        <v>62.64</v>
      </c>
      <c r="R1387" s="14">
        <f>'PIVOT TABLES'!$P$27-'PIVOT TABLES'!$P$26</f>
        <v>31.320000000000007</v>
      </c>
      <c r="S1387" s="14">
        <f>'PIVOT TABLES'!$P$28-'PIVOT TABLES'!$P$27</f>
        <v>31.319999999999993</v>
      </c>
      <c r="T1387" s="14">
        <f>200-SUM(Table3[[#This Row],[W - LIGHT]:[W - VIGOROUS]])</f>
        <v>74.72</v>
      </c>
      <c r="U1387" s="14">
        <f>'PIVOT TABLES'!$W$26</f>
        <v>55.895999999999994</v>
      </c>
      <c r="V1387" s="14">
        <f>'PIVOT TABLES'!$W$27-'PIVOT TABLES'!$W$26</f>
        <v>27.948</v>
      </c>
      <c r="W1387" s="14">
        <f>'PIVOT TABLES'!$W$28-'PIVOT TABLES'!$W$27</f>
        <v>27.947999999999993</v>
      </c>
      <c r="X1387" s="14">
        <f>200-SUM(Table3[[#This Row],[S - LIGHT]:[S - VIGOROUS]])</f>
        <v>88.208000000000013</v>
      </c>
    </row>
    <row r="1388" spans="1:24" x14ac:dyDescent="0.25">
      <c r="A1388" s="44" t="s">
        <v>6</v>
      </c>
      <c r="B1388" s="64" t="s">
        <v>204</v>
      </c>
      <c r="C1388" s="7">
        <v>45381.424699074072</v>
      </c>
      <c r="D1388" s="14">
        <v>7566</v>
      </c>
      <c r="E1388" s="14">
        <v>60</v>
      </c>
      <c r="F1388" s="14">
        <v>33</v>
      </c>
      <c r="G1388" s="14">
        <v>42</v>
      </c>
      <c r="H1388" s="14">
        <v>79.62</v>
      </c>
      <c r="I1388" s="14">
        <f>'PIVOT TABLES'!$B$26</f>
        <v>60.283999999999999</v>
      </c>
      <c r="J1388" s="14">
        <f>'PIVOT TABLES'!$B$27-'PIVOT TABLES'!$B$26</f>
        <v>30.142000000000003</v>
      </c>
      <c r="K1388" s="14">
        <f>'PIVOT TABLES'!$B$28-'PIVOT TABLES'!$B$27</f>
        <v>30.141999999999996</v>
      </c>
      <c r="L1388" s="14">
        <f>200-SUM(Table3[[#This Row],[D - LIGHT]:[D - VIGOROUS]])</f>
        <v>79.432000000000002</v>
      </c>
      <c r="M1388" s="14">
        <f>'PIVOT TABLES'!$I$26</f>
        <v>65.603999999999999</v>
      </c>
      <c r="N1388" s="14">
        <f>'PIVOT TABLES'!$I$27-'PIVOT TABLES'!$I$26</f>
        <v>32.802000000000007</v>
      </c>
      <c r="O1388" s="14">
        <f>'PIVOT TABLES'!$I$28-'PIVOT TABLES'!$I$27</f>
        <v>32.801999999999992</v>
      </c>
      <c r="P1388" s="14">
        <f>200-SUM(Table3[[#This Row],[M - LIGHT]:[M - VIGOROUS]])</f>
        <v>68.792000000000002</v>
      </c>
      <c r="Q1388" s="14">
        <f>'PIVOT TABLES'!$P$26</f>
        <v>62.64</v>
      </c>
      <c r="R1388" s="14">
        <f>'PIVOT TABLES'!$P$27-'PIVOT TABLES'!$P$26</f>
        <v>31.320000000000007</v>
      </c>
      <c r="S1388" s="14">
        <f>'PIVOT TABLES'!$P$28-'PIVOT TABLES'!$P$27</f>
        <v>31.319999999999993</v>
      </c>
      <c r="T1388" s="14">
        <f>200-SUM(Table3[[#This Row],[W - LIGHT]:[W - VIGOROUS]])</f>
        <v>74.72</v>
      </c>
      <c r="U1388" s="14">
        <f>'PIVOT TABLES'!$W$26</f>
        <v>55.895999999999994</v>
      </c>
      <c r="V1388" s="14">
        <f>'PIVOT TABLES'!$W$27-'PIVOT TABLES'!$W$26</f>
        <v>27.948</v>
      </c>
      <c r="W1388" s="14">
        <f>'PIVOT TABLES'!$W$28-'PIVOT TABLES'!$W$27</f>
        <v>27.947999999999993</v>
      </c>
      <c r="X1388" s="14">
        <f>200-SUM(Table3[[#This Row],[S - LIGHT]:[S - VIGOROUS]])</f>
        <v>88.208000000000013</v>
      </c>
    </row>
    <row r="1389" spans="1:24" x14ac:dyDescent="0.25">
      <c r="A1389" s="44" t="s">
        <v>62</v>
      </c>
      <c r="B1389" s="64" t="s">
        <v>204</v>
      </c>
      <c r="C1389" s="7">
        <v>45381.424699074072</v>
      </c>
      <c r="D1389" s="14">
        <v>7141</v>
      </c>
      <c r="E1389" s="14">
        <v>21</v>
      </c>
      <c r="F1389" s="14">
        <v>15</v>
      </c>
      <c r="G1389" s="14">
        <v>18</v>
      </c>
      <c r="H1389" s="14">
        <v>73</v>
      </c>
      <c r="I1389" s="14">
        <f>'PIVOT TABLES'!$B$26</f>
        <v>60.283999999999999</v>
      </c>
      <c r="J1389" s="14">
        <f>'PIVOT TABLES'!$B$27-'PIVOT TABLES'!$B$26</f>
        <v>30.142000000000003</v>
      </c>
      <c r="K1389" s="14">
        <f>'PIVOT TABLES'!$B$28-'PIVOT TABLES'!$B$27</f>
        <v>30.141999999999996</v>
      </c>
      <c r="L1389" s="14">
        <f>200-SUM(Table3[[#This Row],[D - LIGHT]:[D - VIGOROUS]])</f>
        <v>79.432000000000002</v>
      </c>
      <c r="M1389" s="14">
        <f>'PIVOT TABLES'!$I$26</f>
        <v>65.603999999999999</v>
      </c>
      <c r="N1389" s="14">
        <f>'PIVOT TABLES'!$I$27-'PIVOT TABLES'!$I$26</f>
        <v>32.802000000000007</v>
      </c>
      <c r="O1389" s="14">
        <f>'PIVOT TABLES'!$I$28-'PIVOT TABLES'!$I$27</f>
        <v>32.801999999999992</v>
      </c>
      <c r="P1389" s="14">
        <f>200-SUM(Table3[[#This Row],[M - LIGHT]:[M - VIGOROUS]])</f>
        <v>68.792000000000002</v>
      </c>
      <c r="Q1389" s="14">
        <f>'PIVOT TABLES'!$P$26</f>
        <v>62.64</v>
      </c>
      <c r="R1389" s="14">
        <f>'PIVOT TABLES'!$P$27-'PIVOT TABLES'!$P$26</f>
        <v>31.320000000000007</v>
      </c>
      <c r="S1389" s="14">
        <f>'PIVOT TABLES'!$P$28-'PIVOT TABLES'!$P$27</f>
        <v>31.319999999999993</v>
      </c>
      <c r="T1389" s="14">
        <f>200-SUM(Table3[[#This Row],[W - LIGHT]:[W - VIGOROUS]])</f>
        <v>74.72</v>
      </c>
      <c r="U1389" s="14">
        <f>'PIVOT TABLES'!$W$26</f>
        <v>55.895999999999994</v>
      </c>
      <c r="V1389" s="14">
        <f>'PIVOT TABLES'!$W$27-'PIVOT TABLES'!$W$26</f>
        <v>27.948</v>
      </c>
      <c r="W1389" s="14">
        <f>'PIVOT TABLES'!$W$28-'PIVOT TABLES'!$W$27</f>
        <v>27.947999999999993</v>
      </c>
      <c r="X1389" s="14">
        <f>200-SUM(Table3[[#This Row],[S - LIGHT]:[S - VIGOROUS]])</f>
        <v>88.208000000000013</v>
      </c>
    </row>
    <row r="1390" spans="1:24" x14ac:dyDescent="0.25">
      <c r="A1390" s="44" t="s">
        <v>64</v>
      </c>
      <c r="B1390" s="64" t="s">
        <v>204</v>
      </c>
      <c r="C1390" s="7">
        <v>45381.424699074072</v>
      </c>
      <c r="D1390" s="14">
        <v>8651</v>
      </c>
      <c r="E1390" s="14">
        <v>48</v>
      </c>
      <c r="F1390" s="14">
        <v>38</v>
      </c>
      <c r="G1390" s="14">
        <v>49</v>
      </c>
      <c r="H1390" s="14">
        <v>90.45</v>
      </c>
      <c r="I1390" s="14">
        <f>'PIVOT TABLES'!$B$26</f>
        <v>60.283999999999999</v>
      </c>
      <c r="J1390" s="14">
        <f>'PIVOT TABLES'!$B$27-'PIVOT TABLES'!$B$26</f>
        <v>30.142000000000003</v>
      </c>
      <c r="K1390" s="14">
        <f>'PIVOT TABLES'!$B$28-'PIVOT TABLES'!$B$27</f>
        <v>30.141999999999996</v>
      </c>
      <c r="L1390" s="14">
        <f>200-SUM(Table3[[#This Row],[D - LIGHT]:[D - VIGOROUS]])</f>
        <v>79.432000000000002</v>
      </c>
      <c r="M1390" s="14">
        <f>'PIVOT TABLES'!$I$26</f>
        <v>65.603999999999999</v>
      </c>
      <c r="N1390" s="14">
        <f>'PIVOT TABLES'!$I$27-'PIVOT TABLES'!$I$26</f>
        <v>32.802000000000007</v>
      </c>
      <c r="O1390" s="14">
        <f>'PIVOT TABLES'!$I$28-'PIVOT TABLES'!$I$27</f>
        <v>32.801999999999992</v>
      </c>
      <c r="P1390" s="14">
        <f>200-SUM(Table3[[#This Row],[M - LIGHT]:[M - VIGOROUS]])</f>
        <v>68.792000000000002</v>
      </c>
      <c r="Q1390" s="14">
        <f>'PIVOT TABLES'!$P$26</f>
        <v>62.64</v>
      </c>
      <c r="R1390" s="14">
        <f>'PIVOT TABLES'!$P$27-'PIVOT TABLES'!$P$26</f>
        <v>31.320000000000007</v>
      </c>
      <c r="S1390" s="14">
        <f>'PIVOT TABLES'!$P$28-'PIVOT TABLES'!$P$27</f>
        <v>31.319999999999993</v>
      </c>
      <c r="T1390" s="14">
        <f>200-SUM(Table3[[#This Row],[W - LIGHT]:[W - VIGOROUS]])</f>
        <v>74.72</v>
      </c>
      <c r="U1390" s="14">
        <f>'PIVOT TABLES'!$W$26</f>
        <v>55.895999999999994</v>
      </c>
      <c r="V1390" s="14">
        <f>'PIVOT TABLES'!$W$27-'PIVOT TABLES'!$W$26</f>
        <v>27.948</v>
      </c>
      <c r="W1390" s="14">
        <f>'PIVOT TABLES'!$W$28-'PIVOT TABLES'!$W$27</f>
        <v>27.947999999999993</v>
      </c>
      <c r="X1390" s="14">
        <f>200-SUM(Table3[[#This Row],[S - LIGHT]:[S - VIGOROUS]])</f>
        <v>88.208000000000013</v>
      </c>
    </row>
    <row r="1391" spans="1:24" x14ac:dyDescent="0.25">
      <c r="A1391" s="44" t="s">
        <v>65</v>
      </c>
      <c r="B1391" s="64" t="s">
        <v>206</v>
      </c>
      <c r="C1391" s="7">
        <v>45381.424699074072</v>
      </c>
      <c r="D1391" s="14">
        <v>8639</v>
      </c>
      <c r="E1391" s="14">
        <v>112</v>
      </c>
      <c r="F1391" s="14">
        <v>44</v>
      </c>
      <c r="G1391" s="14">
        <v>35</v>
      </c>
      <c r="H1391" s="14">
        <v>92.21</v>
      </c>
      <c r="I1391" s="14">
        <f>'PIVOT TABLES'!$B$26</f>
        <v>60.283999999999999</v>
      </c>
      <c r="J1391" s="14">
        <f>'PIVOT TABLES'!$B$27-'PIVOT TABLES'!$B$26</f>
        <v>30.142000000000003</v>
      </c>
      <c r="K1391" s="14">
        <f>'PIVOT TABLES'!$B$28-'PIVOT TABLES'!$B$27</f>
        <v>30.141999999999996</v>
      </c>
      <c r="L1391" s="14">
        <f>200-SUM(Table3[[#This Row],[D - LIGHT]:[D - VIGOROUS]])</f>
        <v>79.432000000000002</v>
      </c>
      <c r="M1391" s="14">
        <f>'PIVOT TABLES'!$I$26</f>
        <v>65.603999999999999</v>
      </c>
      <c r="N1391" s="14">
        <f>'PIVOT TABLES'!$I$27-'PIVOT TABLES'!$I$26</f>
        <v>32.802000000000007</v>
      </c>
      <c r="O1391" s="14">
        <f>'PIVOT TABLES'!$I$28-'PIVOT TABLES'!$I$27</f>
        <v>32.801999999999992</v>
      </c>
      <c r="P1391" s="14">
        <f>200-SUM(Table3[[#This Row],[M - LIGHT]:[M - VIGOROUS]])</f>
        <v>68.792000000000002</v>
      </c>
      <c r="Q1391" s="14">
        <f>'PIVOT TABLES'!$P$26</f>
        <v>62.64</v>
      </c>
      <c r="R1391" s="14">
        <f>'PIVOT TABLES'!$P$27-'PIVOT TABLES'!$P$26</f>
        <v>31.320000000000007</v>
      </c>
      <c r="S1391" s="14">
        <f>'PIVOT TABLES'!$P$28-'PIVOT TABLES'!$P$27</f>
        <v>31.319999999999993</v>
      </c>
      <c r="T1391" s="14">
        <f>200-SUM(Table3[[#This Row],[W - LIGHT]:[W - VIGOROUS]])</f>
        <v>74.72</v>
      </c>
      <c r="U1391" s="14">
        <f>'PIVOT TABLES'!$W$26</f>
        <v>55.895999999999994</v>
      </c>
      <c r="V1391" s="14">
        <f>'PIVOT TABLES'!$W$27-'PIVOT TABLES'!$W$26</f>
        <v>27.948</v>
      </c>
      <c r="W1391" s="14">
        <f>'PIVOT TABLES'!$W$28-'PIVOT TABLES'!$W$27</f>
        <v>27.947999999999993</v>
      </c>
      <c r="X1391" s="14">
        <f>200-SUM(Table3[[#This Row],[S - LIGHT]:[S - VIGOROUS]])</f>
        <v>88.208000000000013</v>
      </c>
    </row>
    <row r="1392" spans="1:24" x14ac:dyDescent="0.25">
      <c r="A1392" s="44" t="s">
        <v>66</v>
      </c>
      <c r="B1392" s="64" t="s">
        <v>205</v>
      </c>
      <c r="C1392" s="7">
        <v>45381.424699074072</v>
      </c>
      <c r="D1392" s="14">
        <v>7933</v>
      </c>
      <c r="E1392" s="14">
        <v>6</v>
      </c>
      <c r="F1392" s="14">
        <v>7</v>
      </c>
      <c r="G1392" s="14">
        <v>22</v>
      </c>
      <c r="H1392" s="14">
        <v>80.23</v>
      </c>
      <c r="I1392" s="14">
        <f>'PIVOT TABLES'!$B$26</f>
        <v>60.283999999999999</v>
      </c>
      <c r="J1392" s="14">
        <f>'PIVOT TABLES'!$B$27-'PIVOT TABLES'!$B$26</f>
        <v>30.142000000000003</v>
      </c>
      <c r="K1392" s="14">
        <f>'PIVOT TABLES'!$B$28-'PIVOT TABLES'!$B$27</f>
        <v>30.141999999999996</v>
      </c>
      <c r="L1392" s="14">
        <f>200-SUM(Table3[[#This Row],[D - LIGHT]:[D - VIGOROUS]])</f>
        <v>79.432000000000002</v>
      </c>
      <c r="M1392" s="14">
        <f>'PIVOT TABLES'!$I$26</f>
        <v>65.603999999999999</v>
      </c>
      <c r="N1392" s="14">
        <f>'PIVOT TABLES'!$I$27-'PIVOT TABLES'!$I$26</f>
        <v>32.802000000000007</v>
      </c>
      <c r="O1392" s="14">
        <f>'PIVOT TABLES'!$I$28-'PIVOT TABLES'!$I$27</f>
        <v>32.801999999999992</v>
      </c>
      <c r="P1392" s="14">
        <f>200-SUM(Table3[[#This Row],[M - LIGHT]:[M - VIGOROUS]])</f>
        <v>68.792000000000002</v>
      </c>
      <c r="Q1392" s="14">
        <f>'PIVOT TABLES'!$P$26</f>
        <v>62.64</v>
      </c>
      <c r="R1392" s="14">
        <f>'PIVOT TABLES'!$P$27-'PIVOT TABLES'!$P$26</f>
        <v>31.320000000000007</v>
      </c>
      <c r="S1392" s="14">
        <f>'PIVOT TABLES'!$P$28-'PIVOT TABLES'!$P$27</f>
        <v>31.319999999999993</v>
      </c>
      <c r="T1392" s="14">
        <f>200-SUM(Table3[[#This Row],[W - LIGHT]:[W - VIGOROUS]])</f>
        <v>74.72</v>
      </c>
      <c r="U1392" s="14">
        <f>'PIVOT TABLES'!$W$26</f>
        <v>55.895999999999994</v>
      </c>
      <c r="V1392" s="14">
        <f>'PIVOT TABLES'!$W$27-'PIVOT TABLES'!$W$26</f>
        <v>27.948</v>
      </c>
      <c r="W1392" s="14">
        <f>'PIVOT TABLES'!$W$28-'PIVOT TABLES'!$W$27</f>
        <v>27.947999999999993</v>
      </c>
      <c r="X1392" s="14">
        <f>200-SUM(Table3[[#This Row],[S - LIGHT]:[S - VIGOROUS]])</f>
        <v>88.208000000000013</v>
      </c>
    </row>
    <row r="1393" spans="1:24" x14ac:dyDescent="0.25">
      <c r="A1393" s="44" t="s">
        <v>95</v>
      </c>
      <c r="B1393" s="64" t="s">
        <v>206</v>
      </c>
      <c r="C1393" s="7">
        <v>45381.424699074072</v>
      </c>
      <c r="D1393" s="14">
        <v>6685</v>
      </c>
      <c r="E1393" s="14">
        <v>25</v>
      </c>
      <c r="F1393" s="14">
        <v>17</v>
      </c>
      <c r="G1393" s="14">
        <v>24</v>
      </c>
      <c r="H1393" s="14">
        <v>68.760000000000005</v>
      </c>
      <c r="I1393" s="14">
        <f>'PIVOT TABLES'!$B$26</f>
        <v>60.283999999999999</v>
      </c>
      <c r="J1393" s="14">
        <f>'PIVOT TABLES'!$B$27-'PIVOT TABLES'!$B$26</f>
        <v>30.142000000000003</v>
      </c>
      <c r="K1393" s="14">
        <f>'PIVOT TABLES'!$B$28-'PIVOT TABLES'!$B$27</f>
        <v>30.141999999999996</v>
      </c>
      <c r="L1393" s="14">
        <f>200-SUM(Table3[[#This Row],[D - LIGHT]:[D - VIGOROUS]])</f>
        <v>79.432000000000002</v>
      </c>
      <c r="M1393" s="14">
        <f>'PIVOT TABLES'!$I$26</f>
        <v>65.603999999999999</v>
      </c>
      <c r="N1393" s="14">
        <f>'PIVOT TABLES'!$I$27-'PIVOT TABLES'!$I$26</f>
        <v>32.802000000000007</v>
      </c>
      <c r="O1393" s="14">
        <f>'PIVOT TABLES'!$I$28-'PIVOT TABLES'!$I$27</f>
        <v>32.801999999999992</v>
      </c>
      <c r="P1393" s="14">
        <f>200-SUM(Table3[[#This Row],[M - LIGHT]:[M - VIGOROUS]])</f>
        <v>68.792000000000002</v>
      </c>
      <c r="Q1393" s="14">
        <f>'PIVOT TABLES'!$P$26</f>
        <v>62.64</v>
      </c>
      <c r="R1393" s="14">
        <f>'PIVOT TABLES'!$P$27-'PIVOT TABLES'!$P$26</f>
        <v>31.320000000000007</v>
      </c>
      <c r="S1393" s="14">
        <f>'PIVOT TABLES'!$P$28-'PIVOT TABLES'!$P$27</f>
        <v>31.319999999999993</v>
      </c>
      <c r="T1393" s="14">
        <f>200-SUM(Table3[[#This Row],[W - LIGHT]:[W - VIGOROUS]])</f>
        <v>74.72</v>
      </c>
      <c r="U1393" s="14">
        <f>'PIVOT TABLES'!$W$26</f>
        <v>55.895999999999994</v>
      </c>
      <c r="V1393" s="14">
        <f>'PIVOT TABLES'!$W$27-'PIVOT TABLES'!$W$26</f>
        <v>27.948</v>
      </c>
      <c r="W1393" s="14">
        <f>'PIVOT TABLES'!$W$28-'PIVOT TABLES'!$W$27</f>
        <v>27.947999999999993</v>
      </c>
      <c r="X1393" s="14">
        <f>200-SUM(Table3[[#This Row],[S - LIGHT]:[S - VIGOROUS]])</f>
        <v>88.208000000000013</v>
      </c>
    </row>
    <row r="1394" spans="1:24" x14ac:dyDescent="0.25">
      <c r="A1394" s="44" t="s">
        <v>96</v>
      </c>
      <c r="B1394" s="64" t="s">
        <v>206</v>
      </c>
      <c r="C1394" s="7">
        <v>45381.424699074072</v>
      </c>
      <c r="D1394" s="14">
        <v>6849</v>
      </c>
      <c r="E1394" s="14">
        <v>52</v>
      </c>
      <c r="F1394" s="14">
        <v>18</v>
      </c>
      <c r="G1394" s="14">
        <v>17</v>
      </c>
      <c r="H1394" s="14">
        <v>71.11</v>
      </c>
      <c r="I1394" s="14">
        <f>'PIVOT TABLES'!$B$26</f>
        <v>60.283999999999999</v>
      </c>
      <c r="J1394" s="14">
        <f>'PIVOT TABLES'!$B$27-'PIVOT TABLES'!$B$26</f>
        <v>30.142000000000003</v>
      </c>
      <c r="K1394" s="14">
        <f>'PIVOT TABLES'!$B$28-'PIVOT TABLES'!$B$27</f>
        <v>30.141999999999996</v>
      </c>
      <c r="L1394" s="14">
        <f>200-SUM(Table3[[#This Row],[D - LIGHT]:[D - VIGOROUS]])</f>
        <v>79.432000000000002</v>
      </c>
      <c r="M1394" s="14">
        <f>'PIVOT TABLES'!$I$26</f>
        <v>65.603999999999999</v>
      </c>
      <c r="N1394" s="14">
        <f>'PIVOT TABLES'!$I$27-'PIVOT TABLES'!$I$26</f>
        <v>32.802000000000007</v>
      </c>
      <c r="O1394" s="14">
        <f>'PIVOT TABLES'!$I$28-'PIVOT TABLES'!$I$27</f>
        <v>32.801999999999992</v>
      </c>
      <c r="P1394" s="14">
        <f>200-SUM(Table3[[#This Row],[M - LIGHT]:[M - VIGOROUS]])</f>
        <v>68.792000000000002</v>
      </c>
      <c r="Q1394" s="14">
        <f>'PIVOT TABLES'!$P$26</f>
        <v>62.64</v>
      </c>
      <c r="R1394" s="14">
        <f>'PIVOT TABLES'!$P$27-'PIVOT TABLES'!$P$26</f>
        <v>31.320000000000007</v>
      </c>
      <c r="S1394" s="14">
        <f>'PIVOT TABLES'!$P$28-'PIVOT TABLES'!$P$27</f>
        <v>31.319999999999993</v>
      </c>
      <c r="T1394" s="14">
        <f>200-SUM(Table3[[#This Row],[W - LIGHT]:[W - VIGOROUS]])</f>
        <v>74.72</v>
      </c>
      <c r="U1394" s="14">
        <f>'PIVOT TABLES'!$W$26</f>
        <v>55.895999999999994</v>
      </c>
      <c r="V1394" s="14">
        <f>'PIVOT TABLES'!$W$27-'PIVOT TABLES'!$W$26</f>
        <v>27.948</v>
      </c>
      <c r="W1394" s="14">
        <f>'PIVOT TABLES'!$W$28-'PIVOT TABLES'!$W$27</f>
        <v>27.947999999999993</v>
      </c>
      <c r="X1394" s="14">
        <f>200-SUM(Table3[[#This Row],[S - LIGHT]:[S - VIGOROUS]])</f>
        <v>88.208000000000013</v>
      </c>
    </row>
    <row r="1395" spans="1:24" x14ac:dyDescent="0.25">
      <c r="A1395" s="44" t="s">
        <v>8</v>
      </c>
      <c r="B1395" s="64" t="s">
        <v>205</v>
      </c>
      <c r="C1395" s="7">
        <v>45381.424699074072</v>
      </c>
      <c r="D1395" s="14">
        <v>7276</v>
      </c>
      <c r="E1395" s="14">
        <v>6</v>
      </c>
      <c r="F1395" s="14">
        <v>23</v>
      </c>
      <c r="G1395" s="14">
        <v>45</v>
      </c>
      <c r="H1395" s="14">
        <v>74.760000000000005</v>
      </c>
      <c r="I1395" s="14">
        <f>'PIVOT TABLES'!$B$26</f>
        <v>60.283999999999999</v>
      </c>
      <c r="J1395" s="14">
        <f>'PIVOT TABLES'!$B$27-'PIVOT TABLES'!$B$26</f>
        <v>30.142000000000003</v>
      </c>
      <c r="K1395" s="14">
        <f>'PIVOT TABLES'!$B$28-'PIVOT TABLES'!$B$27</f>
        <v>30.141999999999996</v>
      </c>
      <c r="L1395" s="14">
        <f>200-SUM(Table3[[#This Row],[D - LIGHT]:[D - VIGOROUS]])</f>
        <v>79.432000000000002</v>
      </c>
      <c r="M1395" s="14">
        <f>'PIVOT TABLES'!$I$26</f>
        <v>65.603999999999999</v>
      </c>
      <c r="N1395" s="14">
        <f>'PIVOT TABLES'!$I$27-'PIVOT TABLES'!$I$26</f>
        <v>32.802000000000007</v>
      </c>
      <c r="O1395" s="14">
        <f>'PIVOT TABLES'!$I$28-'PIVOT TABLES'!$I$27</f>
        <v>32.801999999999992</v>
      </c>
      <c r="P1395" s="14">
        <f>200-SUM(Table3[[#This Row],[M - LIGHT]:[M - VIGOROUS]])</f>
        <v>68.792000000000002</v>
      </c>
      <c r="Q1395" s="14">
        <f>'PIVOT TABLES'!$P$26</f>
        <v>62.64</v>
      </c>
      <c r="R1395" s="14">
        <f>'PIVOT TABLES'!$P$27-'PIVOT TABLES'!$P$26</f>
        <v>31.320000000000007</v>
      </c>
      <c r="S1395" s="14">
        <f>'PIVOT TABLES'!$P$28-'PIVOT TABLES'!$P$27</f>
        <v>31.319999999999993</v>
      </c>
      <c r="T1395" s="14">
        <f>200-SUM(Table3[[#This Row],[W - LIGHT]:[W - VIGOROUS]])</f>
        <v>74.72</v>
      </c>
      <c r="U1395" s="14">
        <f>'PIVOT TABLES'!$W$26</f>
        <v>55.895999999999994</v>
      </c>
      <c r="V1395" s="14">
        <f>'PIVOT TABLES'!$W$27-'PIVOT TABLES'!$W$26</f>
        <v>27.948</v>
      </c>
      <c r="W1395" s="14">
        <f>'PIVOT TABLES'!$W$28-'PIVOT TABLES'!$W$27</f>
        <v>27.947999999999993</v>
      </c>
      <c r="X1395" s="14">
        <f>200-SUM(Table3[[#This Row],[S - LIGHT]:[S - VIGOROUS]])</f>
        <v>88.208000000000013</v>
      </c>
    </row>
    <row r="1396" spans="1:24" x14ac:dyDescent="0.25">
      <c r="A1396" s="44" t="s">
        <v>67</v>
      </c>
      <c r="B1396" s="64" t="s">
        <v>204</v>
      </c>
      <c r="C1396" s="7">
        <v>45381.424699074072</v>
      </c>
      <c r="D1396" s="14">
        <v>7933</v>
      </c>
      <c r="E1396" s="14">
        <v>50</v>
      </c>
      <c r="F1396" s="14">
        <v>47</v>
      </c>
      <c r="G1396" s="14">
        <v>45</v>
      </c>
      <c r="H1396" s="14">
        <v>83.61</v>
      </c>
      <c r="I1396" s="14">
        <f>'PIVOT TABLES'!$B$26</f>
        <v>60.283999999999999</v>
      </c>
      <c r="J1396" s="14">
        <f>'PIVOT TABLES'!$B$27-'PIVOT TABLES'!$B$26</f>
        <v>30.142000000000003</v>
      </c>
      <c r="K1396" s="14">
        <f>'PIVOT TABLES'!$B$28-'PIVOT TABLES'!$B$27</f>
        <v>30.141999999999996</v>
      </c>
      <c r="L1396" s="14">
        <f>200-SUM(Table3[[#This Row],[D - LIGHT]:[D - VIGOROUS]])</f>
        <v>79.432000000000002</v>
      </c>
      <c r="M1396" s="14">
        <f>'PIVOT TABLES'!$I$26</f>
        <v>65.603999999999999</v>
      </c>
      <c r="N1396" s="14">
        <f>'PIVOT TABLES'!$I$27-'PIVOT TABLES'!$I$26</f>
        <v>32.802000000000007</v>
      </c>
      <c r="O1396" s="14">
        <f>'PIVOT TABLES'!$I$28-'PIVOT TABLES'!$I$27</f>
        <v>32.801999999999992</v>
      </c>
      <c r="P1396" s="14">
        <f>200-SUM(Table3[[#This Row],[M - LIGHT]:[M - VIGOROUS]])</f>
        <v>68.792000000000002</v>
      </c>
      <c r="Q1396" s="14">
        <f>'PIVOT TABLES'!$P$26</f>
        <v>62.64</v>
      </c>
      <c r="R1396" s="14">
        <f>'PIVOT TABLES'!$P$27-'PIVOT TABLES'!$P$26</f>
        <v>31.320000000000007</v>
      </c>
      <c r="S1396" s="14">
        <f>'PIVOT TABLES'!$P$28-'PIVOT TABLES'!$P$27</f>
        <v>31.319999999999993</v>
      </c>
      <c r="T1396" s="14">
        <f>200-SUM(Table3[[#This Row],[W - LIGHT]:[W - VIGOROUS]])</f>
        <v>74.72</v>
      </c>
      <c r="U1396" s="14">
        <f>'PIVOT TABLES'!$W$26</f>
        <v>55.895999999999994</v>
      </c>
      <c r="V1396" s="14">
        <f>'PIVOT TABLES'!$W$27-'PIVOT TABLES'!$W$26</f>
        <v>27.948</v>
      </c>
      <c r="W1396" s="14">
        <f>'PIVOT TABLES'!$W$28-'PIVOT TABLES'!$W$27</f>
        <v>27.947999999999993</v>
      </c>
      <c r="X1396" s="14">
        <f>200-SUM(Table3[[#This Row],[S - LIGHT]:[S - VIGOROUS]])</f>
        <v>88.208000000000013</v>
      </c>
    </row>
    <row r="1397" spans="1:24" x14ac:dyDescent="0.25">
      <c r="A1397" s="44" t="s">
        <v>69</v>
      </c>
      <c r="B1397" s="64" t="s">
        <v>204</v>
      </c>
      <c r="C1397" s="7">
        <v>45381.424699074072</v>
      </c>
      <c r="D1397" s="14">
        <v>5794</v>
      </c>
      <c r="E1397" s="14">
        <v>11</v>
      </c>
      <c r="F1397" s="14">
        <v>20</v>
      </c>
      <c r="G1397" s="14">
        <v>26</v>
      </c>
      <c r="H1397" s="14">
        <v>59.59</v>
      </c>
      <c r="I1397" s="14">
        <f>'PIVOT TABLES'!$B$26</f>
        <v>60.283999999999999</v>
      </c>
      <c r="J1397" s="14">
        <f>'PIVOT TABLES'!$B$27-'PIVOT TABLES'!$B$26</f>
        <v>30.142000000000003</v>
      </c>
      <c r="K1397" s="14">
        <f>'PIVOT TABLES'!$B$28-'PIVOT TABLES'!$B$27</f>
        <v>30.141999999999996</v>
      </c>
      <c r="L1397" s="14">
        <f>200-SUM(Table3[[#This Row],[D - LIGHT]:[D - VIGOROUS]])</f>
        <v>79.432000000000002</v>
      </c>
      <c r="M1397" s="14">
        <f>'PIVOT TABLES'!$I$26</f>
        <v>65.603999999999999</v>
      </c>
      <c r="N1397" s="14">
        <f>'PIVOT TABLES'!$I$27-'PIVOT TABLES'!$I$26</f>
        <v>32.802000000000007</v>
      </c>
      <c r="O1397" s="14">
        <f>'PIVOT TABLES'!$I$28-'PIVOT TABLES'!$I$27</f>
        <v>32.801999999999992</v>
      </c>
      <c r="P1397" s="14">
        <f>200-SUM(Table3[[#This Row],[M - LIGHT]:[M - VIGOROUS]])</f>
        <v>68.792000000000002</v>
      </c>
      <c r="Q1397" s="14">
        <f>'PIVOT TABLES'!$P$26</f>
        <v>62.64</v>
      </c>
      <c r="R1397" s="14">
        <f>'PIVOT TABLES'!$P$27-'PIVOT TABLES'!$P$26</f>
        <v>31.320000000000007</v>
      </c>
      <c r="S1397" s="14">
        <f>'PIVOT TABLES'!$P$28-'PIVOT TABLES'!$P$27</f>
        <v>31.319999999999993</v>
      </c>
      <c r="T1397" s="14">
        <f>200-SUM(Table3[[#This Row],[W - LIGHT]:[W - VIGOROUS]])</f>
        <v>74.72</v>
      </c>
      <c r="U1397" s="14">
        <f>'PIVOT TABLES'!$W$26</f>
        <v>55.895999999999994</v>
      </c>
      <c r="V1397" s="14">
        <f>'PIVOT TABLES'!$W$27-'PIVOT TABLES'!$W$26</f>
        <v>27.948</v>
      </c>
      <c r="W1397" s="14">
        <f>'PIVOT TABLES'!$W$28-'PIVOT TABLES'!$W$27</f>
        <v>27.947999999999993</v>
      </c>
      <c r="X1397" s="14">
        <f>200-SUM(Table3[[#This Row],[S - LIGHT]:[S - VIGOROUS]])</f>
        <v>88.208000000000013</v>
      </c>
    </row>
    <row r="1398" spans="1:24" x14ac:dyDescent="0.25">
      <c r="A1398" s="44" t="s">
        <v>70</v>
      </c>
      <c r="B1398" s="64" t="s">
        <v>206</v>
      </c>
      <c r="C1398" s="7">
        <v>45382.442766203705</v>
      </c>
      <c r="D1398" s="14">
        <v>7709</v>
      </c>
      <c r="E1398" s="14">
        <v>148</v>
      </c>
      <c r="F1398" s="14">
        <v>22</v>
      </c>
      <c r="G1398" s="14">
        <v>21</v>
      </c>
      <c r="H1398" s="14">
        <v>82.83</v>
      </c>
      <c r="I1398" s="14">
        <f>'PIVOT TABLES'!$B$26</f>
        <v>60.283999999999999</v>
      </c>
      <c r="J1398" s="14">
        <f>'PIVOT TABLES'!$B$27-'PIVOT TABLES'!$B$26</f>
        <v>30.142000000000003</v>
      </c>
      <c r="K1398" s="14">
        <f>'PIVOT TABLES'!$B$28-'PIVOT TABLES'!$B$27</f>
        <v>30.141999999999996</v>
      </c>
      <c r="L1398" s="14">
        <f>200-SUM(Table3[[#This Row],[D - LIGHT]:[D - VIGOROUS]])</f>
        <v>79.432000000000002</v>
      </c>
      <c r="M1398" s="14">
        <f>'PIVOT TABLES'!$I$26</f>
        <v>65.603999999999999</v>
      </c>
      <c r="N1398" s="14">
        <f>'PIVOT TABLES'!$I$27-'PIVOT TABLES'!$I$26</f>
        <v>32.802000000000007</v>
      </c>
      <c r="O1398" s="14">
        <f>'PIVOT TABLES'!$I$28-'PIVOT TABLES'!$I$27</f>
        <v>32.801999999999992</v>
      </c>
      <c r="P1398" s="14">
        <f>200-SUM(Table3[[#This Row],[M - LIGHT]:[M - VIGOROUS]])</f>
        <v>68.792000000000002</v>
      </c>
      <c r="Q1398" s="14">
        <f>'PIVOT TABLES'!$P$26</f>
        <v>62.64</v>
      </c>
      <c r="R1398" s="14">
        <f>'PIVOT TABLES'!$P$27-'PIVOT TABLES'!$P$26</f>
        <v>31.320000000000007</v>
      </c>
      <c r="S1398" s="14">
        <f>'PIVOT TABLES'!$P$28-'PIVOT TABLES'!$P$27</f>
        <v>31.319999999999993</v>
      </c>
      <c r="T1398" s="14">
        <f>200-SUM(Table3[[#This Row],[W - LIGHT]:[W - VIGOROUS]])</f>
        <v>74.72</v>
      </c>
      <c r="U1398" s="14">
        <f>'PIVOT TABLES'!$W$26</f>
        <v>55.895999999999994</v>
      </c>
      <c r="V1398" s="14">
        <f>'PIVOT TABLES'!$W$27-'PIVOT TABLES'!$W$26</f>
        <v>27.948</v>
      </c>
      <c r="W1398" s="14">
        <f>'PIVOT TABLES'!$W$28-'PIVOT TABLES'!$W$27</f>
        <v>27.947999999999993</v>
      </c>
      <c r="X1398" s="14">
        <f>200-SUM(Table3[[#This Row],[S - LIGHT]:[S - VIGOROUS]])</f>
        <v>88.208000000000013</v>
      </c>
    </row>
    <row r="1399" spans="1:24" x14ac:dyDescent="0.25">
      <c r="A1399" s="44" t="s">
        <v>53</v>
      </c>
      <c r="B1399" s="64" t="s">
        <v>204</v>
      </c>
      <c r="C1399" s="7">
        <v>45382.442766203705</v>
      </c>
      <c r="D1399" s="14">
        <v>7881</v>
      </c>
      <c r="E1399" s="14">
        <v>96</v>
      </c>
      <c r="F1399" s="14">
        <v>32</v>
      </c>
      <c r="G1399" s="14">
        <v>33</v>
      </c>
      <c r="H1399" s="14">
        <v>83.63</v>
      </c>
      <c r="I1399" s="14">
        <f>'PIVOT TABLES'!$B$26</f>
        <v>60.283999999999999</v>
      </c>
      <c r="J1399" s="14">
        <f>'PIVOT TABLES'!$B$27-'PIVOT TABLES'!$B$26</f>
        <v>30.142000000000003</v>
      </c>
      <c r="K1399" s="14">
        <f>'PIVOT TABLES'!$B$28-'PIVOT TABLES'!$B$27</f>
        <v>30.141999999999996</v>
      </c>
      <c r="L1399" s="14">
        <f>200-SUM(Table3[[#This Row],[D - LIGHT]:[D - VIGOROUS]])</f>
        <v>79.432000000000002</v>
      </c>
      <c r="M1399" s="14">
        <f>'PIVOT TABLES'!$I$26</f>
        <v>65.603999999999999</v>
      </c>
      <c r="N1399" s="14">
        <f>'PIVOT TABLES'!$I$27-'PIVOT TABLES'!$I$26</f>
        <v>32.802000000000007</v>
      </c>
      <c r="O1399" s="14">
        <f>'PIVOT TABLES'!$I$28-'PIVOT TABLES'!$I$27</f>
        <v>32.801999999999992</v>
      </c>
      <c r="P1399" s="14">
        <f>200-SUM(Table3[[#This Row],[M - LIGHT]:[M - VIGOROUS]])</f>
        <v>68.792000000000002</v>
      </c>
      <c r="Q1399" s="14">
        <f>'PIVOT TABLES'!$P$26</f>
        <v>62.64</v>
      </c>
      <c r="R1399" s="14">
        <f>'PIVOT TABLES'!$P$27-'PIVOT TABLES'!$P$26</f>
        <v>31.320000000000007</v>
      </c>
      <c r="S1399" s="14">
        <f>'PIVOT TABLES'!$P$28-'PIVOT TABLES'!$P$27</f>
        <v>31.319999999999993</v>
      </c>
      <c r="T1399" s="14">
        <f>200-SUM(Table3[[#This Row],[W - LIGHT]:[W - VIGOROUS]])</f>
        <v>74.72</v>
      </c>
      <c r="U1399" s="14">
        <f>'PIVOT TABLES'!$W$26</f>
        <v>55.895999999999994</v>
      </c>
      <c r="V1399" s="14">
        <f>'PIVOT TABLES'!$W$27-'PIVOT TABLES'!$W$26</f>
        <v>27.948</v>
      </c>
      <c r="W1399" s="14">
        <f>'PIVOT TABLES'!$W$28-'PIVOT TABLES'!$W$27</f>
        <v>27.947999999999993</v>
      </c>
      <c r="X1399" s="14">
        <f>200-SUM(Table3[[#This Row],[S - LIGHT]:[S - VIGOROUS]])</f>
        <v>88.208000000000013</v>
      </c>
    </row>
    <row r="1400" spans="1:24" x14ac:dyDescent="0.25">
      <c r="A1400" s="44" t="s">
        <v>54</v>
      </c>
      <c r="B1400" s="64" t="s">
        <v>205</v>
      </c>
      <c r="C1400" s="7">
        <v>45382.442766203705</v>
      </c>
      <c r="D1400" s="14">
        <v>8094</v>
      </c>
      <c r="E1400" s="14">
        <v>23</v>
      </c>
      <c r="F1400" s="14">
        <v>25</v>
      </c>
      <c r="G1400" s="14">
        <v>23</v>
      </c>
      <c r="H1400" s="14">
        <v>83.09</v>
      </c>
      <c r="I1400" s="14">
        <f>'PIVOT TABLES'!$B$26</f>
        <v>60.283999999999999</v>
      </c>
      <c r="J1400" s="14">
        <f>'PIVOT TABLES'!$B$27-'PIVOT TABLES'!$B$26</f>
        <v>30.142000000000003</v>
      </c>
      <c r="K1400" s="14">
        <f>'PIVOT TABLES'!$B$28-'PIVOT TABLES'!$B$27</f>
        <v>30.141999999999996</v>
      </c>
      <c r="L1400" s="14">
        <f>200-SUM(Table3[[#This Row],[D - LIGHT]:[D - VIGOROUS]])</f>
        <v>79.432000000000002</v>
      </c>
      <c r="M1400" s="14">
        <f>'PIVOT TABLES'!$I$26</f>
        <v>65.603999999999999</v>
      </c>
      <c r="N1400" s="14">
        <f>'PIVOT TABLES'!$I$27-'PIVOT TABLES'!$I$26</f>
        <v>32.802000000000007</v>
      </c>
      <c r="O1400" s="14">
        <f>'PIVOT TABLES'!$I$28-'PIVOT TABLES'!$I$27</f>
        <v>32.801999999999992</v>
      </c>
      <c r="P1400" s="14">
        <f>200-SUM(Table3[[#This Row],[M - LIGHT]:[M - VIGOROUS]])</f>
        <v>68.792000000000002</v>
      </c>
      <c r="Q1400" s="14">
        <f>'PIVOT TABLES'!$P$26</f>
        <v>62.64</v>
      </c>
      <c r="R1400" s="14">
        <f>'PIVOT TABLES'!$P$27-'PIVOT TABLES'!$P$26</f>
        <v>31.320000000000007</v>
      </c>
      <c r="S1400" s="14">
        <f>'PIVOT TABLES'!$P$28-'PIVOT TABLES'!$P$27</f>
        <v>31.319999999999993</v>
      </c>
      <c r="T1400" s="14">
        <f>200-SUM(Table3[[#This Row],[W - LIGHT]:[W - VIGOROUS]])</f>
        <v>74.72</v>
      </c>
      <c r="U1400" s="14">
        <f>'PIVOT TABLES'!$W$26</f>
        <v>55.895999999999994</v>
      </c>
      <c r="V1400" s="14">
        <f>'PIVOT TABLES'!$W$27-'PIVOT TABLES'!$W$26</f>
        <v>27.948</v>
      </c>
      <c r="W1400" s="14">
        <f>'PIVOT TABLES'!$W$28-'PIVOT TABLES'!$W$27</f>
        <v>27.947999999999993</v>
      </c>
      <c r="X1400" s="14">
        <f>200-SUM(Table3[[#This Row],[S - LIGHT]:[S - VIGOROUS]])</f>
        <v>88.208000000000013</v>
      </c>
    </row>
    <row r="1401" spans="1:24" x14ac:dyDescent="0.25">
      <c r="A1401" s="44" t="s">
        <v>1</v>
      </c>
      <c r="B1401" s="64" t="s">
        <v>203</v>
      </c>
      <c r="C1401" s="7">
        <v>45382.442766203705</v>
      </c>
      <c r="D1401" s="14">
        <v>2062</v>
      </c>
      <c r="E1401" s="14">
        <v>10</v>
      </c>
      <c r="F1401" s="14">
        <v>3</v>
      </c>
      <c r="G1401" s="14">
        <v>1</v>
      </c>
      <c r="H1401" s="14">
        <v>21.06</v>
      </c>
      <c r="I1401" s="14">
        <f>'PIVOT TABLES'!$B$26</f>
        <v>60.283999999999999</v>
      </c>
      <c r="J1401" s="14">
        <f>'PIVOT TABLES'!$B$27-'PIVOT TABLES'!$B$26</f>
        <v>30.142000000000003</v>
      </c>
      <c r="K1401" s="14">
        <f>'PIVOT TABLES'!$B$28-'PIVOT TABLES'!$B$27</f>
        <v>30.141999999999996</v>
      </c>
      <c r="L1401" s="14">
        <f>200-SUM(Table3[[#This Row],[D - LIGHT]:[D - VIGOROUS]])</f>
        <v>79.432000000000002</v>
      </c>
      <c r="M1401" s="14">
        <f>'PIVOT TABLES'!$I$26</f>
        <v>65.603999999999999</v>
      </c>
      <c r="N1401" s="14">
        <f>'PIVOT TABLES'!$I$27-'PIVOT TABLES'!$I$26</f>
        <v>32.802000000000007</v>
      </c>
      <c r="O1401" s="14">
        <f>'PIVOT TABLES'!$I$28-'PIVOT TABLES'!$I$27</f>
        <v>32.801999999999992</v>
      </c>
      <c r="P1401" s="14">
        <f>200-SUM(Table3[[#This Row],[M - LIGHT]:[M - VIGOROUS]])</f>
        <v>68.792000000000002</v>
      </c>
      <c r="Q1401" s="14">
        <f>'PIVOT TABLES'!$P$26</f>
        <v>62.64</v>
      </c>
      <c r="R1401" s="14">
        <f>'PIVOT TABLES'!$P$27-'PIVOT TABLES'!$P$26</f>
        <v>31.320000000000007</v>
      </c>
      <c r="S1401" s="14">
        <f>'PIVOT TABLES'!$P$28-'PIVOT TABLES'!$P$27</f>
        <v>31.319999999999993</v>
      </c>
      <c r="T1401" s="14">
        <f>200-SUM(Table3[[#This Row],[W - LIGHT]:[W - VIGOROUS]])</f>
        <v>74.72</v>
      </c>
      <c r="U1401" s="14">
        <f>'PIVOT TABLES'!$W$26</f>
        <v>55.895999999999994</v>
      </c>
      <c r="V1401" s="14">
        <f>'PIVOT TABLES'!$W$27-'PIVOT TABLES'!$W$26</f>
        <v>27.948</v>
      </c>
      <c r="W1401" s="14">
        <f>'PIVOT TABLES'!$W$28-'PIVOT TABLES'!$W$27</f>
        <v>27.947999999999993</v>
      </c>
      <c r="X1401" s="14">
        <f>200-SUM(Table3[[#This Row],[S - LIGHT]:[S - VIGOROUS]])</f>
        <v>88.208000000000013</v>
      </c>
    </row>
    <row r="1402" spans="1:24" x14ac:dyDescent="0.25">
      <c r="A1402" s="44" t="s">
        <v>56</v>
      </c>
      <c r="B1402" s="64" t="s">
        <v>204</v>
      </c>
      <c r="C1402" s="7">
        <v>45382.442766203705</v>
      </c>
      <c r="D1402" s="14">
        <v>8259</v>
      </c>
      <c r="E1402" s="14">
        <v>155</v>
      </c>
      <c r="F1402" s="14">
        <v>25</v>
      </c>
      <c r="G1402" s="14">
        <v>8</v>
      </c>
      <c r="H1402" s="14">
        <v>88.4</v>
      </c>
      <c r="I1402" s="14">
        <f>'PIVOT TABLES'!$B$26</f>
        <v>60.283999999999999</v>
      </c>
      <c r="J1402" s="14">
        <f>'PIVOT TABLES'!$B$27-'PIVOT TABLES'!$B$26</f>
        <v>30.142000000000003</v>
      </c>
      <c r="K1402" s="14">
        <f>'PIVOT TABLES'!$B$28-'PIVOT TABLES'!$B$27</f>
        <v>30.141999999999996</v>
      </c>
      <c r="L1402" s="14">
        <f>200-SUM(Table3[[#This Row],[D - LIGHT]:[D - VIGOROUS]])</f>
        <v>79.432000000000002</v>
      </c>
      <c r="M1402" s="14">
        <f>'PIVOT TABLES'!$I$26</f>
        <v>65.603999999999999</v>
      </c>
      <c r="N1402" s="14">
        <f>'PIVOT TABLES'!$I$27-'PIVOT TABLES'!$I$26</f>
        <v>32.802000000000007</v>
      </c>
      <c r="O1402" s="14">
        <f>'PIVOT TABLES'!$I$28-'PIVOT TABLES'!$I$27</f>
        <v>32.801999999999992</v>
      </c>
      <c r="P1402" s="14">
        <f>200-SUM(Table3[[#This Row],[M - LIGHT]:[M - VIGOROUS]])</f>
        <v>68.792000000000002</v>
      </c>
      <c r="Q1402" s="14">
        <f>'PIVOT TABLES'!$P$26</f>
        <v>62.64</v>
      </c>
      <c r="R1402" s="14">
        <f>'PIVOT TABLES'!$P$27-'PIVOT TABLES'!$P$26</f>
        <v>31.320000000000007</v>
      </c>
      <c r="S1402" s="14">
        <f>'PIVOT TABLES'!$P$28-'PIVOT TABLES'!$P$27</f>
        <v>31.319999999999993</v>
      </c>
      <c r="T1402" s="14">
        <f>200-SUM(Table3[[#This Row],[W - LIGHT]:[W - VIGOROUS]])</f>
        <v>74.72</v>
      </c>
      <c r="U1402" s="14">
        <f>'PIVOT TABLES'!$W$26</f>
        <v>55.895999999999994</v>
      </c>
      <c r="V1402" s="14">
        <f>'PIVOT TABLES'!$W$27-'PIVOT TABLES'!$W$26</f>
        <v>27.948</v>
      </c>
      <c r="W1402" s="14">
        <f>'PIVOT TABLES'!$W$28-'PIVOT TABLES'!$W$27</f>
        <v>27.947999999999993</v>
      </c>
      <c r="X1402" s="14">
        <f>200-SUM(Table3[[#This Row],[S - LIGHT]:[S - VIGOROUS]])</f>
        <v>88.208000000000013</v>
      </c>
    </row>
    <row r="1403" spans="1:24" x14ac:dyDescent="0.25">
      <c r="A1403" s="44" t="s">
        <v>2</v>
      </c>
      <c r="B1403" s="64" t="s">
        <v>203</v>
      </c>
      <c r="C1403" s="7">
        <v>45382.442766203705</v>
      </c>
      <c r="D1403" s="14">
        <v>4867</v>
      </c>
      <c r="E1403" s="14">
        <v>34</v>
      </c>
      <c r="F1403" s="14">
        <v>15</v>
      </c>
      <c r="G1403" s="14">
        <v>17</v>
      </c>
      <c r="H1403" s="14">
        <v>50.63</v>
      </c>
      <c r="I1403" s="14">
        <f>'PIVOT TABLES'!$B$26</f>
        <v>60.283999999999999</v>
      </c>
      <c r="J1403" s="14">
        <f>'PIVOT TABLES'!$B$27-'PIVOT TABLES'!$B$26</f>
        <v>30.142000000000003</v>
      </c>
      <c r="K1403" s="14">
        <f>'PIVOT TABLES'!$B$28-'PIVOT TABLES'!$B$27</f>
        <v>30.141999999999996</v>
      </c>
      <c r="L1403" s="14">
        <f>200-SUM(Table3[[#This Row],[D - LIGHT]:[D - VIGOROUS]])</f>
        <v>79.432000000000002</v>
      </c>
      <c r="M1403" s="14">
        <f>'PIVOT TABLES'!$I$26</f>
        <v>65.603999999999999</v>
      </c>
      <c r="N1403" s="14">
        <f>'PIVOT TABLES'!$I$27-'PIVOT TABLES'!$I$26</f>
        <v>32.802000000000007</v>
      </c>
      <c r="O1403" s="14">
        <f>'PIVOT TABLES'!$I$28-'PIVOT TABLES'!$I$27</f>
        <v>32.801999999999992</v>
      </c>
      <c r="P1403" s="14">
        <f>200-SUM(Table3[[#This Row],[M - LIGHT]:[M - VIGOROUS]])</f>
        <v>68.792000000000002</v>
      </c>
      <c r="Q1403" s="14">
        <f>'PIVOT TABLES'!$P$26</f>
        <v>62.64</v>
      </c>
      <c r="R1403" s="14">
        <f>'PIVOT TABLES'!$P$27-'PIVOT TABLES'!$P$26</f>
        <v>31.320000000000007</v>
      </c>
      <c r="S1403" s="14">
        <f>'PIVOT TABLES'!$P$28-'PIVOT TABLES'!$P$27</f>
        <v>31.319999999999993</v>
      </c>
      <c r="T1403" s="14">
        <f>200-SUM(Table3[[#This Row],[W - LIGHT]:[W - VIGOROUS]])</f>
        <v>74.72</v>
      </c>
      <c r="U1403" s="14">
        <f>'PIVOT TABLES'!$W$26</f>
        <v>55.895999999999994</v>
      </c>
      <c r="V1403" s="14">
        <f>'PIVOT TABLES'!$W$27-'PIVOT TABLES'!$W$26</f>
        <v>27.948</v>
      </c>
      <c r="W1403" s="14">
        <f>'PIVOT TABLES'!$W$28-'PIVOT TABLES'!$W$27</f>
        <v>27.947999999999993</v>
      </c>
      <c r="X1403" s="14">
        <f>200-SUM(Table3[[#This Row],[S - LIGHT]:[S - VIGOROUS]])</f>
        <v>88.208000000000013</v>
      </c>
    </row>
    <row r="1404" spans="1:24" x14ac:dyDescent="0.25">
      <c r="A1404" s="44" t="s">
        <v>58</v>
      </c>
      <c r="B1404" s="64" t="s">
        <v>203</v>
      </c>
      <c r="C1404" s="7">
        <v>45382.442766203705</v>
      </c>
      <c r="D1404" s="14">
        <v>6938</v>
      </c>
      <c r="E1404" s="14">
        <v>173</v>
      </c>
      <c r="F1404" s="14">
        <v>27</v>
      </c>
      <c r="G1404" s="14">
        <v>20</v>
      </c>
      <c r="H1404" s="14">
        <v>76.05</v>
      </c>
      <c r="I1404" s="14">
        <f>'PIVOT TABLES'!$B$26</f>
        <v>60.283999999999999</v>
      </c>
      <c r="J1404" s="14">
        <f>'PIVOT TABLES'!$B$27-'PIVOT TABLES'!$B$26</f>
        <v>30.142000000000003</v>
      </c>
      <c r="K1404" s="14">
        <f>'PIVOT TABLES'!$B$28-'PIVOT TABLES'!$B$27</f>
        <v>30.141999999999996</v>
      </c>
      <c r="L1404" s="14">
        <f>200-SUM(Table3[[#This Row],[D - LIGHT]:[D - VIGOROUS]])</f>
        <v>79.432000000000002</v>
      </c>
      <c r="M1404" s="14">
        <f>'PIVOT TABLES'!$I$26</f>
        <v>65.603999999999999</v>
      </c>
      <c r="N1404" s="14">
        <f>'PIVOT TABLES'!$I$27-'PIVOT TABLES'!$I$26</f>
        <v>32.802000000000007</v>
      </c>
      <c r="O1404" s="14">
        <f>'PIVOT TABLES'!$I$28-'PIVOT TABLES'!$I$27</f>
        <v>32.801999999999992</v>
      </c>
      <c r="P1404" s="14">
        <f>200-SUM(Table3[[#This Row],[M - LIGHT]:[M - VIGOROUS]])</f>
        <v>68.792000000000002</v>
      </c>
      <c r="Q1404" s="14">
        <f>'PIVOT TABLES'!$P$26</f>
        <v>62.64</v>
      </c>
      <c r="R1404" s="14">
        <f>'PIVOT TABLES'!$P$27-'PIVOT TABLES'!$P$26</f>
        <v>31.320000000000007</v>
      </c>
      <c r="S1404" s="14">
        <f>'PIVOT TABLES'!$P$28-'PIVOT TABLES'!$P$27</f>
        <v>31.319999999999993</v>
      </c>
      <c r="T1404" s="14">
        <f>200-SUM(Table3[[#This Row],[W - LIGHT]:[W - VIGOROUS]])</f>
        <v>74.72</v>
      </c>
      <c r="U1404" s="14">
        <f>'PIVOT TABLES'!$W$26</f>
        <v>55.895999999999994</v>
      </c>
      <c r="V1404" s="14">
        <f>'PIVOT TABLES'!$W$27-'PIVOT TABLES'!$W$26</f>
        <v>27.948</v>
      </c>
      <c r="W1404" s="14">
        <f>'PIVOT TABLES'!$W$28-'PIVOT TABLES'!$W$27</f>
        <v>27.947999999999993</v>
      </c>
      <c r="X1404" s="14">
        <f>200-SUM(Table3[[#This Row],[S - LIGHT]:[S - VIGOROUS]])</f>
        <v>88.208000000000013</v>
      </c>
    </row>
    <row r="1405" spans="1:24" x14ac:dyDescent="0.25">
      <c r="A1405" s="44" t="s">
        <v>94</v>
      </c>
      <c r="B1405" s="64" t="s">
        <v>203</v>
      </c>
      <c r="C1405" s="7">
        <v>45382.442766203705</v>
      </c>
      <c r="D1405" s="14">
        <v>6823</v>
      </c>
      <c r="E1405" s="14">
        <v>79</v>
      </c>
      <c r="F1405" s="14">
        <v>13</v>
      </c>
      <c r="G1405" s="14">
        <v>14</v>
      </c>
      <c r="H1405" s="14">
        <v>71.400000000000006</v>
      </c>
      <c r="I1405" s="14">
        <f>'PIVOT TABLES'!$B$26</f>
        <v>60.283999999999999</v>
      </c>
      <c r="J1405" s="14">
        <f>'PIVOT TABLES'!$B$27-'PIVOT TABLES'!$B$26</f>
        <v>30.142000000000003</v>
      </c>
      <c r="K1405" s="14">
        <f>'PIVOT TABLES'!$B$28-'PIVOT TABLES'!$B$27</f>
        <v>30.141999999999996</v>
      </c>
      <c r="L1405" s="14">
        <f>200-SUM(Table3[[#This Row],[D - LIGHT]:[D - VIGOROUS]])</f>
        <v>79.432000000000002</v>
      </c>
      <c r="M1405" s="14">
        <f>'PIVOT TABLES'!$I$26</f>
        <v>65.603999999999999</v>
      </c>
      <c r="N1405" s="14">
        <f>'PIVOT TABLES'!$I$27-'PIVOT TABLES'!$I$26</f>
        <v>32.802000000000007</v>
      </c>
      <c r="O1405" s="14">
        <f>'PIVOT TABLES'!$I$28-'PIVOT TABLES'!$I$27</f>
        <v>32.801999999999992</v>
      </c>
      <c r="P1405" s="14">
        <f>200-SUM(Table3[[#This Row],[M - LIGHT]:[M - VIGOROUS]])</f>
        <v>68.792000000000002</v>
      </c>
      <c r="Q1405" s="14">
        <f>'PIVOT TABLES'!$P$26</f>
        <v>62.64</v>
      </c>
      <c r="R1405" s="14">
        <f>'PIVOT TABLES'!$P$27-'PIVOT TABLES'!$P$26</f>
        <v>31.320000000000007</v>
      </c>
      <c r="S1405" s="14">
        <f>'PIVOT TABLES'!$P$28-'PIVOT TABLES'!$P$27</f>
        <v>31.319999999999993</v>
      </c>
      <c r="T1405" s="14">
        <f>200-SUM(Table3[[#This Row],[W - LIGHT]:[W - VIGOROUS]])</f>
        <v>74.72</v>
      </c>
      <c r="U1405" s="14">
        <f>'PIVOT TABLES'!$W$26</f>
        <v>55.895999999999994</v>
      </c>
      <c r="V1405" s="14">
        <f>'PIVOT TABLES'!$W$27-'PIVOT TABLES'!$W$26</f>
        <v>27.948</v>
      </c>
      <c r="W1405" s="14">
        <f>'PIVOT TABLES'!$W$28-'PIVOT TABLES'!$W$27</f>
        <v>27.947999999999993</v>
      </c>
      <c r="X1405" s="14">
        <f>200-SUM(Table3[[#This Row],[S - LIGHT]:[S - VIGOROUS]])</f>
        <v>88.208000000000013</v>
      </c>
    </row>
    <row r="1406" spans="1:24" x14ac:dyDescent="0.25">
      <c r="A1406" s="44" t="s">
        <v>3</v>
      </c>
      <c r="B1406" s="64" t="s">
        <v>203</v>
      </c>
      <c r="C1406" s="7">
        <v>45382.442766203705</v>
      </c>
      <c r="D1406" s="14">
        <v>7185</v>
      </c>
      <c r="E1406" s="14">
        <v>44</v>
      </c>
      <c r="F1406" s="14">
        <v>19</v>
      </c>
      <c r="G1406" s="14">
        <v>35</v>
      </c>
      <c r="H1406" s="14">
        <v>74.63</v>
      </c>
      <c r="I1406" s="14">
        <f>'PIVOT TABLES'!$B$26</f>
        <v>60.283999999999999</v>
      </c>
      <c r="J1406" s="14">
        <f>'PIVOT TABLES'!$B$27-'PIVOT TABLES'!$B$26</f>
        <v>30.142000000000003</v>
      </c>
      <c r="K1406" s="14">
        <f>'PIVOT TABLES'!$B$28-'PIVOT TABLES'!$B$27</f>
        <v>30.141999999999996</v>
      </c>
      <c r="L1406" s="14">
        <f>200-SUM(Table3[[#This Row],[D - LIGHT]:[D - VIGOROUS]])</f>
        <v>79.432000000000002</v>
      </c>
      <c r="M1406" s="14">
        <f>'PIVOT TABLES'!$I$26</f>
        <v>65.603999999999999</v>
      </c>
      <c r="N1406" s="14">
        <f>'PIVOT TABLES'!$I$27-'PIVOT TABLES'!$I$26</f>
        <v>32.802000000000007</v>
      </c>
      <c r="O1406" s="14">
        <f>'PIVOT TABLES'!$I$28-'PIVOT TABLES'!$I$27</f>
        <v>32.801999999999992</v>
      </c>
      <c r="P1406" s="14">
        <f>200-SUM(Table3[[#This Row],[M - LIGHT]:[M - VIGOROUS]])</f>
        <v>68.792000000000002</v>
      </c>
      <c r="Q1406" s="14">
        <f>'PIVOT TABLES'!$P$26</f>
        <v>62.64</v>
      </c>
      <c r="R1406" s="14">
        <f>'PIVOT TABLES'!$P$27-'PIVOT TABLES'!$P$26</f>
        <v>31.320000000000007</v>
      </c>
      <c r="S1406" s="14">
        <f>'PIVOT TABLES'!$P$28-'PIVOT TABLES'!$P$27</f>
        <v>31.319999999999993</v>
      </c>
      <c r="T1406" s="14">
        <f>200-SUM(Table3[[#This Row],[W - LIGHT]:[W - VIGOROUS]])</f>
        <v>74.72</v>
      </c>
      <c r="U1406" s="14">
        <f>'PIVOT TABLES'!$W$26</f>
        <v>55.895999999999994</v>
      </c>
      <c r="V1406" s="14">
        <f>'PIVOT TABLES'!$W$27-'PIVOT TABLES'!$W$26</f>
        <v>27.948</v>
      </c>
      <c r="W1406" s="14">
        <f>'PIVOT TABLES'!$W$28-'PIVOT TABLES'!$W$27</f>
        <v>27.947999999999993</v>
      </c>
      <c r="X1406" s="14">
        <f>200-SUM(Table3[[#This Row],[S - LIGHT]:[S - VIGOROUS]])</f>
        <v>88.208000000000013</v>
      </c>
    </row>
    <row r="1407" spans="1:24" x14ac:dyDescent="0.25">
      <c r="A1407" s="44" t="s">
        <v>59</v>
      </c>
      <c r="B1407" s="64" t="s">
        <v>205</v>
      </c>
      <c r="C1407" s="7">
        <v>45382.442766203705</v>
      </c>
      <c r="D1407" s="14">
        <v>3638</v>
      </c>
      <c r="E1407" s="14">
        <v>0</v>
      </c>
      <c r="F1407" s="14">
        <v>9</v>
      </c>
      <c r="G1407" s="14">
        <v>8</v>
      </c>
      <c r="H1407" s="14">
        <v>36.9</v>
      </c>
      <c r="I1407" s="14">
        <f>'PIVOT TABLES'!$B$26</f>
        <v>60.283999999999999</v>
      </c>
      <c r="J1407" s="14">
        <f>'PIVOT TABLES'!$B$27-'PIVOT TABLES'!$B$26</f>
        <v>30.142000000000003</v>
      </c>
      <c r="K1407" s="14">
        <f>'PIVOT TABLES'!$B$28-'PIVOT TABLES'!$B$27</f>
        <v>30.141999999999996</v>
      </c>
      <c r="L1407" s="14">
        <f>200-SUM(Table3[[#This Row],[D - LIGHT]:[D - VIGOROUS]])</f>
        <v>79.432000000000002</v>
      </c>
      <c r="M1407" s="14">
        <f>'PIVOT TABLES'!$I$26</f>
        <v>65.603999999999999</v>
      </c>
      <c r="N1407" s="14">
        <f>'PIVOT TABLES'!$I$27-'PIVOT TABLES'!$I$26</f>
        <v>32.802000000000007</v>
      </c>
      <c r="O1407" s="14">
        <f>'PIVOT TABLES'!$I$28-'PIVOT TABLES'!$I$27</f>
        <v>32.801999999999992</v>
      </c>
      <c r="P1407" s="14">
        <f>200-SUM(Table3[[#This Row],[M - LIGHT]:[M - VIGOROUS]])</f>
        <v>68.792000000000002</v>
      </c>
      <c r="Q1407" s="14">
        <f>'PIVOT TABLES'!$P$26</f>
        <v>62.64</v>
      </c>
      <c r="R1407" s="14">
        <f>'PIVOT TABLES'!$P$27-'PIVOT TABLES'!$P$26</f>
        <v>31.320000000000007</v>
      </c>
      <c r="S1407" s="14">
        <f>'PIVOT TABLES'!$P$28-'PIVOT TABLES'!$P$27</f>
        <v>31.319999999999993</v>
      </c>
      <c r="T1407" s="14">
        <f>200-SUM(Table3[[#This Row],[W - LIGHT]:[W - VIGOROUS]])</f>
        <v>74.72</v>
      </c>
      <c r="U1407" s="14">
        <f>'PIVOT TABLES'!$W$26</f>
        <v>55.895999999999994</v>
      </c>
      <c r="V1407" s="14">
        <f>'PIVOT TABLES'!$W$27-'PIVOT TABLES'!$W$26</f>
        <v>27.948</v>
      </c>
      <c r="W1407" s="14">
        <f>'PIVOT TABLES'!$W$28-'PIVOT TABLES'!$W$27</f>
        <v>27.947999999999993</v>
      </c>
      <c r="X1407" s="14">
        <f>200-SUM(Table3[[#This Row],[S - LIGHT]:[S - VIGOROUS]])</f>
        <v>88.208000000000013</v>
      </c>
    </row>
    <row r="1408" spans="1:24" x14ac:dyDescent="0.25">
      <c r="A1408" s="44" t="s">
        <v>60</v>
      </c>
      <c r="B1408" s="64" t="s">
        <v>206</v>
      </c>
      <c r="C1408" s="7">
        <v>45382.442766203705</v>
      </c>
      <c r="D1408" s="14">
        <v>7186</v>
      </c>
      <c r="E1408" s="14">
        <v>201</v>
      </c>
      <c r="F1408" s="14">
        <v>23</v>
      </c>
      <c r="G1408" s="14">
        <v>22</v>
      </c>
      <c r="H1408" s="14">
        <v>79.25</v>
      </c>
      <c r="I1408" s="14">
        <f>'PIVOT TABLES'!$B$26</f>
        <v>60.283999999999999</v>
      </c>
      <c r="J1408" s="14">
        <f>'PIVOT TABLES'!$B$27-'PIVOT TABLES'!$B$26</f>
        <v>30.142000000000003</v>
      </c>
      <c r="K1408" s="14">
        <f>'PIVOT TABLES'!$B$28-'PIVOT TABLES'!$B$27</f>
        <v>30.141999999999996</v>
      </c>
      <c r="L1408" s="14">
        <f>200-SUM(Table3[[#This Row],[D - LIGHT]:[D - VIGOROUS]])</f>
        <v>79.432000000000002</v>
      </c>
      <c r="M1408" s="14">
        <f>'PIVOT TABLES'!$I$26</f>
        <v>65.603999999999999</v>
      </c>
      <c r="N1408" s="14">
        <f>'PIVOT TABLES'!$I$27-'PIVOT TABLES'!$I$26</f>
        <v>32.802000000000007</v>
      </c>
      <c r="O1408" s="14">
        <f>'PIVOT TABLES'!$I$28-'PIVOT TABLES'!$I$27</f>
        <v>32.801999999999992</v>
      </c>
      <c r="P1408" s="14">
        <f>200-SUM(Table3[[#This Row],[M - LIGHT]:[M - VIGOROUS]])</f>
        <v>68.792000000000002</v>
      </c>
      <c r="Q1408" s="14">
        <f>'PIVOT TABLES'!$P$26</f>
        <v>62.64</v>
      </c>
      <c r="R1408" s="14">
        <f>'PIVOT TABLES'!$P$27-'PIVOT TABLES'!$P$26</f>
        <v>31.320000000000007</v>
      </c>
      <c r="S1408" s="14">
        <f>'PIVOT TABLES'!$P$28-'PIVOT TABLES'!$P$27</f>
        <v>31.319999999999993</v>
      </c>
      <c r="T1408" s="14">
        <f>200-SUM(Table3[[#This Row],[W - LIGHT]:[W - VIGOROUS]])</f>
        <v>74.72</v>
      </c>
      <c r="U1408" s="14">
        <f>'PIVOT TABLES'!$W$26</f>
        <v>55.895999999999994</v>
      </c>
      <c r="V1408" s="14">
        <f>'PIVOT TABLES'!$W$27-'PIVOT TABLES'!$W$26</f>
        <v>27.948</v>
      </c>
      <c r="W1408" s="14">
        <f>'PIVOT TABLES'!$W$28-'PIVOT TABLES'!$W$27</f>
        <v>27.947999999999993</v>
      </c>
      <c r="X1408" s="14">
        <f>200-SUM(Table3[[#This Row],[S - LIGHT]:[S - VIGOROUS]])</f>
        <v>88.208000000000013</v>
      </c>
    </row>
    <row r="1409" spans="1:24" x14ac:dyDescent="0.25">
      <c r="A1409" s="44" t="s">
        <v>71</v>
      </c>
      <c r="B1409" s="64" t="s">
        <v>204</v>
      </c>
      <c r="C1409" s="7">
        <v>45382.442766203705</v>
      </c>
      <c r="D1409" s="14">
        <v>7666</v>
      </c>
      <c r="E1409" s="14">
        <v>5</v>
      </c>
      <c r="F1409" s="14">
        <v>32</v>
      </c>
      <c r="G1409" s="14">
        <v>29</v>
      </c>
      <c r="H1409" s="14">
        <v>78.67</v>
      </c>
      <c r="I1409" s="14">
        <f>'PIVOT TABLES'!$B$26</f>
        <v>60.283999999999999</v>
      </c>
      <c r="J1409" s="14">
        <f>'PIVOT TABLES'!$B$27-'PIVOT TABLES'!$B$26</f>
        <v>30.142000000000003</v>
      </c>
      <c r="K1409" s="14">
        <f>'PIVOT TABLES'!$B$28-'PIVOT TABLES'!$B$27</f>
        <v>30.141999999999996</v>
      </c>
      <c r="L1409" s="14">
        <f>200-SUM(Table3[[#This Row],[D - LIGHT]:[D - VIGOROUS]])</f>
        <v>79.432000000000002</v>
      </c>
      <c r="M1409" s="14">
        <f>'PIVOT TABLES'!$I$26</f>
        <v>65.603999999999999</v>
      </c>
      <c r="N1409" s="14">
        <f>'PIVOT TABLES'!$I$27-'PIVOT TABLES'!$I$26</f>
        <v>32.802000000000007</v>
      </c>
      <c r="O1409" s="14">
        <f>'PIVOT TABLES'!$I$28-'PIVOT TABLES'!$I$27</f>
        <v>32.801999999999992</v>
      </c>
      <c r="P1409" s="14">
        <f>200-SUM(Table3[[#This Row],[M - LIGHT]:[M - VIGOROUS]])</f>
        <v>68.792000000000002</v>
      </c>
      <c r="Q1409" s="14">
        <f>'PIVOT TABLES'!$P$26</f>
        <v>62.64</v>
      </c>
      <c r="R1409" s="14">
        <f>'PIVOT TABLES'!$P$27-'PIVOT TABLES'!$P$26</f>
        <v>31.320000000000007</v>
      </c>
      <c r="S1409" s="14">
        <f>'PIVOT TABLES'!$P$28-'PIVOT TABLES'!$P$27</f>
        <v>31.319999999999993</v>
      </c>
      <c r="T1409" s="14">
        <f>200-SUM(Table3[[#This Row],[W - LIGHT]:[W - VIGOROUS]])</f>
        <v>74.72</v>
      </c>
      <c r="U1409" s="14">
        <f>'PIVOT TABLES'!$W$26</f>
        <v>55.895999999999994</v>
      </c>
      <c r="V1409" s="14">
        <f>'PIVOT TABLES'!$W$27-'PIVOT TABLES'!$W$26</f>
        <v>27.948</v>
      </c>
      <c r="W1409" s="14">
        <f>'PIVOT TABLES'!$W$28-'PIVOT TABLES'!$W$27</f>
        <v>27.947999999999993</v>
      </c>
      <c r="X1409" s="14">
        <f>200-SUM(Table3[[#This Row],[S - LIGHT]:[S - VIGOROUS]])</f>
        <v>88.208000000000013</v>
      </c>
    </row>
    <row r="1410" spans="1:24" x14ac:dyDescent="0.25">
      <c r="A1410" s="44" t="s">
        <v>5</v>
      </c>
      <c r="B1410" s="64" t="s">
        <v>204</v>
      </c>
      <c r="C1410" s="7">
        <v>45382.442766203705</v>
      </c>
      <c r="D1410" s="14">
        <v>3855</v>
      </c>
      <c r="E1410" s="14">
        <v>37</v>
      </c>
      <c r="F1410" s="14">
        <v>14</v>
      </c>
      <c r="G1410" s="14">
        <v>13</v>
      </c>
      <c r="H1410" s="14">
        <v>40.479999999999997</v>
      </c>
      <c r="I1410" s="14">
        <f>'PIVOT TABLES'!$B$26</f>
        <v>60.283999999999999</v>
      </c>
      <c r="J1410" s="14">
        <f>'PIVOT TABLES'!$B$27-'PIVOT TABLES'!$B$26</f>
        <v>30.142000000000003</v>
      </c>
      <c r="K1410" s="14">
        <f>'PIVOT TABLES'!$B$28-'PIVOT TABLES'!$B$27</f>
        <v>30.141999999999996</v>
      </c>
      <c r="L1410" s="14">
        <f>200-SUM(Table3[[#This Row],[D - LIGHT]:[D - VIGOROUS]])</f>
        <v>79.432000000000002</v>
      </c>
      <c r="M1410" s="14">
        <f>'PIVOT TABLES'!$I$26</f>
        <v>65.603999999999999</v>
      </c>
      <c r="N1410" s="14">
        <f>'PIVOT TABLES'!$I$27-'PIVOT TABLES'!$I$26</f>
        <v>32.802000000000007</v>
      </c>
      <c r="O1410" s="14">
        <f>'PIVOT TABLES'!$I$28-'PIVOT TABLES'!$I$27</f>
        <v>32.801999999999992</v>
      </c>
      <c r="P1410" s="14">
        <f>200-SUM(Table3[[#This Row],[M - LIGHT]:[M - VIGOROUS]])</f>
        <v>68.792000000000002</v>
      </c>
      <c r="Q1410" s="14">
        <f>'PIVOT TABLES'!$P$26</f>
        <v>62.64</v>
      </c>
      <c r="R1410" s="14">
        <f>'PIVOT TABLES'!$P$27-'PIVOT TABLES'!$P$26</f>
        <v>31.320000000000007</v>
      </c>
      <c r="S1410" s="14">
        <f>'PIVOT TABLES'!$P$28-'PIVOT TABLES'!$P$27</f>
        <v>31.319999999999993</v>
      </c>
      <c r="T1410" s="14">
        <f>200-SUM(Table3[[#This Row],[W - LIGHT]:[W - VIGOROUS]])</f>
        <v>74.72</v>
      </c>
      <c r="U1410" s="14">
        <f>'PIVOT TABLES'!$W$26</f>
        <v>55.895999999999994</v>
      </c>
      <c r="V1410" s="14">
        <f>'PIVOT TABLES'!$W$27-'PIVOT TABLES'!$W$26</f>
        <v>27.948</v>
      </c>
      <c r="W1410" s="14">
        <f>'PIVOT TABLES'!$W$28-'PIVOT TABLES'!$W$27</f>
        <v>27.947999999999993</v>
      </c>
      <c r="X1410" s="14">
        <f>200-SUM(Table3[[#This Row],[S - LIGHT]:[S - VIGOROUS]])</f>
        <v>88.208000000000013</v>
      </c>
    </row>
    <row r="1411" spans="1:24" x14ac:dyDescent="0.25">
      <c r="A1411" s="44" t="s">
        <v>6</v>
      </c>
      <c r="B1411" s="64" t="s">
        <v>204</v>
      </c>
      <c r="C1411" s="7">
        <v>45382.442766203705</v>
      </c>
      <c r="D1411" s="14">
        <v>8061</v>
      </c>
      <c r="E1411" s="14">
        <v>215</v>
      </c>
      <c r="F1411" s="14">
        <v>44</v>
      </c>
      <c r="G1411" s="14">
        <v>23</v>
      </c>
      <c r="H1411" s="14">
        <v>89.28</v>
      </c>
      <c r="I1411" s="14">
        <f>'PIVOT TABLES'!$B$26</f>
        <v>60.283999999999999</v>
      </c>
      <c r="J1411" s="14">
        <f>'PIVOT TABLES'!$B$27-'PIVOT TABLES'!$B$26</f>
        <v>30.142000000000003</v>
      </c>
      <c r="K1411" s="14">
        <f>'PIVOT TABLES'!$B$28-'PIVOT TABLES'!$B$27</f>
        <v>30.141999999999996</v>
      </c>
      <c r="L1411" s="14">
        <f>200-SUM(Table3[[#This Row],[D - LIGHT]:[D - VIGOROUS]])</f>
        <v>79.432000000000002</v>
      </c>
      <c r="M1411" s="14">
        <f>'PIVOT TABLES'!$I$26</f>
        <v>65.603999999999999</v>
      </c>
      <c r="N1411" s="14">
        <f>'PIVOT TABLES'!$I$27-'PIVOT TABLES'!$I$26</f>
        <v>32.802000000000007</v>
      </c>
      <c r="O1411" s="14">
        <f>'PIVOT TABLES'!$I$28-'PIVOT TABLES'!$I$27</f>
        <v>32.801999999999992</v>
      </c>
      <c r="P1411" s="14">
        <f>200-SUM(Table3[[#This Row],[M - LIGHT]:[M - VIGOROUS]])</f>
        <v>68.792000000000002</v>
      </c>
      <c r="Q1411" s="14">
        <f>'PIVOT TABLES'!$P$26</f>
        <v>62.64</v>
      </c>
      <c r="R1411" s="14">
        <f>'PIVOT TABLES'!$P$27-'PIVOT TABLES'!$P$26</f>
        <v>31.320000000000007</v>
      </c>
      <c r="S1411" s="14">
        <f>'PIVOT TABLES'!$P$28-'PIVOT TABLES'!$P$27</f>
        <v>31.319999999999993</v>
      </c>
      <c r="T1411" s="14">
        <f>200-SUM(Table3[[#This Row],[W - LIGHT]:[W - VIGOROUS]])</f>
        <v>74.72</v>
      </c>
      <c r="U1411" s="14">
        <f>'PIVOT TABLES'!$W$26</f>
        <v>55.895999999999994</v>
      </c>
      <c r="V1411" s="14">
        <f>'PIVOT TABLES'!$W$27-'PIVOT TABLES'!$W$26</f>
        <v>27.948</v>
      </c>
      <c r="W1411" s="14">
        <f>'PIVOT TABLES'!$W$28-'PIVOT TABLES'!$W$27</f>
        <v>27.947999999999993</v>
      </c>
      <c r="X1411" s="14">
        <f>200-SUM(Table3[[#This Row],[S - LIGHT]:[S - VIGOROUS]])</f>
        <v>88.208000000000013</v>
      </c>
    </row>
    <row r="1412" spans="1:24" x14ac:dyDescent="0.25">
      <c r="A1412" s="44" t="s">
        <v>62</v>
      </c>
      <c r="B1412" s="64" t="s">
        <v>204</v>
      </c>
      <c r="C1412" s="7">
        <v>45382.442766203705</v>
      </c>
      <c r="D1412" s="14">
        <v>6209</v>
      </c>
      <c r="E1412" s="14">
        <v>26</v>
      </c>
      <c r="F1412" s="14">
        <v>10</v>
      </c>
      <c r="G1412" s="14">
        <v>12</v>
      </c>
      <c r="H1412" s="14">
        <v>63.51</v>
      </c>
      <c r="I1412" s="14">
        <f>'PIVOT TABLES'!$B$26</f>
        <v>60.283999999999999</v>
      </c>
      <c r="J1412" s="14">
        <f>'PIVOT TABLES'!$B$27-'PIVOT TABLES'!$B$26</f>
        <v>30.142000000000003</v>
      </c>
      <c r="K1412" s="14">
        <f>'PIVOT TABLES'!$B$28-'PIVOT TABLES'!$B$27</f>
        <v>30.141999999999996</v>
      </c>
      <c r="L1412" s="14">
        <f>200-SUM(Table3[[#This Row],[D - LIGHT]:[D - VIGOROUS]])</f>
        <v>79.432000000000002</v>
      </c>
      <c r="M1412" s="14">
        <f>'PIVOT TABLES'!$I$26</f>
        <v>65.603999999999999</v>
      </c>
      <c r="N1412" s="14">
        <f>'PIVOT TABLES'!$I$27-'PIVOT TABLES'!$I$26</f>
        <v>32.802000000000007</v>
      </c>
      <c r="O1412" s="14">
        <f>'PIVOT TABLES'!$I$28-'PIVOT TABLES'!$I$27</f>
        <v>32.801999999999992</v>
      </c>
      <c r="P1412" s="14">
        <f>200-SUM(Table3[[#This Row],[M - LIGHT]:[M - VIGOROUS]])</f>
        <v>68.792000000000002</v>
      </c>
      <c r="Q1412" s="14">
        <f>'PIVOT TABLES'!$P$26</f>
        <v>62.64</v>
      </c>
      <c r="R1412" s="14">
        <f>'PIVOT TABLES'!$P$27-'PIVOT TABLES'!$P$26</f>
        <v>31.320000000000007</v>
      </c>
      <c r="S1412" s="14">
        <f>'PIVOT TABLES'!$P$28-'PIVOT TABLES'!$P$27</f>
        <v>31.319999999999993</v>
      </c>
      <c r="T1412" s="14">
        <f>200-SUM(Table3[[#This Row],[W - LIGHT]:[W - VIGOROUS]])</f>
        <v>74.72</v>
      </c>
      <c r="U1412" s="14">
        <f>'PIVOT TABLES'!$W$26</f>
        <v>55.895999999999994</v>
      </c>
      <c r="V1412" s="14">
        <f>'PIVOT TABLES'!$W$27-'PIVOT TABLES'!$W$26</f>
        <v>27.948</v>
      </c>
      <c r="W1412" s="14">
        <f>'PIVOT TABLES'!$W$28-'PIVOT TABLES'!$W$27</f>
        <v>27.947999999999993</v>
      </c>
      <c r="X1412" s="14">
        <f>200-SUM(Table3[[#This Row],[S - LIGHT]:[S - VIGOROUS]])</f>
        <v>88.208000000000013</v>
      </c>
    </row>
    <row r="1413" spans="1:24" x14ac:dyDescent="0.25">
      <c r="A1413" s="44" t="s">
        <v>64</v>
      </c>
      <c r="B1413" s="64" t="s">
        <v>204</v>
      </c>
      <c r="C1413" s="7">
        <v>45382.442766203705</v>
      </c>
      <c r="D1413" s="14">
        <v>8094</v>
      </c>
      <c r="E1413" s="14">
        <v>107</v>
      </c>
      <c r="F1413" s="14">
        <v>35</v>
      </c>
      <c r="G1413" s="14">
        <v>31</v>
      </c>
      <c r="H1413" s="14">
        <v>86.17</v>
      </c>
      <c r="I1413" s="14">
        <f>'PIVOT TABLES'!$B$26</f>
        <v>60.283999999999999</v>
      </c>
      <c r="J1413" s="14">
        <f>'PIVOT TABLES'!$B$27-'PIVOT TABLES'!$B$26</f>
        <v>30.142000000000003</v>
      </c>
      <c r="K1413" s="14">
        <f>'PIVOT TABLES'!$B$28-'PIVOT TABLES'!$B$27</f>
        <v>30.141999999999996</v>
      </c>
      <c r="L1413" s="14">
        <f>200-SUM(Table3[[#This Row],[D - LIGHT]:[D - VIGOROUS]])</f>
        <v>79.432000000000002</v>
      </c>
      <c r="M1413" s="14">
        <f>'PIVOT TABLES'!$I$26</f>
        <v>65.603999999999999</v>
      </c>
      <c r="N1413" s="14">
        <f>'PIVOT TABLES'!$I$27-'PIVOT TABLES'!$I$26</f>
        <v>32.802000000000007</v>
      </c>
      <c r="O1413" s="14">
        <f>'PIVOT TABLES'!$I$28-'PIVOT TABLES'!$I$27</f>
        <v>32.801999999999992</v>
      </c>
      <c r="P1413" s="14">
        <f>200-SUM(Table3[[#This Row],[M - LIGHT]:[M - VIGOROUS]])</f>
        <v>68.792000000000002</v>
      </c>
      <c r="Q1413" s="14">
        <f>'PIVOT TABLES'!$P$26</f>
        <v>62.64</v>
      </c>
      <c r="R1413" s="14">
        <f>'PIVOT TABLES'!$P$27-'PIVOT TABLES'!$P$26</f>
        <v>31.320000000000007</v>
      </c>
      <c r="S1413" s="14">
        <f>'PIVOT TABLES'!$P$28-'PIVOT TABLES'!$P$27</f>
        <v>31.319999999999993</v>
      </c>
      <c r="T1413" s="14">
        <f>200-SUM(Table3[[#This Row],[W - LIGHT]:[W - VIGOROUS]])</f>
        <v>74.72</v>
      </c>
      <c r="U1413" s="14">
        <f>'PIVOT TABLES'!$W$26</f>
        <v>55.895999999999994</v>
      </c>
      <c r="V1413" s="14">
        <f>'PIVOT TABLES'!$W$27-'PIVOT TABLES'!$W$26</f>
        <v>27.948</v>
      </c>
      <c r="W1413" s="14">
        <f>'PIVOT TABLES'!$W$28-'PIVOT TABLES'!$W$27</f>
        <v>27.947999999999993</v>
      </c>
      <c r="X1413" s="14">
        <f>200-SUM(Table3[[#This Row],[S - LIGHT]:[S - VIGOROUS]])</f>
        <v>88.208000000000013</v>
      </c>
    </row>
    <row r="1414" spans="1:24" x14ac:dyDescent="0.25">
      <c r="A1414" s="44" t="s">
        <v>65</v>
      </c>
      <c r="B1414" s="64" t="s">
        <v>206</v>
      </c>
      <c r="C1414" s="7">
        <v>45382.442766203705</v>
      </c>
      <c r="D1414" s="14">
        <v>7104</v>
      </c>
      <c r="E1414" s="14">
        <v>156</v>
      </c>
      <c r="F1414" s="14">
        <v>44</v>
      </c>
      <c r="G1414" s="14">
        <v>34</v>
      </c>
      <c r="H1414" s="14">
        <v>78.16</v>
      </c>
      <c r="I1414" s="14">
        <f>'PIVOT TABLES'!$B$26</f>
        <v>60.283999999999999</v>
      </c>
      <c r="J1414" s="14">
        <f>'PIVOT TABLES'!$B$27-'PIVOT TABLES'!$B$26</f>
        <v>30.142000000000003</v>
      </c>
      <c r="K1414" s="14">
        <f>'PIVOT TABLES'!$B$28-'PIVOT TABLES'!$B$27</f>
        <v>30.141999999999996</v>
      </c>
      <c r="L1414" s="14">
        <f>200-SUM(Table3[[#This Row],[D - LIGHT]:[D - VIGOROUS]])</f>
        <v>79.432000000000002</v>
      </c>
      <c r="M1414" s="14">
        <f>'PIVOT TABLES'!$I$26</f>
        <v>65.603999999999999</v>
      </c>
      <c r="N1414" s="14">
        <f>'PIVOT TABLES'!$I$27-'PIVOT TABLES'!$I$26</f>
        <v>32.802000000000007</v>
      </c>
      <c r="O1414" s="14">
        <f>'PIVOT TABLES'!$I$28-'PIVOT TABLES'!$I$27</f>
        <v>32.801999999999992</v>
      </c>
      <c r="P1414" s="14">
        <f>200-SUM(Table3[[#This Row],[M - LIGHT]:[M - VIGOROUS]])</f>
        <v>68.792000000000002</v>
      </c>
      <c r="Q1414" s="14">
        <f>'PIVOT TABLES'!$P$26</f>
        <v>62.64</v>
      </c>
      <c r="R1414" s="14">
        <f>'PIVOT TABLES'!$P$27-'PIVOT TABLES'!$P$26</f>
        <v>31.320000000000007</v>
      </c>
      <c r="S1414" s="14">
        <f>'PIVOT TABLES'!$P$28-'PIVOT TABLES'!$P$27</f>
        <v>31.319999999999993</v>
      </c>
      <c r="T1414" s="14">
        <f>200-SUM(Table3[[#This Row],[W - LIGHT]:[W - VIGOROUS]])</f>
        <v>74.72</v>
      </c>
      <c r="U1414" s="14">
        <f>'PIVOT TABLES'!$W$26</f>
        <v>55.895999999999994</v>
      </c>
      <c r="V1414" s="14">
        <f>'PIVOT TABLES'!$W$27-'PIVOT TABLES'!$W$26</f>
        <v>27.948</v>
      </c>
      <c r="W1414" s="14">
        <f>'PIVOT TABLES'!$W$28-'PIVOT TABLES'!$W$27</f>
        <v>27.947999999999993</v>
      </c>
      <c r="X1414" s="14">
        <f>200-SUM(Table3[[#This Row],[S - LIGHT]:[S - VIGOROUS]])</f>
        <v>88.208000000000013</v>
      </c>
    </row>
    <row r="1415" spans="1:24" x14ac:dyDescent="0.25">
      <c r="A1415" s="44" t="s">
        <v>66</v>
      </c>
      <c r="B1415" s="64" t="s">
        <v>205</v>
      </c>
      <c r="C1415" s="7">
        <v>45382.442766203705</v>
      </c>
      <c r="D1415" s="14">
        <v>4253</v>
      </c>
      <c r="E1415" s="14">
        <v>0</v>
      </c>
      <c r="F1415" s="14">
        <v>10</v>
      </c>
      <c r="G1415" s="14">
        <v>3</v>
      </c>
      <c r="H1415" s="14">
        <v>42.99</v>
      </c>
      <c r="I1415" s="14">
        <f>'PIVOT TABLES'!$B$26</f>
        <v>60.283999999999999</v>
      </c>
      <c r="J1415" s="14">
        <f>'PIVOT TABLES'!$B$27-'PIVOT TABLES'!$B$26</f>
        <v>30.142000000000003</v>
      </c>
      <c r="K1415" s="14">
        <f>'PIVOT TABLES'!$B$28-'PIVOT TABLES'!$B$27</f>
        <v>30.141999999999996</v>
      </c>
      <c r="L1415" s="14">
        <f>200-SUM(Table3[[#This Row],[D - LIGHT]:[D - VIGOROUS]])</f>
        <v>79.432000000000002</v>
      </c>
      <c r="M1415" s="14">
        <f>'PIVOT TABLES'!$I$26</f>
        <v>65.603999999999999</v>
      </c>
      <c r="N1415" s="14">
        <f>'PIVOT TABLES'!$I$27-'PIVOT TABLES'!$I$26</f>
        <v>32.802000000000007</v>
      </c>
      <c r="O1415" s="14">
        <f>'PIVOT TABLES'!$I$28-'PIVOT TABLES'!$I$27</f>
        <v>32.801999999999992</v>
      </c>
      <c r="P1415" s="14">
        <f>200-SUM(Table3[[#This Row],[M - LIGHT]:[M - VIGOROUS]])</f>
        <v>68.792000000000002</v>
      </c>
      <c r="Q1415" s="14">
        <f>'PIVOT TABLES'!$P$26</f>
        <v>62.64</v>
      </c>
      <c r="R1415" s="14">
        <f>'PIVOT TABLES'!$P$27-'PIVOT TABLES'!$P$26</f>
        <v>31.320000000000007</v>
      </c>
      <c r="S1415" s="14">
        <f>'PIVOT TABLES'!$P$28-'PIVOT TABLES'!$P$27</f>
        <v>31.319999999999993</v>
      </c>
      <c r="T1415" s="14">
        <f>200-SUM(Table3[[#This Row],[W - LIGHT]:[W - VIGOROUS]])</f>
        <v>74.72</v>
      </c>
      <c r="U1415" s="14">
        <f>'PIVOT TABLES'!$W$26</f>
        <v>55.895999999999994</v>
      </c>
      <c r="V1415" s="14">
        <f>'PIVOT TABLES'!$W$27-'PIVOT TABLES'!$W$26</f>
        <v>27.948</v>
      </c>
      <c r="W1415" s="14">
        <f>'PIVOT TABLES'!$W$28-'PIVOT TABLES'!$W$27</f>
        <v>27.947999999999993</v>
      </c>
      <c r="X1415" s="14">
        <f>200-SUM(Table3[[#This Row],[S - LIGHT]:[S - VIGOROUS]])</f>
        <v>88.208000000000013</v>
      </c>
    </row>
    <row r="1416" spans="1:24" x14ac:dyDescent="0.25">
      <c r="A1416" s="44" t="s">
        <v>95</v>
      </c>
      <c r="B1416" s="64" t="s">
        <v>206</v>
      </c>
      <c r="C1416" s="7">
        <v>45382.442766203705</v>
      </c>
      <c r="D1416" s="14">
        <v>7123</v>
      </c>
      <c r="E1416" s="14">
        <v>169</v>
      </c>
      <c r="F1416" s="14">
        <v>13</v>
      </c>
      <c r="G1416" s="14">
        <v>22</v>
      </c>
      <c r="H1416" s="14">
        <v>77.260000000000005</v>
      </c>
      <c r="I1416" s="14">
        <f>'PIVOT TABLES'!$B$26</f>
        <v>60.283999999999999</v>
      </c>
      <c r="J1416" s="14">
        <f>'PIVOT TABLES'!$B$27-'PIVOT TABLES'!$B$26</f>
        <v>30.142000000000003</v>
      </c>
      <c r="K1416" s="14">
        <f>'PIVOT TABLES'!$B$28-'PIVOT TABLES'!$B$27</f>
        <v>30.141999999999996</v>
      </c>
      <c r="L1416" s="14">
        <f>200-SUM(Table3[[#This Row],[D - LIGHT]:[D - VIGOROUS]])</f>
        <v>79.432000000000002</v>
      </c>
      <c r="M1416" s="14">
        <f>'PIVOT TABLES'!$I$26</f>
        <v>65.603999999999999</v>
      </c>
      <c r="N1416" s="14">
        <f>'PIVOT TABLES'!$I$27-'PIVOT TABLES'!$I$26</f>
        <v>32.802000000000007</v>
      </c>
      <c r="O1416" s="14">
        <f>'PIVOT TABLES'!$I$28-'PIVOT TABLES'!$I$27</f>
        <v>32.801999999999992</v>
      </c>
      <c r="P1416" s="14">
        <f>200-SUM(Table3[[#This Row],[M - LIGHT]:[M - VIGOROUS]])</f>
        <v>68.792000000000002</v>
      </c>
      <c r="Q1416" s="14">
        <f>'PIVOT TABLES'!$P$26</f>
        <v>62.64</v>
      </c>
      <c r="R1416" s="14">
        <f>'PIVOT TABLES'!$P$27-'PIVOT TABLES'!$P$26</f>
        <v>31.320000000000007</v>
      </c>
      <c r="S1416" s="14">
        <f>'PIVOT TABLES'!$P$28-'PIVOT TABLES'!$P$27</f>
        <v>31.319999999999993</v>
      </c>
      <c r="T1416" s="14">
        <f>200-SUM(Table3[[#This Row],[W - LIGHT]:[W - VIGOROUS]])</f>
        <v>74.72</v>
      </c>
      <c r="U1416" s="14">
        <f>'PIVOT TABLES'!$W$26</f>
        <v>55.895999999999994</v>
      </c>
      <c r="V1416" s="14">
        <f>'PIVOT TABLES'!$W$27-'PIVOT TABLES'!$W$26</f>
        <v>27.948</v>
      </c>
      <c r="W1416" s="14">
        <f>'PIVOT TABLES'!$W$28-'PIVOT TABLES'!$W$27</f>
        <v>27.947999999999993</v>
      </c>
      <c r="X1416" s="14">
        <f>200-SUM(Table3[[#This Row],[S - LIGHT]:[S - VIGOROUS]])</f>
        <v>88.208000000000013</v>
      </c>
    </row>
    <row r="1417" spans="1:24" x14ac:dyDescent="0.25">
      <c r="A1417" s="44" t="s">
        <v>96</v>
      </c>
      <c r="B1417" s="64" t="s">
        <v>206</v>
      </c>
      <c r="C1417" s="7">
        <v>45382.442766203705</v>
      </c>
      <c r="D1417" s="14">
        <v>7337</v>
      </c>
      <c r="E1417" s="14">
        <v>130</v>
      </c>
      <c r="F1417" s="14">
        <v>30</v>
      </c>
      <c r="G1417" s="14">
        <v>15</v>
      </c>
      <c r="H1417" s="14">
        <v>78.77</v>
      </c>
      <c r="I1417" s="14">
        <f>'PIVOT TABLES'!$B$26</f>
        <v>60.283999999999999</v>
      </c>
      <c r="J1417" s="14">
        <f>'PIVOT TABLES'!$B$27-'PIVOT TABLES'!$B$26</f>
        <v>30.142000000000003</v>
      </c>
      <c r="K1417" s="14">
        <f>'PIVOT TABLES'!$B$28-'PIVOT TABLES'!$B$27</f>
        <v>30.141999999999996</v>
      </c>
      <c r="L1417" s="14">
        <f>200-SUM(Table3[[#This Row],[D - LIGHT]:[D - VIGOROUS]])</f>
        <v>79.432000000000002</v>
      </c>
      <c r="M1417" s="14">
        <f>'PIVOT TABLES'!$I$26</f>
        <v>65.603999999999999</v>
      </c>
      <c r="N1417" s="14">
        <f>'PIVOT TABLES'!$I$27-'PIVOT TABLES'!$I$26</f>
        <v>32.802000000000007</v>
      </c>
      <c r="O1417" s="14">
        <f>'PIVOT TABLES'!$I$28-'PIVOT TABLES'!$I$27</f>
        <v>32.801999999999992</v>
      </c>
      <c r="P1417" s="14">
        <f>200-SUM(Table3[[#This Row],[M - LIGHT]:[M - VIGOROUS]])</f>
        <v>68.792000000000002</v>
      </c>
      <c r="Q1417" s="14">
        <f>'PIVOT TABLES'!$P$26</f>
        <v>62.64</v>
      </c>
      <c r="R1417" s="14">
        <f>'PIVOT TABLES'!$P$27-'PIVOT TABLES'!$P$26</f>
        <v>31.320000000000007</v>
      </c>
      <c r="S1417" s="14">
        <f>'PIVOT TABLES'!$P$28-'PIVOT TABLES'!$P$27</f>
        <v>31.319999999999993</v>
      </c>
      <c r="T1417" s="14">
        <f>200-SUM(Table3[[#This Row],[W - LIGHT]:[W - VIGOROUS]])</f>
        <v>74.72</v>
      </c>
      <c r="U1417" s="14">
        <f>'PIVOT TABLES'!$W$26</f>
        <v>55.895999999999994</v>
      </c>
      <c r="V1417" s="14">
        <f>'PIVOT TABLES'!$W$27-'PIVOT TABLES'!$W$26</f>
        <v>27.948</v>
      </c>
      <c r="W1417" s="14">
        <f>'PIVOT TABLES'!$W$28-'PIVOT TABLES'!$W$27</f>
        <v>27.947999999999993</v>
      </c>
      <c r="X1417" s="14">
        <f>200-SUM(Table3[[#This Row],[S - LIGHT]:[S - VIGOROUS]])</f>
        <v>88.208000000000013</v>
      </c>
    </row>
    <row r="1418" spans="1:24" x14ac:dyDescent="0.25">
      <c r="A1418" s="44" t="s">
        <v>8</v>
      </c>
      <c r="B1418" s="64" t="s">
        <v>205</v>
      </c>
      <c r="C1418" s="7">
        <v>45382.442766203705</v>
      </c>
      <c r="D1418" s="14">
        <v>6768</v>
      </c>
      <c r="E1418" s="14">
        <v>81</v>
      </c>
      <c r="F1418" s="14">
        <v>31</v>
      </c>
      <c r="G1418" s="14">
        <v>22</v>
      </c>
      <c r="H1418" s="14">
        <v>71.790000000000006</v>
      </c>
      <c r="I1418" s="14">
        <f>'PIVOT TABLES'!$B$26</f>
        <v>60.283999999999999</v>
      </c>
      <c r="J1418" s="14">
        <f>'PIVOT TABLES'!$B$27-'PIVOT TABLES'!$B$26</f>
        <v>30.142000000000003</v>
      </c>
      <c r="K1418" s="14">
        <f>'PIVOT TABLES'!$B$28-'PIVOT TABLES'!$B$27</f>
        <v>30.141999999999996</v>
      </c>
      <c r="L1418" s="14">
        <f>200-SUM(Table3[[#This Row],[D - LIGHT]:[D - VIGOROUS]])</f>
        <v>79.432000000000002</v>
      </c>
      <c r="M1418" s="14">
        <f>'PIVOT TABLES'!$I$26</f>
        <v>65.603999999999999</v>
      </c>
      <c r="N1418" s="14">
        <f>'PIVOT TABLES'!$I$27-'PIVOT TABLES'!$I$26</f>
        <v>32.802000000000007</v>
      </c>
      <c r="O1418" s="14">
        <f>'PIVOT TABLES'!$I$28-'PIVOT TABLES'!$I$27</f>
        <v>32.801999999999992</v>
      </c>
      <c r="P1418" s="14">
        <f>200-SUM(Table3[[#This Row],[M - LIGHT]:[M - VIGOROUS]])</f>
        <v>68.792000000000002</v>
      </c>
      <c r="Q1418" s="14">
        <f>'PIVOT TABLES'!$P$26</f>
        <v>62.64</v>
      </c>
      <c r="R1418" s="14">
        <f>'PIVOT TABLES'!$P$27-'PIVOT TABLES'!$P$26</f>
        <v>31.320000000000007</v>
      </c>
      <c r="S1418" s="14">
        <f>'PIVOT TABLES'!$P$28-'PIVOT TABLES'!$P$27</f>
        <v>31.319999999999993</v>
      </c>
      <c r="T1418" s="14">
        <f>200-SUM(Table3[[#This Row],[W - LIGHT]:[W - VIGOROUS]])</f>
        <v>74.72</v>
      </c>
      <c r="U1418" s="14">
        <f>'PIVOT TABLES'!$W$26</f>
        <v>55.895999999999994</v>
      </c>
      <c r="V1418" s="14">
        <f>'PIVOT TABLES'!$W$27-'PIVOT TABLES'!$W$26</f>
        <v>27.948</v>
      </c>
      <c r="W1418" s="14">
        <f>'PIVOT TABLES'!$W$28-'PIVOT TABLES'!$W$27</f>
        <v>27.947999999999993</v>
      </c>
      <c r="X1418" s="14">
        <f>200-SUM(Table3[[#This Row],[S - LIGHT]:[S - VIGOROUS]])</f>
        <v>88.208000000000013</v>
      </c>
    </row>
    <row r="1419" spans="1:24" x14ac:dyDescent="0.25">
      <c r="A1419" s="44" t="s">
        <v>67</v>
      </c>
      <c r="B1419" s="64" t="s">
        <v>204</v>
      </c>
      <c r="C1419" s="7">
        <v>45382.442766203705</v>
      </c>
      <c r="D1419" s="14">
        <v>7696</v>
      </c>
      <c r="E1419" s="14">
        <v>135</v>
      </c>
      <c r="F1419" s="14">
        <v>38</v>
      </c>
      <c r="G1419" s="14">
        <v>26</v>
      </c>
      <c r="H1419" s="14">
        <v>83.05</v>
      </c>
      <c r="I1419" s="14">
        <f>'PIVOT TABLES'!$B$26</f>
        <v>60.283999999999999</v>
      </c>
      <c r="J1419" s="14">
        <f>'PIVOT TABLES'!$B$27-'PIVOT TABLES'!$B$26</f>
        <v>30.142000000000003</v>
      </c>
      <c r="K1419" s="14">
        <f>'PIVOT TABLES'!$B$28-'PIVOT TABLES'!$B$27</f>
        <v>30.141999999999996</v>
      </c>
      <c r="L1419" s="14">
        <f>200-SUM(Table3[[#This Row],[D - LIGHT]:[D - VIGOROUS]])</f>
        <v>79.432000000000002</v>
      </c>
      <c r="M1419" s="14">
        <f>'PIVOT TABLES'!$I$26</f>
        <v>65.603999999999999</v>
      </c>
      <c r="N1419" s="14">
        <f>'PIVOT TABLES'!$I$27-'PIVOT TABLES'!$I$26</f>
        <v>32.802000000000007</v>
      </c>
      <c r="O1419" s="14">
        <f>'PIVOT TABLES'!$I$28-'PIVOT TABLES'!$I$27</f>
        <v>32.801999999999992</v>
      </c>
      <c r="P1419" s="14">
        <f>200-SUM(Table3[[#This Row],[M - LIGHT]:[M - VIGOROUS]])</f>
        <v>68.792000000000002</v>
      </c>
      <c r="Q1419" s="14">
        <f>'PIVOT TABLES'!$P$26</f>
        <v>62.64</v>
      </c>
      <c r="R1419" s="14">
        <f>'PIVOT TABLES'!$P$27-'PIVOT TABLES'!$P$26</f>
        <v>31.320000000000007</v>
      </c>
      <c r="S1419" s="14">
        <f>'PIVOT TABLES'!$P$28-'PIVOT TABLES'!$P$27</f>
        <v>31.319999999999993</v>
      </c>
      <c r="T1419" s="14">
        <f>200-SUM(Table3[[#This Row],[W - LIGHT]:[W - VIGOROUS]])</f>
        <v>74.72</v>
      </c>
      <c r="U1419" s="14">
        <f>'PIVOT TABLES'!$W$26</f>
        <v>55.895999999999994</v>
      </c>
      <c r="V1419" s="14">
        <f>'PIVOT TABLES'!$W$27-'PIVOT TABLES'!$W$26</f>
        <v>27.948</v>
      </c>
      <c r="W1419" s="14">
        <f>'PIVOT TABLES'!$W$28-'PIVOT TABLES'!$W$27</f>
        <v>27.947999999999993</v>
      </c>
      <c r="X1419" s="14">
        <f>200-SUM(Table3[[#This Row],[S - LIGHT]:[S - VIGOROUS]])</f>
        <v>88.208000000000013</v>
      </c>
    </row>
    <row r="1420" spans="1:24" x14ac:dyDescent="0.25">
      <c r="A1420" s="44" t="s">
        <v>69</v>
      </c>
      <c r="B1420" s="64" t="s">
        <v>204</v>
      </c>
      <c r="C1420" s="7">
        <v>45382.442766203705</v>
      </c>
      <c r="D1420" s="14">
        <v>7283</v>
      </c>
      <c r="E1420" s="14">
        <v>99</v>
      </c>
      <c r="F1420" s="14">
        <v>43</v>
      </c>
      <c r="G1420" s="14">
        <v>25</v>
      </c>
      <c r="H1420" s="14">
        <v>78.02</v>
      </c>
      <c r="I1420" s="14">
        <f>'PIVOT TABLES'!$B$26</f>
        <v>60.283999999999999</v>
      </c>
      <c r="J1420" s="14">
        <f>'PIVOT TABLES'!$B$27-'PIVOT TABLES'!$B$26</f>
        <v>30.142000000000003</v>
      </c>
      <c r="K1420" s="14">
        <f>'PIVOT TABLES'!$B$28-'PIVOT TABLES'!$B$27</f>
        <v>30.141999999999996</v>
      </c>
      <c r="L1420" s="14">
        <f>200-SUM(Table3[[#This Row],[D - LIGHT]:[D - VIGOROUS]])</f>
        <v>79.432000000000002</v>
      </c>
      <c r="M1420" s="14">
        <f>'PIVOT TABLES'!$I$26</f>
        <v>65.603999999999999</v>
      </c>
      <c r="N1420" s="14">
        <f>'PIVOT TABLES'!$I$27-'PIVOT TABLES'!$I$26</f>
        <v>32.802000000000007</v>
      </c>
      <c r="O1420" s="14">
        <f>'PIVOT TABLES'!$I$28-'PIVOT TABLES'!$I$27</f>
        <v>32.801999999999992</v>
      </c>
      <c r="P1420" s="14">
        <f>200-SUM(Table3[[#This Row],[M - LIGHT]:[M - VIGOROUS]])</f>
        <v>68.792000000000002</v>
      </c>
      <c r="Q1420" s="14">
        <f>'PIVOT TABLES'!$P$26</f>
        <v>62.64</v>
      </c>
      <c r="R1420" s="14">
        <f>'PIVOT TABLES'!$P$27-'PIVOT TABLES'!$P$26</f>
        <v>31.320000000000007</v>
      </c>
      <c r="S1420" s="14">
        <f>'PIVOT TABLES'!$P$28-'PIVOT TABLES'!$P$27</f>
        <v>31.319999999999993</v>
      </c>
      <c r="T1420" s="14">
        <f>200-SUM(Table3[[#This Row],[W - LIGHT]:[W - VIGOROUS]])</f>
        <v>74.72</v>
      </c>
      <c r="U1420" s="14">
        <f>'PIVOT TABLES'!$W$26</f>
        <v>55.895999999999994</v>
      </c>
      <c r="V1420" s="14">
        <f>'PIVOT TABLES'!$W$27-'PIVOT TABLES'!$W$26</f>
        <v>27.948</v>
      </c>
      <c r="W1420" s="14">
        <f>'PIVOT TABLES'!$W$28-'PIVOT TABLES'!$W$27</f>
        <v>27.947999999999993</v>
      </c>
      <c r="X1420" s="14">
        <f>200-SUM(Table3[[#This Row],[S - LIGHT]:[S - VIGOROUS]])</f>
        <v>88.208000000000013</v>
      </c>
    </row>
  </sheetData>
  <pageMargins left="0.7" right="0.7" top="0.75" bottom="0.75" header="0.3" footer="0.3"/>
  <ignoredErrors>
    <ignoredError sqref="B1375:B139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I14"/>
  <sheetViews>
    <sheetView workbookViewId="0">
      <selection activeCell="O11" sqref="O11:O18"/>
    </sheetView>
  </sheetViews>
  <sheetFormatPr defaultRowHeight="15" x14ac:dyDescent="0.25"/>
  <cols>
    <col min="2" max="2" width="14" customWidth="1"/>
    <col min="3" max="3" width="11.42578125" customWidth="1"/>
    <col min="4" max="4" width="17.28515625" customWidth="1"/>
    <col min="5" max="5" width="13.7109375" style="42" customWidth="1"/>
  </cols>
  <sheetData>
    <row r="2" spans="2:9" x14ac:dyDescent="0.25">
      <c r="B2" s="37" t="s">
        <v>115</v>
      </c>
      <c r="C2" s="91" t="s">
        <v>113</v>
      </c>
      <c r="D2" s="91"/>
      <c r="E2" s="43" t="s">
        <v>114</v>
      </c>
    </row>
    <row r="3" spans="2:9" x14ac:dyDescent="0.25">
      <c r="B3" s="36" t="s">
        <v>116</v>
      </c>
      <c r="C3" s="89" t="s">
        <v>112</v>
      </c>
      <c r="D3" s="89"/>
      <c r="E3" s="42">
        <v>92</v>
      </c>
      <c r="G3" s="33" t="s">
        <v>118</v>
      </c>
      <c r="H3" s="33"/>
      <c r="I3" s="33"/>
    </row>
    <row r="4" spans="2:9" x14ac:dyDescent="0.25">
      <c r="B4" s="36" t="s">
        <v>117</v>
      </c>
      <c r="C4" s="89" t="s">
        <v>111</v>
      </c>
      <c r="D4" s="89"/>
      <c r="E4" s="42">
        <v>103.46</v>
      </c>
      <c r="G4" s="90">
        <f>AVERAGE(E3:E25)</f>
        <v>105.63878205128204</v>
      </c>
      <c r="H4" s="90"/>
      <c r="I4" s="90"/>
    </row>
    <row r="5" spans="2:9" x14ac:dyDescent="0.25">
      <c r="B5" s="36" t="s">
        <v>120</v>
      </c>
      <c r="C5" s="89" t="s">
        <v>121</v>
      </c>
      <c r="D5" s="89"/>
      <c r="E5" s="42">
        <v>97.23</v>
      </c>
      <c r="G5" s="90"/>
      <c r="H5" s="90"/>
      <c r="I5" s="90"/>
    </row>
    <row r="6" spans="2:9" x14ac:dyDescent="0.25">
      <c r="B6" s="36" t="s">
        <v>122</v>
      </c>
      <c r="C6" s="89" t="s">
        <v>123</v>
      </c>
      <c r="D6" s="89"/>
      <c r="E6" s="42">
        <v>112.09</v>
      </c>
      <c r="G6" s="90"/>
      <c r="H6" s="90"/>
      <c r="I6" s="90"/>
    </row>
    <row r="7" spans="2:9" x14ac:dyDescent="0.25">
      <c r="B7" s="36" t="s">
        <v>122</v>
      </c>
      <c r="C7" s="89" t="s">
        <v>125</v>
      </c>
      <c r="D7" s="89"/>
      <c r="E7" s="42">
        <v>103.51</v>
      </c>
      <c r="G7" s="90"/>
      <c r="H7" s="90"/>
      <c r="I7" s="90"/>
    </row>
    <row r="8" spans="2:9" x14ac:dyDescent="0.25">
      <c r="B8" s="36" t="s">
        <v>131</v>
      </c>
      <c r="C8" s="89" t="s">
        <v>130</v>
      </c>
      <c r="D8" s="89"/>
      <c r="E8" s="42">
        <v>96</v>
      </c>
      <c r="G8" s="90"/>
      <c r="H8" s="90"/>
      <c r="I8" s="90"/>
    </row>
    <row r="9" spans="2:9" x14ac:dyDescent="0.25">
      <c r="B9" s="36" t="s">
        <v>132</v>
      </c>
      <c r="C9" s="89" t="s">
        <v>133</v>
      </c>
      <c r="D9" s="89"/>
      <c r="E9" s="42">
        <v>96</v>
      </c>
      <c r="G9" s="90"/>
      <c r="H9" s="90"/>
      <c r="I9" s="90"/>
    </row>
    <row r="10" spans="2:9" x14ac:dyDescent="0.25">
      <c r="B10" s="36" t="s">
        <v>150</v>
      </c>
      <c r="C10" s="89" t="s">
        <v>151</v>
      </c>
      <c r="D10" s="89"/>
      <c r="E10" s="42">
        <v>116.28</v>
      </c>
      <c r="G10" s="90"/>
      <c r="H10" s="90"/>
      <c r="I10" s="90"/>
    </row>
    <row r="11" spans="2:9" x14ac:dyDescent="0.25">
      <c r="B11" s="38" t="s">
        <v>159</v>
      </c>
      <c r="C11" s="89" t="s">
        <v>161</v>
      </c>
      <c r="D11" s="89"/>
      <c r="E11" s="42">
        <v>112</v>
      </c>
    </row>
    <row r="12" spans="2:9" x14ac:dyDescent="0.25">
      <c r="B12" s="40" t="s">
        <v>193</v>
      </c>
      <c r="C12" s="89" t="s">
        <v>194</v>
      </c>
      <c r="D12" s="89"/>
      <c r="E12" s="42">
        <v>120.8</v>
      </c>
    </row>
    <row r="13" spans="2:9" x14ac:dyDescent="0.25">
      <c r="B13" s="42" t="s">
        <v>197</v>
      </c>
      <c r="C13" s="89" t="s">
        <v>123</v>
      </c>
      <c r="D13" s="89"/>
      <c r="E13" s="9">
        <v>110.29538461538462</v>
      </c>
    </row>
    <row r="14" spans="2:9" x14ac:dyDescent="0.25">
      <c r="B14" s="49" t="s">
        <v>199</v>
      </c>
      <c r="C14" s="89" t="s">
        <v>200</v>
      </c>
      <c r="D14" s="89"/>
      <c r="E14" s="42">
        <v>108</v>
      </c>
    </row>
  </sheetData>
  <mergeCells count="20">
    <mergeCell ref="G8:I8"/>
    <mergeCell ref="G9:I9"/>
    <mergeCell ref="C8:D8"/>
    <mergeCell ref="C3:D3"/>
    <mergeCell ref="C4:D4"/>
    <mergeCell ref="C9:D9"/>
    <mergeCell ref="C2:D2"/>
    <mergeCell ref="G4:I4"/>
    <mergeCell ref="C7:D7"/>
    <mergeCell ref="C5:D5"/>
    <mergeCell ref="C6:D6"/>
    <mergeCell ref="G5:I5"/>
    <mergeCell ref="G6:I6"/>
    <mergeCell ref="G7:I7"/>
    <mergeCell ref="C11:D11"/>
    <mergeCell ref="C14:D14"/>
    <mergeCell ref="C13:D13"/>
    <mergeCell ref="C12:D12"/>
    <mergeCell ref="G10:I10"/>
    <mergeCell ref="C10:D10"/>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69"/>
  <sheetViews>
    <sheetView topLeftCell="R1" workbookViewId="0">
      <selection activeCell="B67" sqref="B67"/>
    </sheetView>
  </sheetViews>
  <sheetFormatPr defaultRowHeight="15" x14ac:dyDescent="0.25"/>
  <cols>
    <col min="1" max="1" width="13.140625" customWidth="1"/>
    <col min="2" max="2" width="27.42578125" customWidth="1"/>
    <col min="3" max="3" width="39.5703125" customWidth="1"/>
    <col min="4" max="4" width="40.140625" customWidth="1"/>
    <col min="5" max="5" width="43.85546875" customWidth="1"/>
    <col min="6" max="6" width="8.85546875" customWidth="1"/>
    <col min="8" max="8" width="22.28515625" customWidth="1"/>
    <col min="9" max="9" width="26.85546875" customWidth="1"/>
    <col min="10" max="10" width="6.140625" customWidth="1"/>
    <col min="11" max="11" width="11" customWidth="1"/>
    <col min="12" max="12" width="10.7109375" customWidth="1"/>
    <col min="13" max="13" width="8.42578125" customWidth="1"/>
    <col min="15" max="15" width="20.140625" customWidth="1"/>
    <col min="16" max="16" width="23.7109375" customWidth="1"/>
    <col min="17" max="17" width="6.140625" customWidth="1"/>
    <col min="18" max="18" width="11" customWidth="1"/>
    <col min="19" max="19" width="10.7109375" customWidth="1"/>
    <col min="20" max="20" width="8.42578125" customWidth="1"/>
    <col min="22" max="22" width="18.5703125" customWidth="1"/>
    <col min="23" max="23" width="23.140625" customWidth="1"/>
    <col min="24" max="24" width="7" customWidth="1"/>
    <col min="25" max="25" width="11" customWidth="1"/>
    <col min="26" max="26" width="10.7109375" customWidth="1"/>
    <col min="27" max="27" width="8.42578125" customWidth="1"/>
  </cols>
  <sheetData>
    <row r="1" spans="1:27" x14ac:dyDescent="0.25">
      <c r="A1" s="54" t="s">
        <v>81</v>
      </c>
      <c r="B1" s="7">
        <v>45382.442766203705</v>
      </c>
      <c r="C1" s="18"/>
      <c r="D1" s="18"/>
      <c r="E1" s="18"/>
      <c r="F1" s="18"/>
      <c r="H1" s="54" t="s">
        <v>81</v>
      </c>
      <c r="I1" s="7">
        <v>45382.442766203705</v>
      </c>
      <c r="J1" s="18"/>
      <c r="K1" s="18"/>
      <c r="L1" s="18"/>
      <c r="M1" s="18"/>
      <c r="O1" s="54" t="s">
        <v>81</v>
      </c>
      <c r="P1" s="7">
        <v>45382.442766203705</v>
      </c>
      <c r="Q1" s="18"/>
      <c r="R1" s="18"/>
      <c r="S1" s="18"/>
      <c r="T1" s="18"/>
      <c r="V1" s="15" t="s">
        <v>81</v>
      </c>
      <c r="W1" s="18">
        <v>45382.442766203705</v>
      </c>
    </row>
    <row r="2" spans="1:27" x14ac:dyDescent="0.25">
      <c r="A2" s="91" t="s">
        <v>11</v>
      </c>
      <c r="B2" s="91"/>
      <c r="C2" s="52"/>
      <c r="D2" s="52"/>
      <c r="E2" s="52"/>
      <c r="F2" s="63"/>
      <c r="H2" s="91" t="s">
        <v>83</v>
      </c>
      <c r="I2" s="91"/>
      <c r="J2" s="52"/>
      <c r="K2" s="52"/>
      <c r="L2" s="52"/>
      <c r="M2" s="63"/>
      <c r="O2" s="91" t="s">
        <v>85</v>
      </c>
      <c r="P2" s="91"/>
      <c r="Q2" s="52"/>
      <c r="R2" s="52"/>
      <c r="S2" s="52"/>
      <c r="T2" s="63"/>
      <c r="V2" s="91" t="s">
        <v>84</v>
      </c>
      <c r="W2" s="91"/>
    </row>
    <row r="3" spans="1:27" x14ac:dyDescent="0.25">
      <c r="A3" s="54" t="s">
        <v>75</v>
      </c>
      <c r="B3" s="85" t="s">
        <v>217</v>
      </c>
      <c r="C3" s="85" t="s">
        <v>234</v>
      </c>
      <c r="D3" s="85" t="s">
        <v>212</v>
      </c>
      <c r="E3" s="85" t="s">
        <v>235</v>
      </c>
      <c r="F3" s="85" t="s">
        <v>236</v>
      </c>
      <c r="H3" s="54" t="s">
        <v>75</v>
      </c>
      <c r="I3" s="85" t="s">
        <v>218</v>
      </c>
      <c r="J3" s="85" t="s">
        <v>234</v>
      </c>
      <c r="K3" s="85" t="s">
        <v>212</v>
      </c>
      <c r="L3" s="85" t="s">
        <v>235</v>
      </c>
      <c r="M3" s="85" t="s">
        <v>246</v>
      </c>
      <c r="O3" s="54" t="s">
        <v>75</v>
      </c>
      <c r="P3" s="85" t="s">
        <v>227</v>
      </c>
      <c r="Q3" s="85" t="s">
        <v>234</v>
      </c>
      <c r="R3" s="85" t="s">
        <v>212</v>
      </c>
      <c r="S3" s="85" t="s">
        <v>235</v>
      </c>
      <c r="T3" s="85" t="s">
        <v>246</v>
      </c>
      <c r="V3" s="15" t="s">
        <v>75</v>
      </c>
      <c r="W3" t="s">
        <v>228</v>
      </c>
      <c r="X3" t="s">
        <v>234</v>
      </c>
      <c r="Y3" t="s">
        <v>212</v>
      </c>
      <c r="Z3" t="s">
        <v>235</v>
      </c>
      <c r="AA3" t="s">
        <v>246</v>
      </c>
    </row>
    <row r="4" spans="1:27" x14ac:dyDescent="0.25">
      <c r="A4" s="85" t="s">
        <v>2</v>
      </c>
      <c r="B4" s="86">
        <v>50.63</v>
      </c>
      <c r="C4" s="86">
        <v>60.284000000000006</v>
      </c>
      <c r="D4" s="86">
        <v>30.14200000000001</v>
      </c>
      <c r="E4" s="86">
        <v>30.141999999999996</v>
      </c>
      <c r="F4" s="86">
        <v>79.431999999999988</v>
      </c>
      <c r="H4" s="85" t="s">
        <v>64</v>
      </c>
      <c r="I4" s="86">
        <v>86.17</v>
      </c>
      <c r="J4" s="86">
        <v>65.603999999999999</v>
      </c>
      <c r="K4" s="86">
        <v>32.802000000000007</v>
      </c>
      <c r="L4" s="86">
        <v>32.801999999999992</v>
      </c>
      <c r="M4" s="86">
        <v>68.792000000000002</v>
      </c>
      <c r="O4" s="85" t="s">
        <v>70</v>
      </c>
      <c r="P4" s="86">
        <v>82.83</v>
      </c>
      <c r="Q4" s="86">
        <v>62.64</v>
      </c>
      <c r="R4" s="86">
        <v>31.319999999999993</v>
      </c>
      <c r="S4" s="86">
        <v>31.320000000000007</v>
      </c>
      <c r="T4" s="86">
        <v>74.72</v>
      </c>
      <c r="V4" s="16" t="s">
        <v>66</v>
      </c>
      <c r="W4" s="19">
        <v>42.99</v>
      </c>
      <c r="X4" s="19">
        <v>55.896000000000001</v>
      </c>
      <c r="Y4" s="19">
        <v>27.947999999999993</v>
      </c>
      <c r="Z4" s="19">
        <v>27.948000000000008</v>
      </c>
      <c r="AA4" s="19">
        <v>88.207999999999998</v>
      </c>
    </row>
    <row r="5" spans="1:27" x14ac:dyDescent="0.25">
      <c r="A5" s="85" t="s">
        <v>1</v>
      </c>
      <c r="B5" s="86">
        <v>21.06</v>
      </c>
      <c r="C5" s="86">
        <v>60.284000000000006</v>
      </c>
      <c r="D5" s="86">
        <v>30.14200000000001</v>
      </c>
      <c r="E5" s="86">
        <v>30.141999999999996</v>
      </c>
      <c r="F5" s="86">
        <v>79.431999999999988</v>
      </c>
      <c r="H5" s="85" t="s">
        <v>71</v>
      </c>
      <c r="I5" s="86">
        <v>78.67</v>
      </c>
      <c r="J5" s="86">
        <v>65.603999999999999</v>
      </c>
      <c r="K5" s="86">
        <v>32.802000000000007</v>
      </c>
      <c r="L5" s="86">
        <v>32.801999999999992</v>
      </c>
      <c r="M5" s="86">
        <v>68.792000000000002</v>
      </c>
      <c r="O5" s="85" t="s">
        <v>60</v>
      </c>
      <c r="P5" s="86">
        <v>79.25</v>
      </c>
      <c r="Q5" s="86">
        <v>62.64</v>
      </c>
      <c r="R5" s="86">
        <v>31.319999999999993</v>
      </c>
      <c r="S5" s="86">
        <v>31.320000000000007</v>
      </c>
      <c r="T5" s="86">
        <v>74.72</v>
      </c>
      <c r="V5" s="16" t="s">
        <v>54</v>
      </c>
      <c r="W5" s="19">
        <v>83.09</v>
      </c>
      <c r="X5" s="19">
        <v>55.896000000000001</v>
      </c>
      <c r="Y5" s="19">
        <v>27.947999999999993</v>
      </c>
      <c r="Z5" s="19">
        <v>27.948000000000008</v>
      </c>
      <c r="AA5" s="19">
        <v>88.207999999999998</v>
      </c>
    </row>
    <row r="6" spans="1:27" x14ac:dyDescent="0.25">
      <c r="A6" s="85" t="s">
        <v>3</v>
      </c>
      <c r="B6" s="86">
        <v>74.63</v>
      </c>
      <c r="C6" s="86">
        <v>60.284000000000006</v>
      </c>
      <c r="D6" s="86">
        <v>30.14200000000001</v>
      </c>
      <c r="E6" s="86">
        <v>30.141999999999996</v>
      </c>
      <c r="F6" s="86">
        <v>79.431999999999988</v>
      </c>
      <c r="H6" s="85" t="s">
        <v>67</v>
      </c>
      <c r="I6" s="86">
        <v>83.05</v>
      </c>
      <c r="J6" s="86">
        <v>65.603999999999999</v>
      </c>
      <c r="K6" s="86">
        <v>32.802000000000007</v>
      </c>
      <c r="L6" s="86">
        <v>32.801999999999992</v>
      </c>
      <c r="M6" s="86">
        <v>68.792000000000002</v>
      </c>
      <c r="O6" s="85" t="s">
        <v>76</v>
      </c>
      <c r="P6" s="86">
        <v>81.039999999999992</v>
      </c>
      <c r="Q6" s="86">
        <v>62.64</v>
      </c>
      <c r="R6" s="86">
        <v>31.319999999999993</v>
      </c>
      <c r="S6" s="86">
        <v>31.320000000000007</v>
      </c>
      <c r="T6" s="86">
        <v>74.72</v>
      </c>
      <c r="V6" s="16" t="s">
        <v>59</v>
      </c>
      <c r="W6" s="19">
        <v>36.9</v>
      </c>
      <c r="X6" s="19">
        <v>55.896000000000001</v>
      </c>
      <c r="Y6" s="19">
        <v>27.947999999999993</v>
      </c>
      <c r="Z6" s="19">
        <v>27.948000000000008</v>
      </c>
      <c r="AA6" s="19">
        <v>88.207999999999998</v>
      </c>
    </row>
    <row r="7" spans="1:27" x14ac:dyDescent="0.25">
      <c r="A7" s="85" t="s">
        <v>58</v>
      </c>
      <c r="B7" s="86">
        <v>76.05</v>
      </c>
      <c r="C7" s="86">
        <v>60.284000000000006</v>
      </c>
      <c r="D7" s="86">
        <v>30.14200000000001</v>
      </c>
      <c r="E7" s="86">
        <v>30.141999999999996</v>
      </c>
      <c r="F7" s="86">
        <v>79.431999999999988</v>
      </c>
      <c r="H7" s="85" t="s">
        <v>53</v>
      </c>
      <c r="I7" s="86">
        <v>83.63</v>
      </c>
      <c r="J7" s="86">
        <v>65.603999999999999</v>
      </c>
      <c r="K7" s="86">
        <v>32.802000000000007</v>
      </c>
      <c r="L7" s="86">
        <v>32.801999999999992</v>
      </c>
      <c r="M7" s="86">
        <v>68.792000000000002</v>
      </c>
      <c r="V7" s="16" t="s">
        <v>8</v>
      </c>
      <c r="W7" s="19">
        <v>71.790000000000006</v>
      </c>
      <c r="X7" s="19">
        <v>55.896000000000001</v>
      </c>
      <c r="Y7" s="19">
        <v>27.947999999999993</v>
      </c>
      <c r="Z7" s="19">
        <v>27.948000000000008</v>
      </c>
      <c r="AA7" s="19">
        <v>88.207999999999998</v>
      </c>
    </row>
    <row r="8" spans="1:27" x14ac:dyDescent="0.25">
      <c r="A8" s="85" t="s">
        <v>94</v>
      </c>
      <c r="B8" s="86">
        <v>71.400000000000006</v>
      </c>
      <c r="C8" s="86">
        <v>60.284000000000006</v>
      </c>
      <c r="D8" s="86">
        <v>30.14200000000001</v>
      </c>
      <c r="E8" s="86">
        <v>30.141999999999996</v>
      </c>
      <c r="F8" s="86">
        <v>79.431999999999988</v>
      </c>
      <c r="H8" s="85" t="s">
        <v>56</v>
      </c>
      <c r="I8" s="86">
        <v>88.4</v>
      </c>
      <c r="J8" s="86">
        <v>65.603999999999999</v>
      </c>
      <c r="K8" s="86">
        <v>32.802000000000007</v>
      </c>
      <c r="L8" s="86">
        <v>32.801999999999992</v>
      </c>
      <c r="M8" s="86">
        <v>68.792000000000002</v>
      </c>
      <c r="V8" s="16" t="s">
        <v>76</v>
      </c>
      <c r="W8" s="20">
        <v>58.69250000000001</v>
      </c>
      <c r="X8" s="20">
        <v>55.896000000000001</v>
      </c>
      <c r="Y8" s="20">
        <v>111.79199999999997</v>
      </c>
      <c r="Z8" s="20">
        <v>111.79200000000003</v>
      </c>
      <c r="AA8" s="20">
        <v>352.83199999999999</v>
      </c>
    </row>
    <row r="9" spans="1:27" x14ac:dyDescent="0.25">
      <c r="A9" s="85" t="s">
        <v>95</v>
      </c>
      <c r="B9" s="86">
        <v>77.260000000000005</v>
      </c>
      <c r="C9" s="86">
        <v>60.284000000000006</v>
      </c>
      <c r="D9" s="86">
        <v>30.14200000000001</v>
      </c>
      <c r="E9" s="86">
        <v>30.141999999999996</v>
      </c>
      <c r="F9" s="86">
        <v>79.431999999999988</v>
      </c>
      <c r="H9" s="85" t="s">
        <v>6</v>
      </c>
      <c r="I9" s="86">
        <v>89.28</v>
      </c>
      <c r="J9" s="86">
        <v>65.603999999999999</v>
      </c>
      <c r="K9" s="86">
        <v>32.802000000000007</v>
      </c>
      <c r="L9" s="86">
        <v>32.801999999999992</v>
      </c>
      <c r="M9" s="86">
        <v>68.792000000000002</v>
      </c>
    </row>
    <row r="10" spans="1:27" x14ac:dyDescent="0.25">
      <c r="A10" s="85" t="s">
        <v>76</v>
      </c>
      <c r="B10" s="86">
        <v>61.838333333333331</v>
      </c>
      <c r="C10" s="86">
        <v>60.283999999999999</v>
      </c>
      <c r="D10" s="86">
        <v>30.142000000000007</v>
      </c>
      <c r="E10" s="86">
        <v>30.141999999999996</v>
      </c>
      <c r="F10" s="86">
        <v>79.432000000000002</v>
      </c>
      <c r="H10" s="85" t="s">
        <v>62</v>
      </c>
      <c r="I10" s="86">
        <v>63.51</v>
      </c>
      <c r="J10" s="86">
        <v>65.603999999999999</v>
      </c>
      <c r="K10" s="86">
        <v>32.802000000000007</v>
      </c>
      <c r="L10" s="86">
        <v>32.801999999999992</v>
      </c>
      <c r="M10" s="86">
        <v>68.792000000000002</v>
      </c>
    </row>
    <row r="11" spans="1:27" x14ac:dyDescent="0.25">
      <c r="H11" s="85" t="s">
        <v>69</v>
      </c>
      <c r="I11" s="86">
        <v>78.02</v>
      </c>
      <c r="J11" s="86">
        <v>65.603999999999999</v>
      </c>
      <c r="K11" s="86">
        <v>32.802000000000007</v>
      </c>
      <c r="L11" s="86">
        <v>32.801999999999992</v>
      </c>
      <c r="M11" s="86">
        <v>68.792000000000002</v>
      </c>
    </row>
    <row r="12" spans="1:27" x14ac:dyDescent="0.25">
      <c r="H12" s="85" t="s">
        <v>76</v>
      </c>
      <c r="I12" s="86">
        <v>81.341249999999988</v>
      </c>
      <c r="J12" s="86">
        <v>65.603999999999999</v>
      </c>
      <c r="K12" s="86">
        <v>32.802000000000014</v>
      </c>
      <c r="L12" s="86">
        <v>32.801999999999992</v>
      </c>
      <c r="M12" s="86">
        <v>68.792000000000016</v>
      </c>
    </row>
    <row r="14" spans="1:27" x14ac:dyDescent="0.25">
      <c r="D14" s="19"/>
      <c r="E14" s="19"/>
    </row>
    <row r="17" spans="1:23" x14ac:dyDescent="0.25">
      <c r="A17" s="15" t="s">
        <v>75</v>
      </c>
      <c r="B17" t="s">
        <v>207</v>
      </c>
      <c r="H17" s="15" t="s">
        <v>75</v>
      </c>
      <c r="I17" t="s">
        <v>207</v>
      </c>
      <c r="O17" s="15" t="s">
        <v>75</v>
      </c>
      <c r="P17" t="s">
        <v>207</v>
      </c>
      <c r="V17" s="15" t="s">
        <v>75</v>
      </c>
      <c r="W17" t="s">
        <v>207</v>
      </c>
    </row>
    <row r="18" spans="1:23" x14ac:dyDescent="0.25">
      <c r="A18" s="16" t="s">
        <v>203</v>
      </c>
      <c r="B18" s="20">
        <v>150.71</v>
      </c>
      <c r="C18" s="20"/>
      <c r="D18" s="20"/>
      <c r="E18" s="20"/>
      <c r="F18" s="20"/>
      <c r="H18" s="16" t="s">
        <v>204</v>
      </c>
      <c r="I18" s="20">
        <v>164.01</v>
      </c>
      <c r="J18" s="20"/>
      <c r="K18" s="20"/>
      <c r="L18" s="20"/>
      <c r="M18" s="20"/>
      <c r="O18" s="16" t="s">
        <v>206</v>
      </c>
      <c r="P18" s="20">
        <v>156.6</v>
      </c>
      <c r="Q18" s="20"/>
      <c r="R18" s="20"/>
      <c r="S18" s="20"/>
      <c r="T18" s="20"/>
      <c r="V18" s="16" t="s">
        <v>205</v>
      </c>
      <c r="W18" s="20">
        <v>139.74</v>
      </c>
    </row>
    <row r="19" spans="1:23" x14ac:dyDescent="0.25">
      <c r="A19" s="16" t="s">
        <v>76</v>
      </c>
      <c r="B19" s="20">
        <v>150.71</v>
      </c>
      <c r="C19" s="20"/>
      <c r="D19" s="20"/>
      <c r="E19" s="20"/>
      <c r="F19" s="20"/>
      <c r="H19" s="16" t="s">
        <v>76</v>
      </c>
      <c r="I19" s="20">
        <v>164.01</v>
      </c>
      <c r="J19" s="20"/>
      <c r="K19" s="20"/>
      <c r="L19" s="20"/>
      <c r="M19" s="20"/>
      <c r="O19" s="16" t="s">
        <v>76</v>
      </c>
      <c r="P19" s="20">
        <v>156.6</v>
      </c>
      <c r="Q19" s="20"/>
      <c r="R19" s="20"/>
      <c r="S19" s="20"/>
      <c r="T19" s="20"/>
      <c r="V19" s="16" t="s">
        <v>76</v>
      </c>
      <c r="W19" s="20">
        <v>139.74</v>
      </c>
    </row>
    <row r="21" spans="1:23" x14ac:dyDescent="0.25">
      <c r="A21" s="15" t="s">
        <v>75</v>
      </c>
      <c r="B21" t="s">
        <v>82</v>
      </c>
      <c r="H21" s="15" t="s">
        <v>75</v>
      </c>
      <c r="I21" t="s">
        <v>82</v>
      </c>
      <c r="O21" s="15" t="s">
        <v>75</v>
      </c>
      <c r="P21" t="s">
        <v>82</v>
      </c>
      <c r="V21" s="15" t="s">
        <v>75</v>
      </c>
      <c r="W21" t="s">
        <v>82</v>
      </c>
    </row>
    <row r="22" spans="1:23" x14ac:dyDescent="0.25">
      <c r="A22" s="16" t="s">
        <v>203</v>
      </c>
      <c r="B22" s="20">
        <v>69.953061224489787</v>
      </c>
      <c r="C22" s="20"/>
      <c r="D22" s="20"/>
      <c r="E22" s="20"/>
      <c r="F22" s="20"/>
      <c r="H22" s="16" t="s">
        <v>204</v>
      </c>
      <c r="I22" s="20">
        <v>70.509534050179198</v>
      </c>
      <c r="J22" s="20"/>
      <c r="K22" s="20"/>
      <c r="L22" s="20"/>
      <c r="M22" s="20"/>
      <c r="O22" s="16" t="s">
        <v>206</v>
      </c>
      <c r="P22" s="20">
        <v>67.890861423220983</v>
      </c>
      <c r="Q22" s="20"/>
      <c r="R22" s="20"/>
      <c r="S22" s="20"/>
      <c r="T22" s="20"/>
      <c r="V22" s="16" t="s">
        <v>205</v>
      </c>
      <c r="W22" s="20">
        <v>63.858692579505259</v>
      </c>
    </row>
    <row r="23" spans="1:23" x14ac:dyDescent="0.25">
      <c r="A23" s="16" t="s">
        <v>76</v>
      </c>
      <c r="B23" s="20">
        <v>69.953061224489787</v>
      </c>
      <c r="C23" s="20"/>
      <c r="D23" s="20"/>
      <c r="E23" s="20"/>
      <c r="F23" s="20"/>
      <c r="H23" s="16" t="s">
        <v>76</v>
      </c>
      <c r="I23" s="20">
        <v>70.509534050179198</v>
      </c>
      <c r="J23" s="20"/>
      <c r="K23" s="20"/>
      <c r="L23" s="20"/>
      <c r="M23" s="20"/>
      <c r="O23" s="16" t="s">
        <v>76</v>
      </c>
      <c r="P23" s="20">
        <v>67.890861423220983</v>
      </c>
      <c r="Q23" s="20"/>
      <c r="R23" s="20"/>
      <c r="S23" s="20"/>
      <c r="T23" s="20"/>
      <c r="V23" s="16" t="s">
        <v>76</v>
      </c>
      <c r="W23" s="20">
        <v>63.858692579505259</v>
      </c>
    </row>
    <row r="25" spans="1:23" x14ac:dyDescent="0.25">
      <c r="A25" s="53" t="s">
        <v>211</v>
      </c>
      <c r="B25" s="19">
        <f>(GETPIVOTDATA("Exercise Load ",$A$21,"Position ","Defender")/GETPIVOTDATA("Exercise Load ",$A$17,"Position ","Defender"))*100</f>
        <v>46.415673296058515</v>
      </c>
      <c r="C25" s="19"/>
      <c r="D25" s="19"/>
      <c r="E25" s="19"/>
      <c r="F25" s="19"/>
      <c r="H25" s="53" t="s">
        <v>211</v>
      </c>
      <c r="I25">
        <f>(GETPIVOTDATA("Exercise Load ",$H$21,"Position ","Midfielder")/GETPIVOTDATA("Exercise Load ",$H$17,"Position ","Midfielder"))*100</f>
        <v>42.990996921028717</v>
      </c>
      <c r="O25" s="53" t="s">
        <v>211</v>
      </c>
      <c r="P25">
        <f>(GETPIVOTDATA("Exercise Load ",$O$21,"Position ","Winger")/GETPIVOTDATA("Exercise Load ",$O$17,"Position ","Winger"))*100</f>
        <v>43.353040500141113</v>
      </c>
      <c r="V25" s="53" t="s">
        <v>211</v>
      </c>
      <c r="W25">
        <f>(GETPIVOTDATA("Exercise Load ",$V$21,"Position ","Striker")/GETPIVOTDATA("Exercise Load ",$V$17,"Position ","Striker"))*100</f>
        <v>45.698219965296452</v>
      </c>
    </row>
    <row r="26" spans="1:23" x14ac:dyDescent="0.25">
      <c r="A26" s="53" t="s">
        <v>208</v>
      </c>
      <c r="B26" s="19">
        <f>(40*GETPIVOTDATA("Exercise Load ",$A$21,"Position ","Defender"))/$B$25</f>
        <v>60.283999999999999</v>
      </c>
      <c r="C26" s="19"/>
      <c r="D26" s="19"/>
      <c r="E26" s="19"/>
      <c r="F26" s="19"/>
      <c r="H26" s="53" t="s">
        <v>208</v>
      </c>
      <c r="I26">
        <f>(40*GETPIVOTDATA("Exercise Load ",$H$21,"Position ","Midfielder"))/$I$25</f>
        <v>65.603999999999999</v>
      </c>
      <c r="O26" s="53" t="s">
        <v>208</v>
      </c>
      <c r="P26">
        <f>(40*GETPIVOTDATA("Exercise Load ",$O$21,"Position ","Winger"))/$P$25</f>
        <v>62.64</v>
      </c>
      <c r="V26" s="53" t="s">
        <v>208</v>
      </c>
      <c r="W26">
        <f>(40*GETPIVOTDATA("Exercise Load ",$V$21,"Position ","Striker"))/$W$25</f>
        <v>55.895999999999994</v>
      </c>
    </row>
    <row r="27" spans="1:23" x14ac:dyDescent="0.25">
      <c r="A27" s="53" t="s">
        <v>209</v>
      </c>
      <c r="B27" s="19">
        <f>(60*GETPIVOTDATA("Exercise Load ",$A$21,"Position ","Defender"))/$B$25</f>
        <v>90.426000000000002</v>
      </c>
      <c r="C27" s="19"/>
      <c r="D27" s="19"/>
      <c r="E27" s="19"/>
      <c r="F27" s="19"/>
      <c r="H27" s="53" t="s">
        <v>209</v>
      </c>
      <c r="I27">
        <f>(60*GETPIVOTDATA("Exercise Load ",$H$21,"Position ","Midfielder"))/$I$25</f>
        <v>98.406000000000006</v>
      </c>
      <c r="O27" s="53" t="s">
        <v>209</v>
      </c>
      <c r="P27">
        <f>(60*GETPIVOTDATA("Exercise Load ",$O$21,"Position ","Winger"))/$P$25</f>
        <v>93.960000000000008</v>
      </c>
      <c r="V27" s="53" t="s">
        <v>209</v>
      </c>
      <c r="W27">
        <f>(60*GETPIVOTDATA("Exercise Load ",$V$21,"Position ","Striker"))/$W$25</f>
        <v>83.843999999999994</v>
      </c>
    </row>
    <row r="28" spans="1:23" x14ac:dyDescent="0.25">
      <c r="A28" s="53" t="s">
        <v>210</v>
      </c>
      <c r="B28" s="19">
        <f>(80*GETPIVOTDATA("Exercise Load ",$A$21,"Position ","Defender"))/$B$25</f>
        <v>120.568</v>
      </c>
      <c r="C28" s="19"/>
      <c r="D28" s="19"/>
      <c r="E28" s="19"/>
      <c r="F28" s="19"/>
      <c r="H28" s="53" t="s">
        <v>210</v>
      </c>
      <c r="I28">
        <f>(80*GETPIVOTDATA("Exercise Load ",$H$21,"Position ","Midfielder"))/$I$25</f>
        <v>131.208</v>
      </c>
      <c r="O28" s="53" t="s">
        <v>210</v>
      </c>
      <c r="P28">
        <f>(80*GETPIVOTDATA("Exercise Load ",$O$21,"Position ","Winger"))/$P$25</f>
        <v>125.28</v>
      </c>
      <c r="V28" s="53" t="s">
        <v>210</v>
      </c>
      <c r="W28">
        <f>(80*GETPIVOTDATA("Exercise Load ",$V$21,"Position ","Striker"))/$W$25</f>
        <v>111.79199999999999</v>
      </c>
    </row>
    <row r="30" spans="1:23" x14ac:dyDescent="0.25">
      <c r="A30" s="53" t="s">
        <v>233</v>
      </c>
      <c r="B30">
        <v>200</v>
      </c>
      <c r="H30" s="53" t="s">
        <v>233</v>
      </c>
      <c r="I30">
        <v>200</v>
      </c>
      <c r="O30" s="53" t="s">
        <v>233</v>
      </c>
      <c r="P30">
        <v>200</v>
      </c>
      <c r="V30" s="53" t="s">
        <v>233</v>
      </c>
      <c r="W30">
        <v>200</v>
      </c>
    </row>
    <row r="34" spans="1:22" x14ac:dyDescent="0.25">
      <c r="A34" s="15" t="s">
        <v>75</v>
      </c>
      <c r="B34" t="s">
        <v>223</v>
      </c>
      <c r="C34" t="s">
        <v>224</v>
      </c>
      <c r="D34" t="s">
        <v>225</v>
      </c>
      <c r="E34" t="s">
        <v>226</v>
      </c>
    </row>
    <row r="35" spans="1:22" x14ac:dyDescent="0.25">
      <c r="A35" s="16" t="s">
        <v>203</v>
      </c>
      <c r="B35" s="20">
        <v>5575</v>
      </c>
      <c r="C35" s="20">
        <v>68</v>
      </c>
      <c r="D35" s="20">
        <v>17.399999999999999</v>
      </c>
      <c r="E35" s="20">
        <v>15.4</v>
      </c>
      <c r="F35" s="20"/>
      <c r="O35" s="16"/>
      <c r="V35" s="16"/>
    </row>
    <row r="36" spans="1:22" x14ac:dyDescent="0.25">
      <c r="A36" s="16" t="s">
        <v>76</v>
      </c>
      <c r="B36" s="20">
        <v>5575</v>
      </c>
      <c r="C36" s="20">
        <v>68</v>
      </c>
      <c r="D36" s="20">
        <v>17.399999999999999</v>
      </c>
      <c r="E36" s="20">
        <v>15.4</v>
      </c>
      <c r="F36" s="20"/>
      <c r="O36" s="16"/>
      <c r="V36" s="16"/>
    </row>
    <row r="38" spans="1:22" x14ac:dyDescent="0.25">
      <c r="A38" s="15" t="s">
        <v>75</v>
      </c>
      <c r="B38" t="s">
        <v>223</v>
      </c>
      <c r="C38" t="s">
        <v>224</v>
      </c>
      <c r="D38" t="s">
        <v>225</v>
      </c>
      <c r="E38" t="s">
        <v>226</v>
      </c>
    </row>
    <row r="39" spans="1:22" x14ac:dyDescent="0.25">
      <c r="A39" s="16" t="s">
        <v>204</v>
      </c>
      <c r="B39" s="20">
        <v>7222.666666666667</v>
      </c>
      <c r="C39" s="20">
        <v>97.222222222222229</v>
      </c>
      <c r="D39" s="20">
        <v>22.222222222222221</v>
      </c>
      <c r="E39" s="20">
        <v>30.333333333333332</v>
      </c>
      <c r="F39" s="20"/>
    </row>
    <row r="40" spans="1:22" x14ac:dyDescent="0.25">
      <c r="A40" s="16" t="s">
        <v>76</v>
      </c>
      <c r="B40" s="20">
        <v>7222.666666666667</v>
      </c>
      <c r="C40" s="20">
        <v>97.222222222222229</v>
      </c>
      <c r="D40" s="20">
        <v>22.222222222222221</v>
      </c>
      <c r="E40" s="20">
        <v>30.333333333333332</v>
      </c>
      <c r="F40" s="20"/>
    </row>
    <row r="42" spans="1:22" x14ac:dyDescent="0.25">
      <c r="A42" s="15" t="s">
        <v>75</v>
      </c>
      <c r="B42" t="s">
        <v>223</v>
      </c>
      <c r="C42" t="s">
        <v>224</v>
      </c>
      <c r="D42" t="s">
        <v>225</v>
      </c>
      <c r="E42" t="s">
        <v>226</v>
      </c>
      <c r="H42" s="16"/>
    </row>
    <row r="43" spans="1:22" x14ac:dyDescent="0.25">
      <c r="A43" s="16" t="s">
        <v>206</v>
      </c>
      <c r="B43" s="20">
        <v>7291.8</v>
      </c>
      <c r="C43" s="20">
        <v>160.80000000000001</v>
      </c>
      <c r="D43" s="20">
        <v>22.8</v>
      </c>
      <c r="E43" s="20">
        <v>26.4</v>
      </c>
      <c r="F43" s="20"/>
      <c r="H43" s="16"/>
    </row>
    <row r="44" spans="1:22" x14ac:dyDescent="0.25">
      <c r="A44" s="16" t="s">
        <v>76</v>
      </c>
      <c r="B44" s="20">
        <v>7291.8</v>
      </c>
      <c r="C44" s="20">
        <v>160.80000000000001</v>
      </c>
      <c r="D44" s="20">
        <v>22.8</v>
      </c>
      <c r="E44" s="20">
        <v>26.4</v>
      </c>
      <c r="F44" s="20"/>
    </row>
    <row r="46" spans="1:22" x14ac:dyDescent="0.25">
      <c r="A46" s="15" t="s">
        <v>75</v>
      </c>
      <c r="B46" t="s">
        <v>223</v>
      </c>
      <c r="C46" t="s">
        <v>224</v>
      </c>
      <c r="D46" t="s">
        <v>225</v>
      </c>
      <c r="E46" t="s">
        <v>226</v>
      </c>
    </row>
    <row r="47" spans="1:22" x14ac:dyDescent="0.25">
      <c r="A47" s="16" t="s">
        <v>205</v>
      </c>
      <c r="B47" s="20">
        <v>5688.25</v>
      </c>
      <c r="C47" s="20">
        <v>26</v>
      </c>
      <c r="D47" s="20">
        <v>14</v>
      </c>
      <c r="E47" s="20">
        <v>18.75</v>
      </c>
      <c r="F47" s="20"/>
    </row>
    <row r="48" spans="1:22" x14ac:dyDescent="0.25">
      <c r="A48" s="16" t="s">
        <v>76</v>
      </c>
      <c r="B48" s="20">
        <v>5688.25</v>
      </c>
      <c r="C48" s="20">
        <v>26</v>
      </c>
      <c r="D48" s="20">
        <v>14</v>
      </c>
      <c r="E48" s="20">
        <v>18.75</v>
      </c>
      <c r="F48" s="20"/>
    </row>
    <row r="50" spans="1:5" x14ac:dyDescent="0.25">
      <c r="A50" s="15" t="s">
        <v>202</v>
      </c>
      <c r="B50" t="s">
        <v>203</v>
      </c>
    </row>
    <row r="51" spans="1:5" x14ac:dyDescent="0.25">
      <c r="A51" s="16"/>
    </row>
    <row r="52" spans="1:5" x14ac:dyDescent="0.25">
      <c r="A52" s="15" t="s">
        <v>75</v>
      </c>
      <c r="B52" t="s">
        <v>223</v>
      </c>
      <c r="C52" t="s">
        <v>224</v>
      </c>
      <c r="D52" t="s">
        <v>225</v>
      </c>
      <c r="E52" t="s">
        <v>226</v>
      </c>
    </row>
    <row r="53" spans="1:5" x14ac:dyDescent="0.25">
      <c r="A53" s="16" t="s">
        <v>94</v>
      </c>
      <c r="B53" s="50">
        <v>6637.6842105263158</v>
      </c>
      <c r="C53" s="50">
        <v>74.78947368421052</v>
      </c>
      <c r="D53" s="50">
        <v>17.5</v>
      </c>
      <c r="E53" s="50">
        <v>16.078947368421051</v>
      </c>
    </row>
    <row r="54" spans="1:5" x14ac:dyDescent="0.25">
      <c r="A54" s="16" t="s">
        <v>77</v>
      </c>
      <c r="B54" s="50">
        <v>6392.6</v>
      </c>
      <c r="C54" s="50">
        <v>138.33333333333334</v>
      </c>
      <c r="D54" s="50">
        <v>17.2</v>
      </c>
      <c r="E54" s="50">
        <v>22.533333333333335</v>
      </c>
    </row>
    <row r="55" spans="1:5" x14ac:dyDescent="0.25">
      <c r="A55" s="16" t="s">
        <v>2</v>
      </c>
      <c r="B55" s="50">
        <v>6357.760869565217</v>
      </c>
      <c r="C55" s="50">
        <v>128.54347826086956</v>
      </c>
      <c r="D55" s="50">
        <v>26.760869565217391</v>
      </c>
      <c r="E55" s="50">
        <v>29.543478260869566</v>
      </c>
    </row>
    <row r="56" spans="1:5" x14ac:dyDescent="0.25">
      <c r="A56" s="16" t="s">
        <v>78</v>
      </c>
      <c r="B56" s="50">
        <v>6659.0731707317073</v>
      </c>
      <c r="C56" s="50">
        <v>66.609756097560975</v>
      </c>
      <c r="D56" s="50">
        <v>19.048780487804876</v>
      </c>
      <c r="E56" s="50">
        <v>20.975609756097562</v>
      </c>
    </row>
    <row r="57" spans="1:5" x14ac:dyDescent="0.25">
      <c r="A57" s="16" t="s">
        <v>1</v>
      </c>
      <c r="B57" s="50">
        <v>6086.454545454545</v>
      </c>
      <c r="C57" s="50">
        <v>41.781818181818181</v>
      </c>
      <c r="D57" s="50">
        <v>15.49090909090909</v>
      </c>
      <c r="E57" s="50">
        <v>18.600000000000001</v>
      </c>
    </row>
    <row r="58" spans="1:5" x14ac:dyDescent="0.25">
      <c r="A58" s="16" t="s">
        <v>3</v>
      </c>
      <c r="B58" s="50">
        <v>6677.7307692307695</v>
      </c>
      <c r="C58" s="50">
        <v>67.615384615384613</v>
      </c>
      <c r="D58" s="50">
        <v>27.442307692307693</v>
      </c>
      <c r="E58" s="50">
        <v>19.98076923076923</v>
      </c>
    </row>
    <row r="59" spans="1:5" x14ac:dyDescent="0.25">
      <c r="A59" s="16" t="s">
        <v>58</v>
      </c>
      <c r="B59" s="50">
        <v>6969.9574468085102</v>
      </c>
      <c r="C59" s="50">
        <v>80.148936170212764</v>
      </c>
      <c r="D59" s="50">
        <v>20.276595744680851</v>
      </c>
      <c r="E59" s="50">
        <v>26.23404255319149</v>
      </c>
    </row>
    <row r="60" spans="1:5" x14ac:dyDescent="0.25">
      <c r="A60" s="16" t="s">
        <v>76</v>
      </c>
      <c r="B60" s="20">
        <v>6541.4455782312925</v>
      </c>
      <c r="C60" s="20">
        <v>78.714285714285708</v>
      </c>
      <c r="D60" s="20">
        <v>20.976190476190474</v>
      </c>
      <c r="E60" s="20">
        <v>21.982993197278912</v>
      </c>
    </row>
    <row r="61" spans="1:5" x14ac:dyDescent="0.25">
      <c r="A61" s="16"/>
      <c r="B61" s="20"/>
      <c r="C61" s="20"/>
      <c r="D61" s="20"/>
      <c r="E61" s="20"/>
    </row>
    <row r="65" spans="1:5" x14ac:dyDescent="0.25">
      <c r="A65" s="16"/>
      <c r="B65" s="19"/>
      <c r="C65" s="19"/>
      <c r="D65" s="19"/>
      <c r="E65" s="19"/>
    </row>
    <row r="66" spans="1:5" x14ac:dyDescent="0.25">
      <c r="A66" s="16"/>
      <c r="B66" s="19"/>
      <c r="C66" s="19"/>
      <c r="D66" s="19"/>
      <c r="E66" s="19"/>
    </row>
    <row r="67" spans="1:5" x14ac:dyDescent="0.25">
      <c r="A67" s="16"/>
      <c r="B67" s="19"/>
      <c r="C67" s="19"/>
      <c r="D67" s="19"/>
      <c r="E67" s="19"/>
    </row>
    <row r="68" spans="1:5" x14ac:dyDescent="0.25">
      <c r="A68" s="16"/>
      <c r="B68" s="19"/>
      <c r="C68" s="19"/>
      <c r="D68" s="19"/>
      <c r="E68" s="19"/>
    </row>
    <row r="69" spans="1:5" x14ac:dyDescent="0.25">
      <c r="A69" s="16"/>
      <c r="B69" s="19"/>
      <c r="C69" s="19"/>
      <c r="D69" s="19"/>
      <c r="E69" s="19"/>
    </row>
  </sheetData>
  <mergeCells count="4">
    <mergeCell ref="A2:B2"/>
    <mergeCell ref="H2:I2"/>
    <mergeCell ref="V2:W2"/>
    <mergeCell ref="O2:P2"/>
  </mergeCells>
  <pageMargins left="0.7" right="0.7" top="0.75" bottom="0.75" header="0.3" footer="0.3"/>
  <pageSetup orientation="portrait" horizontalDpi="1200" verticalDpi="1200" r:id="rId18"/>
  <drawing r:id="rId19"/>
  <extLst>
    <ext xmlns:x14="http://schemas.microsoft.com/office/spreadsheetml/2009/9/main" uri="{A8765BA9-456A-4dab-B4F3-ACF838C121DE}">
      <x14:slicerList>
        <x14:slicer r:id="rId2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F14"/>
  <sheetViews>
    <sheetView topLeftCell="B1" workbookViewId="0">
      <selection activeCell="F15" sqref="F15"/>
    </sheetView>
  </sheetViews>
  <sheetFormatPr defaultRowHeight="15" x14ac:dyDescent="0.25"/>
  <cols>
    <col min="2" max="2" width="20.28515625" bestFit="1" customWidth="1"/>
    <col min="3" max="3" width="22.28515625" bestFit="1" customWidth="1"/>
    <col min="4" max="4" width="22.28515625" customWidth="1"/>
    <col min="5" max="5" width="19" bestFit="1" customWidth="1"/>
  </cols>
  <sheetData>
    <row r="2" spans="2:6" ht="15.75" x14ac:dyDescent="0.25">
      <c r="B2" s="92" t="s">
        <v>10</v>
      </c>
      <c r="C2" s="92"/>
      <c r="D2" s="92"/>
      <c r="E2" s="92"/>
      <c r="F2" s="2"/>
    </row>
    <row r="3" spans="2:6" x14ac:dyDescent="0.25">
      <c r="B3" s="4" t="s">
        <v>11</v>
      </c>
      <c r="C3" s="4" t="s">
        <v>12</v>
      </c>
      <c r="D3" s="4" t="s">
        <v>14</v>
      </c>
      <c r="E3" s="4" t="s">
        <v>13</v>
      </c>
    </row>
    <row r="4" spans="2:6" x14ac:dyDescent="0.25">
      <c r="B4" s="3" t="s">
        <v>1</v>
      </c>
      <c r="C4" t="s">
        <v>18</v>
      </c>
      <c r="D4" t="s">
        <v>30</v>
      </c>
      <c r="E4" t="s">
        <v>8</v>
      </c>
    </row>
    <row r="5" spans="2:6" x14ac:dyDescent="0.25">
      <c r="B5" s="3" t="s">
        <v>2</v>
      </c>
      <c r="C5" t="s">
        <v>19</v>
      </c>
      <c r="D5" t="s">
        <v>31</v>
      </c>
      <c r="E5" t="s">
        <v>26</v>
      </c>
    </row>
    <row r="6" spans="2:6" x14ac:dyDescent="0.25">
      <c r="B6" s="3" t="s">
        <v>3</v>
      </c>
      <c r="C6" t="s">
        <v>20</v>
      </c>
      <c r="D6" t="s">
        <v>32</v>
      </c>
      <c r="E6" t="s">
        <v>27</v>
      </c>
    </row>
    <row r="7" spans="2:6" x14ac:dyDescent="0.25">
      <c r="B7" s="3" t="s">
        <v>15</v>
      </c>
      <c r="C7" t="s">
        <v>21</v>
      </c>
      <c r="D7" t="s">
        <v>33</v>
      </c>
      <c r="E7" t="s">
        <v>28</v>
      </c>
    </row>
    <row r="8" spans="2:6" x14ac:dyDescent="0.25">
      <c r="B8" s="3" t="s">
        <v>16</v>
      </c>
      <c r="C8" t="s">
        <v>22</v>
      </c>
      <c r="D8" t="s">
        <v>7</v>
      </c>
      <c r="E8" t="s">
        <v>9</v>
      </c>
    </row>
    <row r="9" spans="2:6" x14ac:dyDescent="0.25">
      <c r="B9" s="3" t="s">
        <v>17</v>
      </c>
      <c r="C9" t="s">
        <v>25</v>
      </c>
      <c r="E9" t="s">
        <v>29</v>
      </c>
    </row>
    <row r="10" spans="2:6" x14ac:dyDescent="0.25">
      <c r="B10" t="s">
        <v>94</v>
      </c>
      <c r="C10" t="s">
        <v>6</v>
      </c>
    </row>
    <row r="11" spans="2:6" x14ac:dyDescent="0.25">
      <c r="C11" t="s">
        <v>23</v>
      </c>
    </row>
    <row r="12" spans="2:6" x14ac:dyDescent="0.25">
      <c r="C12" t="s">
        <v>24</v>
      </c>
    </row>
    <row r="13" spans="2:6" x14ac:dyDescent="0.25">
      <c r="C13" t="s">
        <v>5</v>
      </c>
    </row>
    <row r="14" spans="2:6" x14ac:dyDescent="0.25">
      <c r="C14" t="s">
        <v>4</v>
      </c>
    </row>
  </sheetData>
  <mergeCells count="1">
    <mergeCell ref="B2:E2"/>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37"/>
  <sheetViews>
    <sheetView showGridLines="0" view="pageBreakPreview" topLeftCell="A4" zoomScale="70" zoomScaleNormal="80" zoomScaleSheetLayoutView="70" workbookViewId="0">
      <selection activeCell="AC20" sqref="AC20"/>
    </sheetView>
  </sheetViews>
  <sheetFormatPr defaultRowHeight="15" x14ac:dyDescent="0.25"/>
  <cols>
    <col min="1" max="2" width="9.140625" style="21"/>
    <col min="3" max="3" width="20.42578125" style="21" bestFit="1" customWidth="1"/>
    <col min="4" max="5" width="9.140625" style="21"/>
    <col min="6" max="6" width="10.140625" style="21" customWidth="1"/>
    <col min="7" max="12" width="9.140625" style="21"/>
    <col min="13" max="13" width="20.7109375" style="21" bestFit="1" customWidth="1"/>
    <col min="14" max="16384" width="9.140625" style="21"/>
  </cols>
  <sheetData>
    <row r="1" spans="1:27" x14ac:dyDescent="0.25">
      <c r="A1" s="23"/>
      <c r="B1" s="23"/>
      <c r="C1" s="23"/>
      <c r="D1" s="23"/>
      <c r="E1" s="23"/>
      <c r="F1" s="23"/>
      <c r="G1" s="23"/>
      <c r="H1" s="23"/>
      <c r="I1" s="23"/>
      <c r="J1" s="23"/>
      <c r="K1" s="23"/>
      <c r="L1" s="23"/>
      <c r="M1" s="23"/>
      <c r="N1" s="23"/>
      <c r="O1" s="23"/>
      <c r="P1" s="23"/>
      <c r="Q1" s="23"/>
      <c r="R1" s="23"/>
      <c r="S1" s="23"/>
      <c r="T1" s="23"/>
      <c r="U1" s="23"/>
      <c r="V1" s="23"/>
      <c r="W1" s="23"/>
      <c r="X1" s="23"/>
      <c r="Y1" s="23"/>
      <c r="Z1" s="23"/>
      <c r="AA1" s="23"/>
    </row>
    <row r="2" spans="1:27" x14ac:dyDescent="0.25">
      <c r="A2" s="23"/>
      <c r="B2" s="23"/>
      <c r="C2" s="23"/>
      <c r="D2" s="23"/>
      <c r="E2" s="23"/>
      <c r="F2" s="23"/>
      <c r="G2" s="23"/>
      <c r="H2" s="23"/>
      <c r="I2" s="23"/>
      <c r="J2" s="23"/>
      <c r="K2" s="23"/>
      <c r="L2" s="23"/>
      <c r="M2" s="23"/>
      <c r="N2" s="23"/>
      <c r="O2" s="23"/>
      <c r="P2" s="23"/>
      <c r="Q2" s="23"/>
      <c r="R2" s="23"/>
      <c r="S2" s="23"/>
      <c r="T2" s="23"/>
      <c r="U2" s="23"/>
      <c r="V2" s="23"/>
      <c r="W2" s="23"/>
      <c r="X2" s="23"/>
      <c r="Y2" s="23"/>
      <c r="Z2" s="23"/>
      <c r="AA2" s="23"/>
    </row>
    <row r="3" spans="1:27" x14ac:dyDescent="0.25">
      <c r="A3" s="23"/>
      <c r="B3" s="23"/>
      <c r="C3" s="23"/>
      <c r="D3" s="23"/>
      <c r="E3" s="23"/>
      <c r="F3" s="23"/>
      <c r="G3" s="23"/>
      <c r="H3" s="23"/>
      <c r="I3" s="23"/>
      <c r="J3" s="23"/>
      <c r="K3" s="23"/>
      <c r="L3" s="23"/>
      <c r="M3" s="23"/>
      <c r="N3" s="23"/>
      <c r="O3" s="23"/>
      <c r="P3" s="23"/>
      <c r="Q3" s="23"/>
      <c r="R3" s="23"/>
      <c r="S3" s="23"/>
      <c r="T3" s="23"/>
      <c r="U3" s="23"/>
      <c r="V3" s="23"/>
      <c r="W3" s="23"/>
      <c r="X3" s="23"/>
      <c r="Y3" s="23"/>
      <c r="Z3" s="23"/>
      <c r="AA3" s="23"/>
    </row>
    <row r="4" spans="1:27" ht="15" customHeight="1" x14ac:dyDescent="0.25">
      <c r="A4" s="23"/>
      <c r="B4" s="93" t="s">
        <v>46</v>
      </c>
      <c r="C4" s="93"/>
      <c r="D4" s="93"/>
      <c r="E4" s="93"/>
      <c r="F4" s="93"/>
      <c r="G4" s="93"/>
      <c r="H4" s="93"/>
      <c r="I4" s="93"/>
      <c r="J4" s="93"/>
      <c r="K4" s="93"/>
      <c r="L4" s="93"/>
      <c r="M4" s="93"/>
      <c r="N4" s="93"/>
      <c r="O4" s="93"/>
      <c r="P4" s="93"/>
      <c r="Q4" s="93"/>
      <c r="R4" s="93"/>
      <c r="S4" s="93"/>
      <c r="T4" s="93"/>
      <c r="U4" s="93"/>
      <c r="V4" s="93"/>
      <c r="W4" s="93"/>
      <c r="X4" s="93"/>
      <c r="Y4" s="93"/>
      <c r="Z4" s="93"/>
      <c r="AA4" s="23"/>
    </row>
    <row r="5" spans="1:27" ht="15" customHeight="1" x14ac:dyDescent="0.25">
      <c r="A5" s="23"/>
      <c r="B5" s="93"/>
      <c r="C5" s="93"/>
      <c r="D5" s="93"/>
      <c r="E5" s="93"/>
      <c r="F5" s="93"/>
      <c r="G5" s="93"/>
      <c r="H5" s="93"/>
      <c r="I5" s="93"/>
      <c r="J5" s="93"/>
      <c r="K5" s="93"/>
      <c r="L5" s="93"/>
      <c r="M5" s="93"/>
      <c r="N5" s="93"/>
      <c r="O5" s="93"/>
      <c r="P5" s="93"/>
      <c r="Q5" s="93"/>
      <c r="R5" s="93"/>
      <c r="S5" s="93"/>
      <c r="T5" s="93"/>
      <c r="U5" s="93"/>
      <c r="V5" s="93"/>
      <c r="W5" s="93"/>
      <c r="X5" s="93"/>
      <c r="Y5" s="93"/>
      <c r="Z5" s="93"/>
      <c r="AA5" s="23"/>
    </row>
    <row r="6" spans="1:27" ht="15" customHeight="1" x14ac:dyDescent="0.25">
      <c r="A6" s="23"/>
      <c r="B6" s="93"/>
      <c r="C6" s="93"/>
      <c r="D6" s="93"/>
      <c r="E6" s="93"/>
      <c r="F6" s="93"/>
      <c r="G6" s="93"/>
      <c r="H6" s="93"/>
      <c r="I6" s="93"/>
      <c r="J6" s="93"/>
      <c r="K6" s="93"/>
      <c r="L6" s="93"/>
      <c r="M6" s="93"/>
      <c r="N6" s="93"/>
      <c r="O6" s="93"/>
      <c r="P6" s="93"/>
      <c r="Q6" s="93"/>
      <c r="R6" s="93"/>
      <c r="S6" s="93"/>
      <c r="T6" s="93"/>
      <c r="U6" s="93"/>
      <c r="V6" s="93"/>
      <c r="W6" s="93"/>
      <c r="X6" s="93"/>
      <c r="Y6" s="93"/>
      <c r="Z6" s="93"/>
      <c r="AA6" s="23"/>
    </row>
    <row r="7" spans="1:27" ht="15" customHeight="1" x14ac:dyDescent="0.25">
      <c r="A7" s="23"/>
      <c r="B7" s="93"/>
      <c r="C7" s="93"/>
      <c r="D7" s="93"/>
      <c r="E7" s="93"/>
      <c r="F7" s="93"/>
      <c r="G7" s="93"/>
      <c r="H7" s="93"/>
      <c r="I7" s="93"/>
      <c r="J7" s="93"/>
      <c r="K7" s="93"/>
      <c r="L7" s="93"/>
      <c r="M7" s="93"/>
      <c r="N7" s="93"/>
      <c r="O7" s="93"/>
      <c r="P7" s="93"/>
      <c r="Q7" s="93"/>
      <c r="R7" s="93"/>
      <c r="S7" s="93"/>
      <c r="T7" s="93"/>
      <c r="U7" s="93"/>
      <c r="V7" s="93"/>
      <c r="W7" s="93"/>
      <c r="X7" s="93"/>
      <c r="Y7" s="93"/>
      <c r="Z7" s="93"/>
      <c r="AA7" s="23"/>
    </row>
    <row r="8" spans="1:27" x14ac:dyDescent="0.25">
      <c r="A8" s="23"/>
      <c r="B8" s="93"/>
      <c r="C8" s="93"/>
      <c r="D8" s="93"/>
      <c r="E8" s="93"/>
      <c r="F8" s="93"/>
      <c r="G8" s="93"/>
      <c r="H8" s="93"/>
      <c r="I8" s="93"/>
      <c r="J8" s="93"/>
      <c r="K8" s="93"/>
      <c r="L8" s="93"/>
      <c r="M8" s="93"/>
      <c r="N8" s="93"/>
      <c r="O8" s="93"/>
      <c r="P8" s="93"/>
      <c r="Q8" s="93"/>
      <c r="R8" s="93"/>
      <c r="S8" s="93"/>
      <c r="T8" s="93"/>
      <c r="U8" s="93"/>
      <c r="V8" s="93"/>
      <c r="W8" s="93"/>
      <c r="X8" s="93"/>
      <c r="Y8" s="93"/>
      <c r="Z8" s="93"/>
      <c r="AA8" s="23"/>
    </row>
    <row r="9" spans="1:27" ht="15" customHeight="1" x14ac:dyDescent="0.25">
      <c r="A9" s="23"/>
      <c r="B9" s="23"/>
      <c r="C9" s="23"/>
      <c r="D9" s="23"/>
      <c r="E9" s="23"/>
      <c r="F9" s="23"/>
      <c r="G9" s="24"/>
      <c r="H9" s="24"/>
      <c r="I9" s="24"/>
      <c r="J9" s="24"/>
      <c r="K9" s="24"/>
      <c r="L9" s="24"/>
      <c r="M9" s="24"/>
      <c r="N9" s="24"/>
      <c r="O9" s="24"/>
      <c r="P9" s="24"/>
      <c r="Q9" s="24"/>
      <c r="R9" s="24"/>
      <c r="S9" s="24"/>
      <c r="T9" s="23"/>
      <c r="U9" s="23"/>
      <c r="V9" s="23"/>
      <c r="W9" s="23"/>
      <c r="X9" s="23"/>
      <c r="Y9" s="23"/>
      <c r="Z9" s="23"/>
      <c r="AA9" s="23"/>
    </row>
    <row r="10" spans="1:27" ht="15" customHeight="1" x14ac:dyDescent="0.25">
      <c r="A10" s="23"/>
      <c r="B10" s="23"/>
      <c r="C10" s="23"/>
      <c r="D10" s="23"/>
      <c r="E10" s="23"/>
      <c r="F10" s="23"/>
      <c r="G10" s="24"/>
      <c r="H10" s="24"/>
      <c r="I10" s="24"/>
      <c r="J10" s="24"/>
      <c r="K10" s="24"/>
      <c r="L10" s="24"/>
      <c r="M10" s="24"/>
      <c r="N10" s="24"/>
      <c r="O10" s="24"/>
      <c r="P10" s="24"/>
      <c r="Q10" s="24"/>
      <c r="R10" s="24"/>
      <c r="S10" s="24"/>
      <c r="T10" s="23"/>
      <c r="U10" s="23"/>
      <c r="V10" s="23"/>
      <c r="W10" s="23"/>
      <c r="X10" s="23"/>
      <c r="Y10" s="23"/>
      <c r="Z10" s="23"/>
      <c r="AA10" s="23"/>
    </row>
    <row r="11" spans="1:27" x14ac:dyDescent="0.25">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row>
    <row r="12" spans="1:27" x14ac:dyDescent="0.25">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row>
    <row r="13" spans="1:27"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row>
    <row r="14" spans="1:27" ht="16.5" customHeight="1" x14ac:dyDescent="0.9">
      <c r="A14" s="23"/>
      <c r="B14" s="23"/>
      <c r="C14" s="23"/>
      <c r="D14" s="23"/>
      <c r="E14" s="23"/>
      <c r="F14" s="23"/>
      <c r="G14" s="23"/>
      <c r="H14" s="25"/>
      <c r="I14" s="25"/>
      <c r="J14" s="25"/>
      <c r="K14" s="25"/>
      <c r="L14" s="25"/>
      <c r="M14" s="25"/>
      <c r="N14" s="25"/>
      <c r="O14" s="25"/>
      <c r="P14" s="25"/>
      <c r="Q14" s="25"/>
      <c r="R14" s="25"/>
      <c r="S14" s="23"/>
      <c r="T14" s="23"/>
      <c r="U14" s="23"/>
      <c r="V14" s="23"/>
      <c r="W14" s="23"/>
      <c r="X14" s="23"/>
      <c r="Y14" s="23"/>
      <c r="Z14" s="23"/>
      <c r="AA14" s="23"/>
    </row>
    <row r="15" spans="1:27" ht="61.5" x14ac:dyDescent="0.9">
      <c r="A15" s="23"/>
      <c r="B15" s="94" t="s">
        <v>86</v>
      </c>
      <c r="C15" s="94"/>
      <c r="D15" s="94"/>
      <c r="E15" s="94"/>
      <c r="F15" s="94"/>
      <c r="G15" s="94"/>
      <c r="H15" s="94"/>
      <c r="I15" s="94"/>
      <c r="J15" s="94"/>
      <c r="K15" s="94"/>
      <c r="L15" s="94"/>
      <c r="M15" s="94"/>
      <c r="N15" s="94"/>
      <c r="O15" s="94"/>
      <c r="P15" s="94"/>
      <c r="Q15" s="94"/>
      <c r="R15" s="94"/>
      <c r="S15" s="94"/>
      <c r="T15" s="94"/>
      <c r="U15" s="94"/>
      <c r="V15" s="94"/>
      <c r="W15" s="94"/>
      <c r="X15" s="94"/>
      <c r="Y15" s="94"/>
      <c r="Z15" s="94"/>
      <c r="AA15" s="23"/>
    </row>
    <row r="16" spans="1:27" x14ac:dyDescent="0.25">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row>
    <row r="17" spans="1:27" x14ac:dyDescent="0.25">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row>
    <row r="18" spans="1:27"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row>
    <row r="19" spans="1:27"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row>
    <row r="20" spans="1:27" x14ac:dyDescent="0.25">
      <c r="A20" s="23"/>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3"/>
    </row>
    <row r="21" spans="1:27"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row>
    <row r="22" spans="1:27"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row>
    <row r="23" spans="1:27"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row>
    <row r="24" spans="1:27" ht="31.5" x14ac:dyDescent="0.5">
      <c r="A24" s="23"/>
      <c r="B24" s="23"/>
      <c r="C24" s="23"/>
      <c r="D24" s="23"/>
      <c r="E24" s="23"/>
      <c r="F24" s="23"/>
      <c r="G24" s="23"/>
      <c r="H24" s="23"/>
      <c r="I24" s="23"/>
      <c r="J24" s="23"/>
      <c r="K24" s="29" t="s">
        <v>0</v>
      </c>
      <c r="L24" s="23"/>
      <c r="M24" s="48">
        <f>'PIVOT TABLES'!B1</f>
        <v>45382.442766203705</v>
      </c>
      <c r="N24" s="23"/>
      <c r="O24" s="23"/>
      <c r="P24" s="23"/>
      <c r="Q24" s="23"/>
      <c r="R24" s="23"/>
      <c r="S24" s="23"/>
      <c r="T24" s="23"/>
      <c r="U24" s="23"/>
      <c r="V24" s="23"/>
      <c r="W24" s="23"/>
      <c r="X24" s="23"/>
      <c r="Y24" s="23"/>
      <c r="Z24" s="23"/>
      <c r="AA24" s="23"/>
    </row>
    <row r="25" spans="1:27"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row>
    <row r="26" spans="1:27"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row>
    <row r="27" spans="1:27" ht="31.5" customHeight="1" x14ac:dyDescent="0.25">
      <c r="A27" s="23"/>
      <c r="B27" s="95" t="s">
        <v>110</v>
      </c>
      <c r="C27" s="95"/>
      <c r="D27" s="95"/>
      <c r="E27" s="95"/>
      <c r="F27" s="95"/>
      <c r="G27" s="95"/>
      <c r="H27" s="95"/>
      <c r="I27" s="95"/>
      <c r="J27" s="95"/>
      <c r="K27" s="95"/>
      <c r="L27" s="95"/>
      <c r="M27" s="95"/>
      <c r="N27" s="95"/>
      <c r="O27" s="95"/>
      <c r="P27" s="95"/>
      <c r="Q27" s="95"/>
      <c r="R27" s="95"/>
      <c r="S27" s="95"/>
      <c r="T27" s="95"/>
      <c r="U27" s="95"/>
      <c r="V27" s="95"/>
      <c r="W27" s="95"/>
      <c r="X27" s="95"/>
      <c r="Y27" s="95"/>
      <c r="Z27" s="95"/>
      <c r="AA27" s="23"/>
    </row>
    <row r="28" spans="1:27" ht="21" customHeight="1" x14ac:dyDescent="0.25">
      <c r="A28" s="23"/>
      <c r="B28" s="95"/>
      <c r="C28" s="95"/>
      <c r="D28" s="95"/>
      <c r="E28" s="95"/>
      <c r="F28" s="95"/>
      <c r="G28" s="95"/>
      <c r="H28" s="95"/>
      <c r="I28" s="95"/>
      <c r="J28" s="95"/>
      <c r="K28" s="95"/>
      <c r="L28" s="95"/>
      <c r="M28" s="95"/>
      <c r="N28" s="95"/>
      <c r="O28" s="95"/>
      <c r="P28" s="95"/>
      <c r="Q28" s="95"/>
      <c r="R28" s="95"/>
      <c r="S28" s="95"/>
      <c r="T28" s="95"/>
      <c r="U28" s="95"/>
      <c r="V28" s="95"/>
      <c r="W28" s="95"/>
      <c r="X28" s="95"/>
      <c r="Y28" s="95"/>
      <c r="Z28" s="95"/>
      <c r="AA28" s="23"/>
    </row>
    <row r="29" spans="1:27" ht="15" customHeight="1" x14ac:dyDescent="0.25">
      <c r="A29" s="23"/>
      <c r="B29" s="95"/>
      <c r="C29" s="95"/>
      <c r="D29" s="95"/>
      <c r="E29" s="95"/>
      <c r="F29" s="95"/>
      <c r="G29" s="95"/>
      <c r="H29" s="95"/>
      <c r="I29" s="95"/>
      <c r="J29" s="95"/>
      <c r="K29" s="95"/>
      <c r="L29" s="95"/>
      <c r="M29" s="95"/>
      <c r="N29" s="95"/>
      <c r="O29" s="95"/>
      <c r="P29" s="95"/>
      <c r="Q29" s="95"/>
      <c r="R29" s="95"/>
      <c r="S29" s="95"/>
      <c r="T29" s="95"/>
      <c r="U29" s="95"/>
      <c r="V29" s="95"/>
      <c r="W29" s="95"/>
      <c r="X29" s="95"/>
      <c r="Y29" s="95"/>
      <c r="Z29" s="95"/>
      <c r="AA29" s="23"/>
    </row>
    <row r="30" spans="1:27" ht="15" customHeight="1" x14ac:dyDescent="0.25">
      <c r="A30" s="23"/>
      <c r="B30" s="95"/>
      <c r="C30" s="95"/>
      <c r="D30" s="95"/>
      <c r="E30" s="95"/>
      <c r="F30" s="95"/>
      <c r="G30" s="95"/>
      <c r="H30" s="95"/>
      <c r="I30" s="95"/>
      <c r="J30" s="95"/>
      <c r="K30" s="95"/>
      <c r="L30" s="95"/>
      <c r="M30" s="95"/>
      <c r="N30" s="95"/>
      <c r="O30" s="95"/>
      <c r="P30" s="95"/>
      <c r="Q30" s="95"/>
      <c r="R30" s="95"/>
      <c r="S30" s="95"/>
      <c r="T30" s="95"/>
      <c r="U30" s="95"/>
      <c r="V30" s="95"/>
      <c r="W30" s="95"/>
      <c r="X30" s="95"/>
      <c r="Y30" s="95"/>
      <c r="Z30" s="95"/>
      <c r="AA30" s="23"/>
    </row>
    <row r="31" spans="1:27" ht="15" customHeight="1" x14ac:dyDescent="0.25">
      <c r="A31" s="23"/>
      <c r="B31" s="95"/>
      <c r="C31" s="95"/>
      <c r="D31" s="95"/>
      <c r="E31" s="95"/>
      <c r="F31" s="95"/>
      <c r="G31" s="95"/>
      <c r="H31" s="95"/>
      <c r="I31" s="95"/>
      <c r="J31" s="95"/>
      <c r="K31" s="95"/>
      <c r="L31" s="95"/>
      <c r="M31" s="95"/>
      <c r="N31" s="95"/>
      <c r="O31" s="95"/>
      <c r="P31" s="95"/>
      <c r="Q31" s="95"/>
      <c r="R31" s="95"/>
      <c r="S31" s="95"/>
      <c r="T31" s="95"/>
      <c r="U31" s="95"/>
      <c r="V31" s="95"/>
      <c r="W31" s="95"/>
      <c r="X31" s="95"/>
      <c r="Y31" s="95"/>
      <c r="Z31" s="95"/>
      <c r="AA31" s="23"/>
    </row>
    <row r="32" spans="1:27" ht="15" customHeight="1" x14ac:dyDescent="0.25">
      <c r="A32" s="23"/>
      <c r="B32" s="95"/>
      <c r="C32" s="95"/>
      <c r="D32" s="95"/>
      <c r="E32" s="95"/>
      <c r="F32" s="95"/>
      <c r="G32" s="95"/>
      <c r="H32" s="95"/>
      <c r="I32" s="95"/>
      <c r="J32" s="95"/>
      <c r="K32" s="95"/>
      <c r="L32" s="95"/>
      <c r="M32" s="95"/>
      <c r="N32" s="95"/>
      <c r="O32" s="95"/>
      <c r="P32" s="95"/>
      <c r="Q32" s="95"/>
      <c r="R32" s="95"/>
      <c r="S32" s="95"/>
      <c r="T32" s="95"/>
      <c r="U32" s="95"/>
      <c r="V32" s="95"/>
      <c r="W32" s="95"/>
      <c r="X32" s="95"/>
      <c r="Y32" s="95"/>
      <c r="Z32" s="95"/>
      <c r="AA32" s="23"/>
    </row>
    <row r="33" spans="1:27" ht="15" customHeight="1" x14ac:dyDescent="0.25">
      <c r="A33" s="23"/>
      <c r="B33" s="95"/>
      <c r="C33" s="95"/>
      <c r="D33" s="95"/>
      <c r="E33" s="95"/>
      <c r="F33" s="95"/>
      <c r="G33" s="95"/>
      <c r="H33" s="95"/>
      <c r="I33" s="95"/>
      <c r="J33" s="95"/>
      <c r="K33" s="95"/>
      <c r="L33" s="95"/>
      <c r="M33" s="95"/>
      <c r="N33" s="95"/>
      <c r="O33" s="95"/>
      <c r="P33" s="95"/>
      <c r="Q33" s="95"/>
      <c r="R33" s="95"/>
      <c r="S33" s="95"/>
      <c r="T33" s="95"/>
      <c r="U33" s="95"/>
      <c r="V33" s="95"/>
      <c r="W33" s="95"/>
      <c r="X33" s="95"/>
      <c r="Y33" s="95"/>
      <c r="Z33" s="95"/>
      <c r="AA33" s="23"/>
    </row>
    <row r="34" spans="1:27" ht="15" customHeight="1" x14ac:dyDescent="0.25">
      <c r="A34" s="23"/>
      <c r="B34" s="95"/>
      <c r="C34" s="95"/>
      <c r="D34" s="95"/>
      <c r="E34" s="95"/>
      <c r="F34" s="95"/>
      <c r="G34" s="95"/>
      <c r="H34" s="95"/>
      <c r="I34" s="95"/>
      <c r="J34" s="95"/>
      <c r="K34" s="95"/>
      <c r="L34" s="95"/>
      <c r="M34" s="95"/>
      <c r="N34" s="95"/>
      <c r="O34" s="95"/>
      <c r="P34" s="95"/>
      <c r="Q34" s="95"/>
      <c r="R34" s="95"/>
      <c r="S34" s="95"/>
      <c r="T34" s="95"/>
      <c r="U34" s="95"/>
      <c r="V34" s="95"/>
      <c r="W34" s="95"/>
      <c r="X34" s="95"/>
      <c r="Y34" s="95"/>
      <c r="Z34" s="95"/>
      <c r="AA34" s="23"/>
    </row>
    <row r="35" spans="1:27"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row>
    <row r="36" spans="1:27"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row>
    <row r="37" spans="1:27"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row>
  </sheetData>
  <mergeCells count="3">
    <mergeCell ref="B4:Z8"/>
    <mergeCell ref="B15:Z15"/>
    <mergeCell ref="B27:Z34"/>
  </mergeCells>
  <printOptions horizontalCentered="1" verticalCentered="1"/>
  <pageMargins left="0.23622047244094491" right="0.23622047244094491" top="0.74803149606299213" bottom="0.74803149606299213" header="0.31496062992125984" footer="0.31496062992125984"/>
  <pageSetup paperSize="5" scale="60" orientation="landscape" horizontalDpi="1200" verticalDpi="1200" r:id="rId1"/>
  <headerFooter>
    <oddFooter>&amp;CAMATUKS 2023/2024</oddFooter>
  </headerFooter>
  <colBreaks count="1" manualBreakCount="1">
    <brk id="27" max="36"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4:Z30"/>
  <sheetViews>
    <sheetView showGridLines="0" view="pageBreakPreview" topLeftCell="A4" zoomScale="80" zoomScaleNormal="80" zoomScaleSheetLayoutView="80" workbookViewId="0">
      <selection activeCell="AC20" sqref="AC20"/>
    </sheetView>
  </sheetViews>
  <sheetFormatPr defaultRowHeight="15" x14ac:dyDescent="0.25"/>
  <cols>
    <col min="1" max="2" width="9.140625" style="6"/>
    <col min="3" max="3" width="20.42578125" style="6" bestFit="1" customWidth="1"/>
    <col min="4" max="5" width="9.140625" style="6"/>
    <col min="6" max="6" width="10.140625" style="6" customWidth="1"/>
    <col min="7" max="16384" width="9.140625" style="6"/>
  </cols>
  <sheetData>
    <row r="4" spans="2:26" ht="15" customHeight="1" x14ac:dyDescent="0.25">
      <c r="B4" s="96" t="s">
        <v>46</v>
      </c>
      <c r="C4" s="96"/>
      <c r="D4" s="96"/>
      <c r="E4" s="96"/>
      <c r="F4" s="96"/>
      <c r="G4" s="96"/>
      <c r="H4" s="96"/>
      <c r="I4" s="96"/>
      <c r="J4" s="96"/>
      <c r="K4" s="96"/>
      <c r="L4" s="96"/>
      <c r="M4" s="96"/>
      <c r="N4" s="96"/>
      <c r="O4" s="96"/>
      <c r="P4" s="96"/>
      <c r="Q4" s="96"/>
      <c r="R4" s="96"/>
      <c r="S4" s="96"/>
      <c r="T4" s="96"/>
      <c r="U4" s="96"/>
      <c r="V4" s="96"/>
      <c r="W4" s="96"/>
      <c r="X4" s="96"/>
      <c r="Y4" s="96"/>
      <c r="Z4" s="96"/>
    </row>
    <row r="5" spans="2:26" ht="15" customHeight="1" x14ac:dyDescent="0.25">
      <c r="B5" s="96"/>
      <c r="C5" s="96"/>
      <c r="D5" s="96"/>
      <c r="E5" s="96"/>
      <c r="F5" s="96"/>
      <c r="G5" s="96"/>
      <c r="H5" s="96"/>
      <c r="I5" s="96"/>
      <c r="J5" s="96"/>
      <c r="K5" s="96"/>
      <c r="L5" s="96"/>
      <c r="M5" s="96"/>
      <c r="N5" s="96"/>
      <c r="O5" s="96"/>
      <c r="P5" s="96"/>
      <c r="Q5" s="96"/>
      <c r="R5" s="96"/>
      <c r="S5" s="96"/>
      <c r="T5" s="96"/>
      <c r="U5" s="96"/>
      <c r="V5" s="96"/>
      <c r="W5" s="96"/>
      <c r="X5" s="96"/>
      <c r="Y5" s="96"/>
      <c r="Z5" s="96"/>
    </row>
    <row r="6" spans="2:26" ht="15" customHeight="1" x14ac:dyDescent="0.25">
      <c r="B6" s="96"/>
      <c r="C6" s="96"/>
      <c r="D6" s="96"/>
      <c r="E6" s="96"/>
      <c r="F6" s="96"/>
      <c r="G6" s="96"/>
      <c r="H6" s="96"/>
      <c r="I6" s="96"/>
      <c r="J6" s="96"/>
      <c r="K6" s="96"/>
      <c r="L6" s="96"/>
      <c r="M6" s="96"/>
      <c r="N6" s="96"/>
      <c r="O6" s="96"/>
      <c r="P6" s="96"/>
      <c r="Q6" s="96"/>
      <c r="R6" s="96"/>
      <c r="S6" s="96"/>
      <c r="T6" s="96"/>
      <c r="U6" s="96"/>
      <c r="V6" s="96"/>
      <c r="W6" s="96"/>
      <c r="X6" s="96"/>
      <c r="Y6" s="96"/>
      <c r="Z6" s="96"/>
    </row>
    <row r="7" spans="2:26" ht="15" customHeight="1" x14ac:dyDescent="0.25">
      <c r="B7" s="96"/>
      <c r="C7" s="96"/>
      <c r="D7" s="96"/>
      <c r="E7" s="96"/>
      <c r="F7" s="96"/>
      <c r="G7" s="96"/>
      <c r="H7" s="96"/>
      <c r="I7" s="96"/>
      <c r="J7" s="96"/>
      <c r="K7" s="96"/>
      <c r="L7" s="96"/>
      <c r="M7" s="96"/>
      <c r="N7" s="96"/>
      <c r="O7" s="96"/>
      <c r="P7" s="96"/>
      <c r="Q7" s="96"/>
      <c r="R7" s="96"/>
      <c r="S7" s="96"/>
      <c r="T7" s="96"/>
      <c r="U7" s="96"/>
      <c r="V7" s="96"/>
      <c r="W7" s="96"/>
      <c r="X7" s="96"/>
      <c r="Y7" s="96"/>
      <c r="Z7" s="96"/>
    </row>
    <row r="8" spans="2:26" x14ac:dyDescent="0.25">
      <c r="B8" s="96"/>
      <c r="C8" s="96"/>
      <c r="D8" s="96"/>
      <c r="E8" s="96"/>
      <c r="F8" s="96"/>
      <c r="G8" s="96"/>
      <c r="H8" s="96"/>
      <c r="I8" s="96"/>
      <c r="J8" s="96"/>
      <c r="K8" s="96"/>
      <c r="L8" s="96"/>
      <c r="M8" s="96"/>
      <c r="N8" s="96"/>
      <c r="O8" s="96"/>
      <c r="P8" s="96"/>
      <c r="Q8" s="96"/>
      <c r="R8" s="96"/>
      <c r="S8" s="96"/>
      <c r="T8" s="96"/>
      <c r="U8" s="96"/>
      <c r="V8" s="96"/>
      <c r="W8" s="96"/>
      <c r="X8" s="96"/>
      <c r="Y8" s="96"/>
      <c r="Z8" s="96"/>
    </row>
    <row r="9" spans="2:26" x14ac:dyDescent="0.25">
      <c r="G9" s="97" t="s">
        <v>79</v>
      </c>
      <c r="H9" s="97"/>
      <c r="I9" s="97"/>
      <c r="J9" s="97"/>
      <c r="K9" s="97"/>
      <c r="L9" s="97"/>
      <c r="M9" s="97"/>
      <c r="N9" s="97"/>
      <c r="O9" s="97"/>
      <c r="P9" s="97"/>
      <c r="Q9" s="97"/>
      <c r="R9" s="97"/>
      <c r="S9" s="97"/>
    </row>
    <row r="10" spans="2:26" x14ac:dyDescent="0.25">
      <c r="G10" s="97"/>
      <c r="H10" s="97"/>
      <c r="I10" s="97"/>
      <c r="J10" s="97"/>
      <c r="K10" s="97"/>
      <c r="L10" s="97"/>
      <c r="M10" s="97"/>
      <c r="N10" s="97"/>
      <c r="O10" s="97"/>
      <c r="P10" s="97"/>
      <c r="Q10" s="97"/>
      <c r="R10" s="97"/>
      <c r="S10" s="97"/>
    </row>
    <row r="11" spans="2:26" x14ac:dyDescent="0.25">
      <c r="G11" s="97"/>
      <c r="H11" s="97"/>
      <c r="I11" s="97"/>
      <c r="J11" s="97"/>
      <c r="K11" s="97"/>
      <c r="L11" s="97"/>
      <c r="M11" s="97"/>
      <c r="N11" s="97"/>
      <c r="O11" s="97"/>
      <c r="P11" s="97"/>
      <c r="Q11" s="97"/>
      <c r="R11" s="97"/>
      <c r="S11" s="97"/>
    </row>
    <row r="12" spans="2:26" x14ac:dyDescent="0.25">
      <c r="G12" s="97"/>
      <c r="H12" s="97"/>
      <c r="I12" s="97"/>
      <c r="J12" s="97"/>
      <c r="K12" s="97"/>
      <c r="L12" s="97"/>
      <c r="M12" s="97"/>
      <c r="N12" s="97"/>
      <c r="O12" s="97"/>
      <c r="P12" s="97"/>
      <c r="Q12" s="97"/>
      <c r="R12" s="97"/>
      <c r="S12" s="97"/>
      <c r="U12"/>
    </row>
    <row r="26" spans="2:13" x14ac:dyDescent="0.25">
      <c r="M26" s="6" t="s">
        <v>196</v>
      </c>
    </row>
    <row r="28" spans="2:13" ht="15.75" x14ac:dyDescent="0.25">
      <c r="K28" s="26" t="s">
        <v>0</v>
      </c>
      <c r="M28" s="27" t="s">
        <v>88</v>
      </c>
    </row>
    <row r="29" spans="2:13" x14ac:dyDescent="0.25">
      <c r="B29" s="30"/>
    </row>
    <row r="30" spans="2:13" ht="21" x14ac:dyDescent="0.35">
      <c r="K30" s="28" t="s">
        <v>87</v>
      </c>
    </row>
  </sheetData>
  <mergeCells count="2">
    <mergeCell ref="B4:Z8"/>
    <mergeCell ref="G9:S12"/>
  </mergeCells>
  <printOptions horizontalCentered="1" verticalCentered="1"/>
  <pageMargins left="0.23622047244094491" right="0.23622047244094491" top="0.74803149606299213" bottom="0.74803149606299213" header="0.31496062992125984" footer="0.31496062992125984"/>
  <pageSetup paperSize="5" scale="66" orientation="landscape" r:id="rId1"/>
  <headerFooter>
    <oddFooter>&amp;CAMATUKS 2023/2024</oddFooter>
  </headerFooter>
  <rowBreaks count="1" manualBreakCount="1">
    <brk id="41" max="26"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Z30"/>
  <sheetViews>
    <sheetView showGridLines="0" view="pageBreakPreview" topLeftCell="A7" zoomScale="80" zoomScaleNormal="80" zoomScaleSheetLayoutView="80" workbookViewId="0">
      <selection activeCell="AC20" sqref="AC20"/>
    </sheetView>
  </sheetViews>
  <sheetFormatPr defaultRowHeight="15" x14ac:dyDescent="0.25"/>
  <cols>
    <col min="1" max="2" width="9.140625" style="6"/>
    <col min="3" max="3" width="20.42578125" style="6" bestFit="1" customWidth="1"/>
    <col min="4" max="5" width="9.140625" style="6"/>
    <col min="6" max="6" width="10.140625" style="6" customWidth="1"/>
    <col min="7" max="16384" width="9.140625" style="6"/>
  </cols>
  <sheetData>
    <row r="4" spans="2:26" ht="15" customHeight="1" x14ac:dyDescent="0.25">
      <c r="B4" s="96" t="s">
        <v>46</v>
      </c>
      <c r="C4" s="96"/>
      <c r="D4" s="96"/>
      <c r="E4" s="96"/>
      <c r="F4" s="96"/>
      <c r="G4" s="96"/>
      <c r="H4" s="96"/>
      <c r="I4" s="96"/>
      <c r="J4" s="96"/>
      <c r="K4" s="96"/>
      <c r="L4" s="96"/>
      <c r="M4" s="96"/>
      <c r="N4" s="96"/>
      <c r="O4" s="96"/>
      <c r="P4" s="96"/>
      <c r="Q4" s="96"/>
      <c r="R4" s="96"/>
      <c r="S4" s="96"/>
      <c r="T4" s="96"/>
      <c r="U4" s="96"/>
      <c r="V4" s="96"/>
      <c r="W4" s="96"/>
      <c r="X4" s="96"/>
      <c r="Y4" s="96"/>
      <c r="Z4" s="96"/>
    </row>
    <row r="5" spans="2:26" ht="15" customHeight="1" x14ac:dyDescent="0.25">
      <c r="B5" s="96"/>
      <c r="C5" s="96"/>
      <c r="D5" s="96"/>
      <c r="E5" s="96"/>
      <c r="F5" s="96"/>
      <c r="G5" s="96"/>
      <c r="H5" s="96"/>
      <c r="I5" s="96"/>
      <c r="J5" s="96"/>
      <c r="K5" s="96"/>
      <c r="L5" s="96"/>
      <c r="M5" s="96"/>
      <c r="N5" s="96"/>
      <c r="O5" s="96"/>
      <c r="P5" s="96"/>
      <c r="Q5" s="96"/>
      <c r="R5" s="96"/>
      <c r="S5" s="96"/>
      <c r="T5" s="96"/>
      <c r="U5" s="96"/>
      <c r="V5" s="96"/>
      <c r="W5" s="96"/>
      <c r="X5" s="96"/>
      <c r="Y5" s="96"/>
      <c r="Z5" s="96"/>
    </row>
    <row r="6" spans="2:26" ht="15" customHeight="1" x14ac:dyDescent="0.25">
      <c r="B6" s="96"/>
      <c r="C6" s="96"/>
      <c r="D6" s="96"/>
      <c r="E6" s="96"/>
      <c r="F6" s="96"/>
      <c r="G6" s="96"/>
      <c r="H6" s="96"/>
      <c r="I6" s="96"/>
      <c r="J6" s="96"/>
      <c r="K6" s="96"/>
      <c r="L6" s="96"/>
      <c r="M6" s="96"/>
      <c r="N6" s="96"/>
      <c r="O6" s="96"/>
      <c r="P6" s="96"/>
      <c r="Q6" s="96"/>
      <c r="R6" s="96"/>
      <c r="S6" s="96"/>
      <c r="T6" s="96"/>
      <c r="U6" s="96"/>
      <c r="V6" s="96"/>
      <c r="W6" s="96"/>
      <c r="X6" s="96"/>
      <c r="Y6" s="96"/>
      <c r="Z6" s="96"/>
    </row>
    <row r="7" spans="2:26" ht="15" customHeight="1" x14ac:dyDescent="0.25">
      <c r="B7" s="96"/>
      <c r="C7" s="96"/>
      <c r="D7" s="96"/>
      <c r="E7" s="96"/>
      <c r="F7" s="96"/>
      <c r="G7" s="96"/>
      <c r="H7" s="96"/>
      <c r="I7" s="96"/>
      <c r="J7" s="96"/>
      <c r="K7" s="96"/>
      <c r="L7" s="96"/>
      <c r="M7" s="96"/>
      <c r="N7" s="96"/>
      <c r="O7" s="96"/>
      <c r="P7" s="96"/>
      <c r="Q7" s="96"/>
      <c r="R7" s="96"/>
      <c r="S7" s="96"/>
      <c r="T7" s="96"/>
      <c r="U7" s="96"/>
      <c r="V7" s="96"/>
      <c r="W7" s="96"/>
      <c r="X7" s="96"/>
      <c r="Y7" s="96"/>
      <c r="Z7" s="96"/>
    </row>
    <row r="8" spans="2:26" x14ac:dyDescent="0.25">
      <c r="B8" s="96"/>
      <c r="C8" s="96"/>
      <c r="D8" s="96"/>
      <c r="E8" s="96"/>
      <c r="F8" s="96"/>
      <c r="G8" s="96"/>
      <c r="H8" s="96"/>
      <c r="I8" s="96"/>
      <c r="J8" s="96"/>
      <c r="K8" s="96"/>
      <c r="L8" s="96"/>
      <c r="M8" s="96"/>
      <c r="N8" s="96"/>
      <c r="O8" s="96"/>
      <c r="P8" s="96"/>
      <c r="Q8" s="96"/>
      <c r="R8" s="96"/>
      <c r="S8" s="96"/>
      <c r="T8" s="96"/>
      <c r="U8" s="96"/>
      <c r="V8" s="96"/>
      <c r="W8" s="96"/>
      <c r="X8" s="96"/>
      <c r="Y8" s="96"/>
      <c r="Z8" s="96"/>
    </row>
    <row r="9" spans="2:26" x14ac:dyDescent="0.25">
      <c r="G9" s="97" t="s">
        <v>83</v>
      </c>
      <c r="H9" s="97"/>
      <c r="I9" s="97"/>
      <c r="J9" s="97"/>
      <c r="K9" s="97"/>
      <c r="L9" s="97"/>
      <c r="M9" s="97"/>
      <c r="N9" s="97"/>
      <c r="O9" s="97"/>
      <c r="P9" s="97"/>
      <c r="Q9" s="97"/>
      <c r="R9" s="97"/>
      <c r="S9" s="97"/>
    </row>
    <row r="10" spans="2:26" x14ac:dyDescent="0.25">
      <c r="G10" s="97"/>
      <c r="H10" s="97"/>
      <c r="I10" s="97"/>
      <c r="J10" s="97"/>
      <c r="K10" s="97"/>
      <c r="L10" s="97"/>
      <c r="M10" s="97"/>
      <c r="N10" s="97"/>
      <c r="O10" s="97"/>
      <c r="P10" s="97"/>
      <c r="Q10" s="97"/>
      <c r="R10" s="97"/>
      <c r="S10" s="97"/>
      <c r="U10"/>
    </row>
    <row r="11" spans="2:26" ht="31.5" x14ac:dyDescent="0.25">
      <c r="G11" s="46"/>
      <c r="H11" s="46"/>
      <c r="I11" s="46"/>
      <c r="J11" s="46"/>
      <c r="K11" s="46"/>
      <c r="L11" s="46"/>
      <c r="M11" s="46"/>
      <c r="N11" s="46"/>
      <c r="O11" s="46"/>
      <c r="P11" s="46"/>
      <c r="Q11" s="46"/>
      <c r="R11" s="46"/>
      <c r="S11" s="46"/>
      <c r="U11"/>
    </row>
    <row r="12" spans="2:26" ht="31.5" x14ac:dyDescent="0.25">
      <c r="G12" s="46"/>
      <c r="H12" s="46"/>
      <c r="I12" s="46"/>
      <c r="J12" s="46"/>
      <c r="K12" s="46"/>
      <c r="L12" s="46"/>
      <c r="M12" s="46"/>
      <c r="N12" s="46"/>
      <c r="O12" s="46"/>
      <c r="P12" s="46"/>
      <c r="Q12" s="46"/>
      <c r="R12" s="46"/>
      <c r="S12" s="46"/>
      <c r="U12"/>
    </row>
    <row r="26" spans="2:13" x14ac:dyDescent="0.25">
      <c r="M26" s="6" t="s">
        <v>196</v>
      </c>
    </row>
    <row r="28" spans="2:13" ht="15.75" x14ac:dyDescent="0.25">
      <c r="K28" s="26" t="s">
        <v>0</v>
      </c>
      <c r="M28" s="27" t="s">
        <v>88</v>
      </c>
    </row>
    <row r="29" spans="2:13" x14ac:dyDescent="0.25">
      <c r="B29" s="30"/>
    </row>
    <row r="30" spans="2:13" ht="21" x14ac:dyDescent="0.35">
      <c r="K30" s="28"/>
    </row>
  </sheetData>
  <mergeCells count="2">
    <mergeCell ref="B4:Z8"/>
    <mergeCell ref="G9:S10"/>
  </mergeCells>
  <printOptions horizontalCentered="1" verticalCentered="1"/>
  <pageMargins left="0.23622047244094491" right="0.23622047244094491" top="0.74803149606299213" bottom="0.74803149606299213" header="0.31496062992125984" footer="0.31496062992125984"/>
  <pageSetup paperSize="5" scale="66" orientation="landscape" r:id="rId1"/>
  <headerFooter>
    <oddFooter>&amp;CAMATUKS 2023/2024</oddFooter>
  </headerFooter>
  <rowBreaks count="1" manualBreakCount="1">
    <brk id="40" max="26"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Z30"/>
  <sheetViews>
    <sheetView showGridLines="0" view="pageBreakPreview" topLeftCell="A8" zoomScale="80" zoomScaleNormal="80" zoomScaleSheetLayoutView="80" workbookViewId="0">
      <selection activeCell="AC20" sqref="AC20"/>
    </sheetView>
  </sheetViews>
  <sheetFormatPr defaultRowHeight="15" x14ac:dyDescent="0.25"/>
  <cols>
    <col min="1" max="2" width="9.140625" style="6"/>
    <col min="3" max="3" width="20.42578125" style="6" bestFit="1" customWidth="1"/>
    <col min="4" max="5" width="9.140625" style="6"/>
    <col min="6" max="6" width="10.140625" style="6" customWidth="1"/>
    <col min="7" max="16384" width="9.140625" style="6"/>
  </cols>
  <sheetData>
    <row r="4" spans="2:26" ht="15" customHeight="1" x14ac:dyDescent="0.25">
      <c r="B4" s="96" t="s">
        <v>46</v>
      </c>
      <c r="C4" s="96"/>
      <c r="D4" s="96"/>
      <c r="E4" s="96"/>
      <c r="F4" s="96"/>
      <c r="G4" s="96"/>
      <c r="H4" s="96"/>
      <c r="I4" s="96"/>
      <c r="J4" s="96"/>
      <c r="K4" s="96"/>
      <c r="L4" s="96"/>
      <c r="M4" s="96"/>
      <c r="N4" s="96"/>
      <c r="O4" s="96"/>
      <c r="P4" s="96"/>
      <c r="Q4" s="96"/>
      <c r="R4" s="96"/>
      <c r="S4" s="96"/>
      <c r="T4" s="96"/>
      <c r="U4" s="96"/>
      <c r="V4" s="96"/>
      <c r="W4" s="96"/>
      <c r="X4" s="96"/>
      <c r="Y4" s="96"/>
      <c r="Z4" s="96"/>
    </row>
    <row r="5" spans="2:26" ht="15" customHeight="1" x14ac:dyDescent="0.25">
      <c r="B5" s="96"/>
      <c r="C5" s="96"/>
      <c r="D5" s="96"/>
      <c r="E5" s="96"/>
      <c r="F5" s="96"/>
      <c r="G5" s="96"/>
      <c r="H5" s="96"/>
      <c r="I5" s="96"/>
      <c r="J5" s="96"/>
      <c r="K5" s="96"/>
      <c r="L5" s="96"/>
      <c r="M5" s="96"/>
      <c r="N5" s="96"/>
      <c r="O5" s="96"/>
      <c r="P5" s="96"/>
      <c r="Q5" s="96"/>
      <c r="R5" s="96"/>
      <c r="S5" s="96"/>
      <c r="T5" s="96"/>
      <c r="U5" s="96"/>
      <c r="V5" s="96"/>
      <c r="W5" s="96"/>
      <c r="X5" s="96"/>
      <c r="Y5" s="96"/>
      <c r="Z5" s="96"/>
    </row>
    <row r="6" spans="2:26" ht="15" customHeight="1" x14ac:dyDescent="0.25">
      <c r="B6" s="96"/>
      <c r="C6" s="96"/>
      <c r="D6" s="96"/>
      <c r="E6" s="96"/>
      <c r="F6" s="96"/>
      <c r="G6" s="96"/>
      <c r="H6" s="96"/>
      <c r="I6" s="96"/>
      <c r="J6" s="96"/>
      <c r="K6" s="96"/>
      <c r="L6" s="96"/>
      <c r="M6" s="96"/>
      <c r="N6" s="96"/>
      <c r="O6" s="96"/>
      <c r="P6" s="96"/>
      <c r="Q6" s="96"/>
      <c r="R6" s="96"/>
      <c r="S6" s="96"/>
      <c r="T6" s="96"/>
      <c r="U6" s="96"/>
      <c r="V6" s="96"/>
      <c r="W6" s="96"/>
      <c r="X6" s="96"/>
      <c r="Y6" s="96"/>
      <c r="Z6" s="96"/>
    </row>
    <row r="7" spans="2:26" ht="15" customHeight="1" x14ac:dyDescent="0.25">
      <c r="B7" s="96"/>
      <c r="C7" s="96"/>
      <c r="D7" s="96"/>
      <c r="E7" s="96"/>
      <c r="F7" s="96"/>
      <c r="G7" s="96"/>
      <c r="H7" s="96"/>
      <c r="I7" s="96"/>
      <c r="J7" s="96"/>
      <c r="K7" s="96"/>
      <c r="L7" s="96"/>
      <c r="M7" s="96"/>
      <c r="N7" s="96"/>
      <c r="O7" s="96"/>
      <c r="P7" s="96"/>
      <c r="Q7" s="96"/>
      <c r="R7" s="96"/>
      <c r="S7" s="96"/>
      <c r="T7" s="96"/>
      <c r="U7" s="96"/>
      <c r="V7" s="96"/>
      <c r="W7" s="96"/>
      <c r="X7" s="96"/>
      <c r="Y7" s="96"/>
      <c r="Z7" s="96"/>
    </row>
    <row r="8" spans="2:26" x14ac:dyDescent="0.25">
      <c r="B8" s="96"/>
      <c r="C8" s="96"/>
      <c r="D8" s="96"/>
      <c r="E8" s="96"/>
      <c r="F8" s="96"/>
      <c r="G8" s="96"/>
      <c r="H8" s="96"/>
      <c r="I8" s="96"/>
      <c r="J8" s="96"/>
      <c r="K8" s="96"/>
      <c r="L8" s="96"/>
      <c r="M8" s="96"/>
      <c r="N8" s="96"/>
      <c r="O8" s="96"/>
      <c r="P8" s="96"/>
      <c r="Q8" s="96"/>
      <c r="R8" s="96"/>
      <c r="S8" s="96"/>
      <c r="T8" s="96"/>
      <c r="U8" s="96"/>
      <c r="V8" s="96"/>
      <c r="W8" s="96"/>
      <c r="X8" s="96"/>
      <c r="Y8" s="96"/>
      <c r="Z8" s="96"/>
    </row>
    <row r="9" spans="2:26" x14ac:dyDescent="0.25">
      <c r="G9" s="97" t="s">
        <v>85</v>
      </c>
      <c r="H9" s="97"/>
      <c r="I9" s="97"/>
      <c r="J9" s="97"/>
      <c r="K9" s="97"/>
      <c r="L9" s="97"/>
      <c r="M9" s="97"/>
      <c r="N9" s="97"/>
      <c r="O9" s="97"/>
      <c r="P9" s="97"/>
      <c r="Q9" s="97"/>
      <c r="R9" s="97"/>
      <c r="S9" s="97"/>
    </row>
    <row r="10" spans="2:26" x14ac:dyDescent="0.25">
      <c r="G10" s="97"/>
      <c r="H10" s="97"/>
      <c r="I10" s="97"/>
      <c r="J10" s="97"/>
      <c r="K10" s="97"/>
      <c r="L10" s="97"/>
      <c r="M10" s="97"/>
      <c r="N10" s="97"/>
      <c r="O10" s="97"/>
      <c r="P10" s="97"/>
      <c r="Q10" s="97"/>
      <c r="R10" s="97"/>
      <c r="S10" s="97"/>
    </row>
    <row r="11" spans="2:26" x14ac:dyDescent="0.25">
      <c r="G11" s="97"/>
      <c r="H11" s="97"/>
      <c r="I11" s="97"/>
      <c r="J11" s="97"/>
      <c r="K11" s="97"/>
      <c r="L11" s="97"/>
      <c r="M11" s="97"/>
      <c r="N11" s="97"/>
      <c r="O11" s="97"/>
      <c r="P11" s="97"/>
      <c r="Q11" s="97"/>
      <c r="R11" s="97"/>
      <c r="S11" s="97"/>
    </row>
    <row r="12" spans="2:26" x14ac:dyDescent="0.25">
      <c r="G12" s="97"/>
      <c r="H12" s="97"/>
      <c r="I12" s="97"/>
      <c r="J12" s="97"/>
      <c r="K12" s="97"/>
      <c r="L12" s="97"/>
      <c r="M12" s="97"/>
      <c r="N12" s="97"/>
      <c r="O12" s="97"/>
      <c r="P12" s="97"/>
      <c r="Q12" s="97"/>
      <c r="R12" s="97"/>
      <c r="S12" s="97"/>
      <c r="U12"/>
    </row>
    <row r="26" spans="2:13" x14ac:dyDescent="0.25">
      <c r="M26" s="6" t="s">
        <v>196</v>
      </c>
    </row>
    <row r="28" spans="2:13" ht="15.75" x14ac:dyDescent="0.25">
      <c r="K28" s="26" t="s">
        <v>0</v>
      </c>
      <c r="M28" s="27" t="s">
        <v>88</v>
      </c>
    </row>
    <row r="29" spans="2:13" x14ac:dyDescent="0.25">
      <c r="B29" s="30"/>
    </row>
    <row r="30" spans="2:13" ht="21" x14ac:dyDescent="0.35">
      <c r="K30" s="28"/>
    </row>
  </sheetData>
  <mergeCells count="2">
    <mergeCell ref="B4:Z8"/>
    <mergeCell ref="G9:S12"/>
  </mergeCells>
  <printOptions horizontalCentered="1" verticalCentered="1"/>
  <pageMargins left="0.23622047244094491" right="0.23622047244094491" top="0.74803149606299213" bottom="0.74803149606299213" header="0.31496062992125984" footer="0.31496062992125984"/>
  <pageSetup paperSize="5" scale="66" orientation="landscape" r:id="rId1"/>
  <headerFooter>
    <oddFooter>&amp;CAMATUKS 2023/2024</oddFooter>
  </headerFooter>
  <rowBreaks count="1" manualBreakCount="1">
    <brk id="41" max="26"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4:Z30"/>
  <sheetViews>
    <sheetView showGridLines="0" view="pageBreakPreview" topLeftCell="A7" zoomScale="80" zoomScaleNormal="80" zoomScaleSheetLayoutView="80" workbookViewId="0">
      <selection activeCell="AC20" sqref="AC20"/>
    </sheetView>
  </sheetViews>
  <sheetFormatPr defaultRowHeight="15" x14ac:dyDescent="0.25"/>
  <cols>
    <col min="1" max="2" width="9.140625" style="6"/>
    <col min="3" max="3" width="20.42578125" style="6" bestFit="1" customWidth="1"/>
    <col min="4" max="5" width="9.140625" style="6"/>
    <col min="6" max="6" width="10.140625" style="6" customWidth="1"/>
    <col min="7" max="16384" width="9.140625" style="6"/>
  </cols>
  <sheetData>
    <row r="4" spans="2:26" ht="15" customHeight="1" x14ac:dyDescent="0.25">
      <c r="B4" s="96" t="s">
        <v>46</v>
      </c>
      <c r="C4" s="96"/>
      <c r="D4" s="96"/>
      <c r="E4" s="96"/>
      <c r="F4" s="96"/>
      <c r="G4" s="96"/>
      <c r="H4" s="96"/>
      <c r="I4" s="96"/>
      <c r="J4" s="96"/>
      <c r="K4" s="96"/>
      <c r="L4" s="96"/>
      <c r="M4" s="96"/>
      <c r="N4" s="96"/>
      <c r="O4" s="96"/>
      <c r="P4" s="96"/>
      <c r="Q4" s="96"/>
      <c r="R4" s="96"/>
      <c r="S4" s="96"/>
      <c r="T4" s="96"/>
      <c r="U4" s="96"/>
      <c r="V4" s="96"/>
      <c r="W4" s="96"/>
      <c r="X4" s="96"/>
      <c r="Y4" s="96"/>
      <c r="Z4" s="96"/>
    </row>
    <row r="5" spans="2:26" ht="15" customHeight="1" x14ac:dyDescent="0.25">
      <c r="B5" s="96"/>
      <c r="C5" s="96"/>
      <c r="D5" s="96"/>
      <c r="E5" s="96"/>
      <c r="F5" s="96"/>
      <c r="G5" s="96"/>
      <c r="H5" s="96"/>
      <c r="I5" s="96"/>
      <c r="J5" s="96"/>
      <c r="K5" s="96"/>
      <c r="L5" s="96"/>
      <c r="M5" s="96"/>
      <c r="N5" s="96"/>
      <c r="O5" s="96"/>
      <c r="P5" s="96"/>
      <c r="Q5" s="96"/>
      <c r="R5" s="96"/>
      <c r="S5" s="96"/>
      <c r="T5" s="96"/>
      <c r="U5" s="96"/>
      <c r="V5" s="96"/>
      <c r="W5" s="96"/>
      <c r="X5" s="96"/>
      <c r="Y5" s="96"/>
      <c r="Z5" s="96"/>
    </row>
    <row r="6" spans="2:26" ht="15" customHeight="1" x14ac:dyDescent="0.25">
      <c r="B6" s="96"/>
      <c r="C6" s="96"/>
      <c r="D6" s="96"/>
      <c r="E6" s="96"/>
      <c r="F6" s="96"/>
      <c r="G6" s="96"/>
      <c r="H6" s="96"/>
      <c r="I6" s="96"/>
      <c r="J6" s="96"/>
      <c r="K6" s="96"/>
      <c r="L6" s="96"/>
      <c r="M6" s="96"/>
      <c r="N6" s="96"/>
      <c r="O6" s="96"/>
      <c r="P6" s="96"/>
      <c r="Q6" s="96"/>
      <c r="R6" s="96"/>
      <c r="S6" s="96"/>
      <c r="T6" s="96"/>
      <c r="U6" s="96"/>
      <c r="V6" s="96"/>
      <c r="W6" s="96"/>
      <c r="X6" s="96"/>
      <c r="Y6" s="96"/>
      <c r="Z6" s="96"/>
    </row>
    <row r="7" spans="2:26" ht="15" customHeight="1" x14ac:dyDescent="0.25">
      <c r="B7" s="96"/>
      <c r="C7" s="96"/>
      <c r="D7" s="96"/>
      <c r="E7" s="96"/>
      <c r="F7" s="96"/>
      <c r="G7" s="96"/>
      <c r="H7" s="96"/>
      <c r="I7" s="96"/>
      <c r="J7" s="96"/>
      <c r="K7" s="96"/>
      <c r="L7" s="96"/>
      <c r="M7" s="96"/>
      <c r="N7" s="96"/>
      <c r="O7" s="96"/>
      <c r="P7" s="96"/>
      <c r="Q7" s="96"/>
      <c r="R7" s="96"/>
      <c r="S7" s="96"/>
      <c r="T7" s="96"/>
      <c r="U7" s="96"/>
      <c r="V7" s="96"/>
      <c r="W7" s="96"/>
      <c r="X7" s="96"/>
      <c r="Y7" s="96"/>
      <c r="Z7" s="96"/>
    </row>
    <row r="8" spans="2:26" x14ac:dyDescent="0.25">
      <c r="B8" s="96"/>
      <c r="C8" s="96"/>
      <c r="D8" s="96"/>
      <c r="E8" s="96"/>
      <c r="F8" s="96"/>
      <c r="G8" s="96"/>
      <c r="H8" s="96"/>
      <c r="I8" s="96"/>
      <c r="J8" s="96"/>
      <c r="K8" s="96"/>
      <c r="L8" s="96"/>
      <c r="M8" s="96"/>
      <c r="N8" s="96"/>
      <c r="O8" s="96"/>
      <c r="P8" s="96"/>
      <c r="Q8" s="96"/>
      <c r="R8" s="96"/>
      <c r="S8" s="96"/>
      <c r="T8" s="96"/>
      <c r="U8" s="96"/>
      <c r="V8" s="96"/>
      <c r="W8" s="96"/>
      <c r="X8" s="96"/>
      <c r="Y8" s="96"/>
      <c r="Z8" s="96"/>
    </row>
    <row r="9" spans="2:26" x14ac:dyDescent="0.25">
      <c r="G9" s="97" t="s">
        <v>84</v>
      </c>
      <c r="H9" s="97"/>
      <c r="I9" s="97"/>
      <c r="J9" s="97"/>
      <c r="K9" s="97"/>
      <c r="L9" s="97"/>
      <c r="M9" s="97"/>
      <c r="N9" s="97"/>
      <c r="O9" s="97"/>
      <c r="P9" s="97"/>
      <c r="Q9" s="97"/>
      <c r="R9" s="97"/>
      <c r="S9" s="97"/>
    </row>
    <row r="10" spans="2:26" x14ac:dyDescent="0.25">
      <c r="G10" s="97"/>
      <c r="H10" s="97"/>
      <c r="I10" s="97"/>
      <c r="J10" s="97"/>
      <c r="K10" s="97"/>
      <c r="L10" s="97"/>
      <c r="M10" s="97"/>
      <c r="N10" s="97"/>
      <c r="O10" s="97"/>
      <c r="P10" s="97"/>
      <c r="Q10" s="97"/>
      <c r="R10" s="97"/>
      <c r="S10" s="97"/>
    </row>
    <row r="11" spans="2:26" x14ac:dyDescent="0.25">
      <c r="G11" s="97"/>
      <c r="H11" s="97"/>
      <c r="I11" s="97"/>
      <c r="J11" s="97"/>
      <c r="K11" s="97"/>
      <c r="L11" s="97"/>
      <c r="M11" s="97"/>
      <c r="N11" s="97"/>
      <c r="O11" s="97"/>
      <c r="P11" s="97"/>
      <c r="Q11" s="97"/>
      <c r="R11" s="97"/>
      <c r="S11" s="97"/>
    </row>
    <row r="12" spans="2:26" x14ac:dyDescent="0.25">
      <c r="G12" s="97"/>
      <c r="H12" s="97"/>
      <c r="I12" s="97"/>
      <c r="J12" s="97"/>
      <c r="K12" s="97"/>
      <c r="L12" s="97"/>
      <c r="M12" s="97"/>
      <c r="N12" s="97"/>
      <c r="O12" s="97"/>
      <c r="P12" s="97"/>
      <c r="Q12" s="97"/>
      <c r="R12" s="97"/>
      <c r="S12" s="97"/>
      <c r="U12"/>
    </row>
    <row r="26" spans="2:13" x14ac:dyDescent="0.25">
      <c r="M26" s="6" t="s">
        <v>196</v>
      </c>
    </row>
    <row r="28" spans="2:13" ht="15.75" x14ac:dyDescent="0.25">
      <c r="K28" s="26" t="s">
        <v>0</v>
      </c>
      <c r="M28" s="27" t="s">
        <v>88</v>
      </c>
    </row>
    <row r="29" spans="2:13" x14ac:dyDescent="0.25">
      <c r="B29" s="30"/>
    </row>
    <row r="30" spans="2:13" ht="21" x14ac:dyDescent="0.35">
      <c r="K30" s="28"/>
    </row>
  </sheetData>
  <mergeCells count="2">
    <mergeCell ref="B4:Z8"/>
    <mergeCell ref="G9:S12"/>
  </mergeCells>
  <printOptions horizontalCentered="1" verticalCentered="1"/>
  <pageMargins left="0.23622047244094491" right="0.23622047244094491" top="0.74803149606299213" bottom="0.74803149606299213" header="0.31496062992125984" footer="0.31496062992125984"/>
  <pageSetup paperSize="5" scale="66" orientation="landscape" r:id="rId1"/>
  <headerFooter>
    <oddFooter>&amp;CAMATUKS 2023/2024</oddFooter>
  </headerFooter>
  <rowBreaks count="1" manualBreakCount="1">
    <brk id="39" max="26"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N48"/>
  <sheetViews>
    <sheetView showGridLines="0" view="pageBreakPreview" topLeftCell="A4" zoomScale="70" zoomScaleNormal="100" zoomScaleSheetLayoutView="70" workbookViewId="0">
      <selection activeCell="AC20" sqref="AC20"/>
    </sheetView>
  </sheetViews>
  <sheetFormatPr defaultRowHeight="15" x14ac:dyDescent="0.25"/>
  <cols>
    <col min="2" max="2" width="29" customWidth="1"/>
    <col min="3" max="4" width="22.42578125" customWidth="1"/>
    <col min="5" max="5" width="21.5703125" customWidth="1"/>
    <col min="6" max="6" width="24.42578125" customWidth="1"/>
    <col min="7" max="7" width="19.140625" customWidth="1"/>
    <col min="8" max="8" width="20.5703125" customWidth="1"/>
    <col min="9" max="10" width="22.42578125" customWidth="1"/>
    <col min="11" max="11" width="21.5703125" customWidth="1"/>
    <col min="12" max="12" width="24.42578125" customWidth="1"/>
    <col min="13" max="13" width="13.28515625" customWidth="1"/>
  </cols>
  <sheetData>
    <row r="2" spans="2:14" x14ac:dyDescent="0.25">
      <c r="B2" s="100" t="s">
        <v>229</v>
      </c>
      <c r="C2" s="101"/>
      <c r="D2" s="101"/>
      <c r="E2" s="101"/>
      <c r="F2" s="101"/>
      <c r="G2" s="101"/>
      <c r="H2" s="101"/>
      <c r="I2" s="101"/>
      <c r="J2" s="101"/>
      <c r="K2" s="101"/>
      <c r="L2" s="101"/>
      <c r="M2" s="101"/>
      <c r="N2" s="101"/>
    </row>
    <row r="3" spans="2:14" x14ac:dyDescent="0.25">
      <c r="B3" s="101"/>
      <c r="C3" s="101"/>
      <c r="D3" s="101"/>
      <c r="E3" s="101"/>
      <c r="F3" s="101"/>
      <c r="G3" s="101"/>
      <c r="H3" s="101"/>
      <c r="I3" s="101"/>
      <c r="J3" s="101"/>
      <c r="K3" s="101"/>
      <c r="L3" s="101"/>
      <c r="M3" s="101"/>
      <c r="N3" s="101"/>
    </row>
    <row r="4" spans="2:14" x14ac:dyDescent="0.25">
      <c r="B4" s="101"/>
      <c r="C4" s="101"/>
      <c r="D4" s="101"/>
      <c r="E4" s="101"/>
      <c r="F4" s="101"/>
      <c r="G4" s="101"/>
      <c r="H4" s="101"/>
      <c r="I4" s="101"/>
      <c r="J4" s="101"/>
      <c r="K4" s="101"/>
      <c r="L4" s="101"/>
      <c r="M4" s="101"/>
      <c r="N4" s="101"/>
    </row>
    <row r="6" spans="2:14" x14ac:dyDescent="0.25">
      <c r="B6" s="68"/>
      <c r="C6" s="61"/>
      <c r="D6" s="61"/>
      <c r="E6" s="61"/>
      <c r="F6" s="61"/>
      <c r="G6" s="56"/>
      <c r="I6" s="69"/>
      <c r="J6" s="61"/>
      <c r="K6" s="61"/>
      <c r="L6" s="62"/>
      <c r="M6" s="62"/>
      <c r="N6" s="56"/>
    </row>
    <row r="7" spans="2:14" x14ac:dyDescent="0.25">
      <c r="B7" s="71" t="s">
        <v>202</v>
      </c>
      <c r="C7" s="70" t="s">
        <v>203</v>
      </c>
      <c r="D7" s="61"/>
      <c r="E7" s="61"/>
      <c r="F7" s="61"/>
      <c r="G7" s="56"/>
      <c r="H7" s="71" t="s">
        <v>202</v>
      </c>
      <c r="I7" s="70" t="s">
        <v>204</v>
      </c>
      <c r="J7" s="61"/>
      <c r="K7" s="61"/>
      <c r="L7" s="61"/>
      <c r="M7" s="62"/>
      <c r="N7" s="56"/>
    </row>
    <row r="8" spans="2:14" x14ac:dyDescent="0.25">
      <c r="B8" s="68"/>
      <c r="C8" s="61"/>
      <c r="D8" s="61"/>
      <c r="E8" s="61"/>
      <c r="F8" s="61"/>
      <c r="G8" s="56"/>
      <c r="H8" s="68"/>
      <c r="I8" s="61"/>
      <c r="J8" s="61"/>
      <c r="K8" s="61"/>
      <c r="L8" s="61"/>
      <c r="M8" s="62"/>
      <c r="N8" s="56"/>
    </row>
    <row r="9" spans="2:14" x14ac:dyDescent="0.25">
      <c r="B9" s="80" t="s">
        <v>250</v>
      </c>
      <c r="C9" s="81" t="s">
        <v>247</v>
      </c>
      <c r="D9" s="82" t="s">
        <v>248</v>
      </c>
      <c r="E9" s="83" t="s">
        <v>221</v>
      </c>
      <c r="F9" s="82" t="s">
        <v>249</v>
      </c>
      <c r="G9" s="56"/>
      <c r="H9" s="70" t="s">
        <v>250</v>
      </c>
      <c r="I9" s="72" t="s">
        <v>247</v>
      </c>
      <c r="J9" s="73" t="s">
        <v>248</v>
      </c>
      <c r="K9" s="74" t="s">
        <v>221</v>
      </c>
      <c r="L9" s="73" t="s">
        <v>249</v>
      </c>
      <c r="M9" s="62"/>
      <c r="N9" s="56"/>
    </row>
    <row r="10" spans="2:14" x14ac:dyDescent="0.25">
      <c r="B10" s="16" t="s">
        <v>94</v>
      </c>
      <c r="C10" s="14">
        <v>6823</v>
      </c>
      <c r="D10" s="14">
        <v>79</v>
      </c>
      <c r="E10" s="14">
        <v>14</v>
      </c>
      <c r="F10" s="14">
        <v>13</v>
      </c>
      <c r="G10" s="56"/>
      <c r="H10" s="16" t="s">
        <v>64</v>
      </c>
      <c r="I10" s="14">
        <v>8094</v>
      </c>
      <c r="J10" s="14">
        <v>107</v>
      </c>
      <c r="K10" s="14">
        <v>31</v>
      </c>
      <c r="L10" s="14">
        <v>35</v>
      </c>
      <c r="M10" s="62"/>
      <c r="N10" s="56"/>
    </row>
    <row r="11" spans="2:14" x14ac:dyDescent="0.25">
      <c r="B11" s="16" t="s">
        <v>2</v>
      </c>
      <c r="C11" s="14">
        <v>4867</v>
      </c>
      <c r="D11" s="14">
        <v>34</v>
      </c>
      <c r="E11" s="14">
        <v>17</v>
      </c>
      <c r="F11" s="14">
        <v>15</v>
      </c>
      <c r="G11" s="56"/>
      <c r="H11" s="16" t="s">
        <v>71</v>
      </c>
      <c r="I11" s="14">
        <v>7666</v>
      </c>
      <c r="J11" s="14">
        <v>5</v>
      </c>
      <c r="K11" s="14">
        <v>29</v>
      </c>
      <c r="L11" s="14">
        <v>32</v>
      </c>
      <c r="M11" s="62"/>
      <c r="N11" s="56"/>
    </row>
    <row r="12" spans="2:14" x14ac:dyDescent="0.25">
      <c r="B12" s="16" t="s">
        <v>1</v>
      </c>
      <c r="C12" s="14">
        <v>2062</v>
      </c>
      <c r="D12" s="14">
        <v>10</v>
      </c>
      <c r="E12" s="14">
        <v>1</v>
      </c>
      <c r="F12" s="14">
        <v>3</v>
      </c>
      <c r="G12" s="56"/>
      <c r="H12" s="16" t="s">
        <v>67</v>
      </c>
      <c r="I12" s="14">
        <v>7696</v>
      </c>
      <c r="J12" s="14">
        <v>135</v>
      </c>
      <c r="K12" s="14">
        <v>26</v>
      </c>
      <c r="L12" s="14">
        <v>38</v>
      </c>
      <c r="M12" s="62"/>
      <c r="N12" s="56"/>
    </row>
    <row r="13" spans="2:14" x14ac:dyDescent="0.25">
      <c r="B13" s="16" t="s">
        <v>3</v>
      </c>
      <c r="C13" s="14">
        <v>7185</v>
      </c>
      <c r="D13" s="14">
        <v>44</v>
      </c>
      <c r="E13" s="14">
        <v>35</v>
      </c>
      <c r="F13" s="14">
        <v>19</v>
      </c>
      <c r="G13" s="56"/>
      <c r="H13" s="16" t="s">
        <v>53</v>
      </c>
      <c r="I13" s="14">
        <v>7881</v>
      </c>
      <c r="J13" s="14">
        <v>96</v>
      </c>
      <c r="K13" s="14">
        <v>33</v>
      </c>
      <c r="L13" s="14">
        <v>32</v>
      </c>
      <c r="M13" s="62"/>
      <c r="N13" s="56"/>
    </row>
    <row r="14" spans="2:14" x14ac:dyDescent="0.25">
      <c r="B14" s="16" t="s">
        <v>58</v>
      </c>
      <c r="C14" s="14">
        <v>6938</v>
      </c>
      <c r="D14" s="14">
        <v>173</v>
      </c>
      <c r="E14" s="14">
        <v>20</v>
      </c>
      <c r="F14" s="14">
        <v>27</v>
      </c>
      <c r="G14" s="56"/>
      <c r="H14" s="16" t="s">
        <v>5</v>
      </c>
      <c r="I14" s="14">
        <v>3855</v>
      </c>
      <c r="J14" s="14">
        <v>37</v>
      </c>
      <c r="K14" s="14">
        <v>13</v>
      </c>
      <c r="L14" s="14">
        <v>14</v>
      </c>
      <c r="M14" s="62"/>
      <c r="N14" s="56"/>
    </row>
    <row r="15" spans="2:14" x14ac:dyDescent="0.25">
      <c r="B15" s="75" t="s">
        <v>251</v>
      </c>
      <c r="C15" s="73">
        <v>5575</v>
      </c>
      <c r="D15" s="73">
        <v>68</v>
      </c>
      <c r="E15" s="73">
        <v>17.399999999999999</v>
      </c>
      <c r="F15" s="73">
        <v>15.4</v>
      </c>
      <c r="G15" s="56"/>
      <c r="H15" s="16" t="s">
        <v>56</v>
      </c>
      <c r="I15" s="14">
        <v>8259</v>
      </c>
      <c r="J15" s="14">
        <v>155</v>
      </c>
      <c r="K15" s="14">
        <v>8</v>
      </c>
      <c r="L15" s="14">
        <v>25</v>
      </c>
    </row>
    <row r="16" spans="2:14" x14ac:dyDescent="0.25">
      <c r="G16" s="56"/>
      <c r="H16" s="16" t="s">
        <v>6</v>
      </c>
      <c r="I16" s="14">
        <v>8061</v>
      </c>
      <c r="J16" s="14">
        <v>215</v>
      </c>
      <c r="K16" s="14">
        <v>23</v>
      </c>
      <c r="L16" s="14">
        <v>44</v>
      </c>
    </row>
    <row r="17" spans="2:14" x14ac:dyDescent="0.25">
      <c r="G17" s="56"/>
      <c r="H17" s="16" t="s">
        <v>62</v>
      </c>
      <c r="I17" s="14">
        <v>6209</v>
      </c>
      <c r="J17" s="14">
        <v>26</v>
      </c>
      <c r="K17" s="14">
        <v>12</v>
      </c>
      <c r="L17" s="14">
        <v>10</v>
      </c>
    </row>
    <row r="18" spans="2:14" x14ac:dyDescent="0.25">
      <c r="E18" s="66"/>
      <c r="F18" s="66"/>
      <c r="H18" s="16" t="s">
        <v>69</v>
      </c>
      <c r="I18" s="14">
        <v>7283</v>
      </c>
      <c r="J18" s="14">
        <v>99</v>
      </c>
      <c r="K18" s="14">
        <v>25</v>
      </c>
      <c r="L18" s="14">
        <v>43</v>
      </c>
    </row>
    <row r="19" spans="2:14" x14ac:dyDescent="0.25">
      <c r="E19" s="66"/>
      <c r="F19" s="66"/>
      <c r="H19" s="75" t="s">
        <v>251</v>
      </c>
      <c r="I19" s="73">
        <v>7222.666666666667</v>
      </c>
      <c r="J19" s="73">
        <v>97.222222222222229</v>
      </c>
      <c r="K19" s="73">
        <v>22.222222222222221</v>
      </c>
      <c r="L19" s="73">
        <v>30.333333333333332</v>
      </c>
    </row>
    <row r="20" spans="2:14" x14ac:dyDescent="0.25">
      <c r="E20" s="66"/>
      <c r="F20" s="66"/>
      <c r="M20" s="57"/>
      <c r="N20" s="57"/>
    </row>
    <row r="21" spans="2:14" x14ac:dyDescent="0.25">
      <c r="E21" s="66"/>
      <c r="F21" s="66"/>
    </row>
    <row r="22" spans="2:14" x14ac:dyDescent="0.25">
      <c r="E22" s="67"/>
      <c r="F22" s="67"/>
    </row>
    <row r="23" spans="2:14" x14ac:dyDescent="0.25">
      <c r="B23" s="71" t="s">
        <v>202</v>
      </c>
      <c r="C23" s="70" t="s">
        <v>206</v>
      </c>
      <c r="D23" s="61"/>
      <c r="E23" s="61"/>
      <c r="F23" s="61"/>
      <c r="H23" s="71" t="s">
        <v>202</v>
      </c>
      <c r="I23" s="70" t="s">
        <v>205</v>
      </c>
      <c r="J23" s="61"/>
      <c r="K23" s="61"/>
      <c r="L23" s="61"/>
    </row>
    <row r="24" spans="2:14" x14ac:dyDescent="0.25">
      <c r="B24" s="68"/>
      <c r="C24" s="61"/>
      <c r="D24" s="61"/>
      <c r="E24" s="61"/>
      <c r="F24" s="61"/>
      <c r="H24" s="68"/>
      <c r="I24" s="61"/>
      <c r="J24" s="61"/>
      <c r="K24" s="61"/>
      <c r="L24" s="61"/>
    </row>
    <row r="25" spans="2:14" x14ac:dyDescent="0.25">
      <c r="B25" s="70" t="s">
        <v>250</v>
      </c>
      <c r="C25" s="72" t="s">
        <v>247</v>
      </c>
      <c r="D25" s="73" t="s">
        <v>248</v>
      </c>
      <c r="E25" s="74" t="s">
        <v>221</v>
      </c>
      <c r="F25" s="73" t="s">
        <v>249</v>
      </c>
      <c r="H25" s="70" t="s">
        <v>250</v>
      </c>
      <c r="I25" s="72" t="s">
        <v>247</v>
      </c>
      <c r="J25" s="73" t="s">
        <v>248</v>
      </c>
      <c r="K25" s="74" t="s">
        <v>221</v>
      </c>
      <c r="L25" s="73" t="s">
        <v>249</v>
      </c>
    </row>
    <row r="26" spans="2:14" x14ac:dyDescent="0.25">
      <c r="B26" s="16" t="s">
        <v>65</v>
      </c>
      <c r="C26" s="14">
        <v>7104</v>
      </c>
      <c r="D26" s="14">
        <v>156</v>
      </c>
      <c r="E26" s="14">
        <v>34</v>
      </c>
      <c r="F26" s="14">
        <v>44</v>
      </c>
      <c r="H26" s="16" t="s">
        <v>66</v>
      </c>
      <c r="I26" s="14">
        <v>4253</v>
      </c>
      <c r="J26" s="14">
        <v>0</v>
      </c>
      <c r="K26" s="14">
        <v>3</v>
      </c>
      <c r="L26" s="14">
        <v>10</v>
      </c>
    </row>
    <row r="27" spans="2:14" x14ac:dyDescent="0.25">
      <c r="B27" s="16" t="s">
        <v>70</v>
      </c>
      <c r="C27" s="14">
        <v>7709</v>
      </c>
      <c r="D27" s="14">
        <v>148</v>
      </c>
      <c r="E27" s="14">
        <v>21</v>
      </c>
      <c r="F27" s="14">
        <v>22</v>
      </c>
      <c r="H27" s="16" t="s">
        <v>54</v>
      </c>
      <c r="I27" s="14">
        <v>8094</v>
      </c>
      <c r="J27" s="14">
        <v>23</v>
      </c>
      <c r="K27" s="14">
        <v>23</v>
      </c>
      <c r="L27" s="14">
        <v>25</v>
      </c>
    </row>
    <row r="28" spans="2:14" x14ac:dyDescent="0.25">
      <c r="B28" s="16" t="s">
        <v>60</v>
      </c>
      <c r="C28" s="14">
        <v>7186</v>
      </c>
      <c r="D28" s="14">
        <v>201</v>
      </c>
      <c r="E28" s="14">
        <v>22</v>
      </c>
      <c r="F28" s="14">
        <v>23</v>
      </c>
      <c r="H28" s="16" t="s">
        <v>59</v>
      </c>
      <c r="I28" s="14">
        <v>3638</v>
      </c>
      <c r="J28" s="14">
        <v>0</v>
      </c>
      <c r="K28" s="14">
        <v>8</v>
      </c>
      <c r="L28" s="14">
        <v>9</v>
      </c>
    </row>
    <row r="29" spans="2:14" x14ac:dyDescent="0.25">
      <c r="B29" s="16" t="s">
        <v>95</v>
      </c>
      <c r="C29" s="14">
        <v>7123</v>
      </c>
      <c r="D29" s="14">
        <v>169</v>
      </c>
      <c r="E29" s="14">
        <v>22</v>
      </c>
      <c r="F29" s="14">
        <v>13</v>
      </c>
      <c r="H29" s="16" t="s">
        <v>8</v>
      </c>
      <c r="I29" s="14">
        <v>6768</v>
      </c>
      <c r="J29" s="14">
        <v>81</v>
      </c>
      <c r="K29" s="14">
        <v>22</v>
      </c>
      <c r="L29" s="14">
        <v>31</v>
      </c>
    </row>
    <row r="30" spans="2:14" x14ac:dyDescent="0.25">
      <c r="B30" s="16" t="s">
        <v>96</v>
      </c>
      <c r="C30" s="14">
        <v>7337</v>
      </c>
      <c r="D30" s="14">
        <v>130</v>
      </c>
      <c r="E30" s="14">
        <v>15</v>
      </c>
      <c r="F30" s="14">
        <v>30</v>
      </c>
      <c r="H30" s="75" t="s">
        <v>251</v>
      </c>
      <c r="I30" s="73">
        <v>5688.25</v>
      </c>
      <c r="J30" s="73">
        <v>26</v>
      </c>
      <c r="K30" s="73">
        <v>14</v>
      </c>
      <c r="L30" s="73">
        <v>18.75</v>
      </c>
    </row>
    <row r="31" spans="2:14" x14ac:dyDescent="0.25">
      <c r="B31" s="75" t="s">
        <v>251</v>
      </c>
      <c r="C31" s="73">
        <v>7291.8</v>
      </c>
      <c r="D31" s="73">
        <v>160.80000000000001</v>
      </c>
      <c r="E31" s="73">
        <v>22.8</v>
      </c>
      <c r="F31" s="73">
        <v>26.4</v>
      </c>
    </row>
    <row r="37" spans="4:9" x14ac:dyDescent="0.25">
      <c r="D37" s="76"/>
      <c r="E37" s="77" t="s">
        <v>219</v>
      </c>
      <c r="F37" s="78" t="s">
        <v>220</v>
      </c>
      <c r="G37" s="79" t="s">
        <v>221</v>
      </c>
      <c r="H37" s="79" t="s">
        <v>222</v>
      </c>
      <c r="I37" s="76"/>
    </row>
    <row r="38" spans="4:9" x14ac:dyDescent="0.25">
      <c r="D38" s="13" t="s">
        <v>11</v>
      </c>
      <c r="E38" s="58">
        <f>GETPIVOTDATA("Average of Total distance [m]",'PIVOT TABLES'!$B$36,"Position ","Defender")</f>
        <v>5575</v>
      </c>
      <c r="F38" s="58">
        <f>GETPIVOTDATA("Average of Speed zone 5 [m] (25.00- km/h)",'PIVOT TABLES'!$A$34)</f>
        <v>68</v>
      </c>
      <c r="G38" s="58">
        <f>GETPIVOTDATA("Average of Accelerations (3.00 - 50.00 m/s²)",'PIVOT TABLES'!$A$34)</f>
        <v>17.399999999999999</v>
      </c>
      <c r="H38" s="58">
        <f>GETPIVOTDATA("Average of Deaccelerations (-50.00 - -3.00 m/s²)",'PIVOT TABLES'!$A$34,"Position ","Defender")</f>
        <v>15.4</v>
      </c>
    </row>
    <row r="39" spans="4:9" x14ac:dyDescent="0.25">
      <c r="D39" s="13" t="s">
        <v>83</v>
      </c>
      <c r="E39" s="59">
        <f>GETPIVOTDATA("Average of Total distance [m]",'PIVOT TABLES'!$A$38,"Position ","Midfielder")</f>
        <v>7222.666666666667</v>
      </c>
      <c r="F39" s="59">
        <f>GETPIVOTDATA("Average of Speed zone 5 [m] (25.00- km/h)",'PIVOT TABLES'!$A$38,"Position ","Midfielder")</f>
        <v>97.222222222222229</v>
      </c>
      <c r="G39" s="59">
        <f>GETPIVOTDATA("Average of Accelerations (3.00 - 50.00 m/s²)",'PIVOT TABLES'!$A$38,"Position ","Midfielder")</f>
        <v>22.222222222222221</v>
      </c>
      <c r="H39" s="59">
        <f>GETPIVOTDATA("Average of Deaccelerations (-50.00 - -3.00 m/s²)",'PIVOT TABLES'!$A$38,"Position ","Midfielder")</f>
        <v>30.333333333333332</v>
      </c>
      <c r="I39" s="56"/>
    </row>
    <row r="40" spans="4:9" x14ac:dyDescent="0.25">
      <c r="D40" s="13" t="s">
        <v>14</v>
      </c>
      <c r="E40" s="59">
        <f>GETPIVOTDATA("Average of Total distance [m]",'PIVOT TABLES'!$A$42,"Position ","Winger")</f>
        <v>7291.8</v>
      </c>
      <c r="F40" s="59">
        <f>GETPIVOTDATA("Average of Speed zone 5 [m] (25.00- km/h)",'PIVOT TABLES'!$A$42,"Position ","Winger")</f>
        <v>160.80000000000001</v>
      </c>
      <c r="G40" s="59">
        <f>GETPIVOTDATA("Average of Accelerations (3.00 - 50.00 m/s²)",'PIVOT TABLES'!$A$42,"Position ","Winger")</f>
        <v>22.8</v>
      </c>
      <c r="H40" s="59">
        <f>GETPIVOTDATA("Average of Deaccelerations (-50.00 - -3.00 m/s²)",'PIVOT TABLES'!$A$42,"Position ","Winger")</f>
        <v>26.4</v>
      </c>
      <c r="I40" s="56"/>
    </row>
    <row r="41" spans="4:9" x14ac:dyDescent="0.25">
      <c r="D41" s="84" t="s">
        <v>13</v>
      </c>
      <c r="E41" s="60">
        <f>GETPIVOTDATA("Average of Total distance [m]",'PIVOT TABLES'!$A$46,"Position ","Striker")</f>
        <v>5688.25</v>
      </c>
      <c r="F41" s="60">
        <f>GETPIVOTDATA("Average of Speed zone 5 [m] (25.00- km/h)",'PIVOT TABLES'!$A$46,"Position ","Striker")</f>
        <v>26</v>
      </c>
      <c r="G41" s="60">
        <f>GETPIVOTDATA("Average of Accelerations (3.00 - 50.00 m/s²)",'PIVOT TABLES'!$A$46,"Position ","Striker")</f>
        <v>14</v>
      </c>
      <c r="H41" s="60">
        <f>GETPIVOTDATA("Average of Deaccelerations (-50.00 - -3.00 m/s²)",'PIVOT TABLES'!$A$46,"Position ","Striker")</f>
        <v>18.75</v>
      </c>
      <c r="I41" s="55"/>
    </row>
    <row r="42" spans="4:9" x14ac:dyDescent="0.25">
      <c r="E42" s="98" t="s">
        <v>252</v>
      </c>
      <c r="F42" s="98"/>
      <c r="G42" s="98"/>
      <c r="H42" s="98"/>
      <c r="I42" s="98"/>
    </row>
    <row r="43" spans="4:9" ht="15" customHeight="1" x14ac:dyDescent="0.25">
      <c r="E43" s="99"/>
      <c r="F43" s="99"/>
      <c r="G43" s="99"/>
      <c r="H43" s="99"/>
      <c r="I43" s="99"/>
    </row>
    <row r="44" spans="4:9" x14ac:dyDescent="0.25">
      <c r="E44" s="99"/>
      <c r="F44" s="99"/>
      <c r="G44" s="99"/>
      <c r="H44" s="99"/>
      <c r="I44" s="99"/>
    </row>
    <row r="45" spans="4:9" x14ac:dyDescent="0.25">
      <c r="E45" s="99"/>
      <c r="F45" s="99"/>
      <c r="G45" s="99"/>
      <c r="H45" s="99"/>
      <c r="I45" s="99"/>
    </row>
    <row r="46" spans="4:9" x14ac:dyDescent="0.25">
      <c r="E46" s="99"/>
      <c r="F46" s="99"/>
      <c r="G46" s="99"/>
      <c r="H46" s="99"/>
      <c r="I46" s="99"/>
    </row>
    <row r="47" spans="4:9" x14ac:dyDescent="0.25">
      <c r="E47" s="99"/>
      <c r="F47" s="99"/>
      <c r="G47" s="99"/>
      <c r="H47" s="99"/>
      <c r="I47" s="99"/>
    </row>
    <row r="48" spans="4:9" x14ac:dyDescent="0.25">
      <c r="E48" s="99"/>
      <c r="F48" s="99"/>
      <c r="G48" s="99"/>
      <c r="H48" s="99"/>
      <c r="I48" s="99"/>
    </row>
  </sheetData>
  <mergeCells count="2">
    <mergeCell ref="E42:I48"/>
    <mergeCell ref="B2:N4"/>
  </mergeCells>
  <printOptions horizontalCentered="1" verticalCentered="1"/>
  <pageMargins left="0" right="0" top="0" bottom="0" header="0" footer="0"/>
  <pageSetup paperSize="5" scale="65" orientation="landscape" r:id="rId5"/>
  <rowBreaks count="1" manualBreakCount="1">
    <brk id="48" max="15" man="1"/>
  </rowBreak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4:Z29"/>
  <sheetViews>
    <sheetView showGridLines="0" view="pageBreakPreview" topLeftCell="A7" zoomScale="70" zoomScaleNormal="80" zoomScaleSheetLayoutView="70" workbookViewId="0">
      <selection activeCell="AC20" sqref="AC20"/>
    </sheetView>
  </sheetViews>
  <sheetFormatPr defaultRowHeight="15" x14ac:dyDescent="0.25"/>
  <cols>
    <col min="1" max="2" width="9.140625" style="6"/>
    <col min="3" max="3" width="20.42578125" style="6" bestFit="1" customWidth="1"/>
    <col min="4" max="5" width="9.140625" style="6"/>
    <col min="6" max="6" width="10.140625" style="6" customWidth="1"/>
    <col min="7" max="16384" width="9.140625" style="6"/>
  </cols>
  <sheetData>
    <row r="4" spans="2:26" ht="15" customHeight="1" x14ac:dyDescent="0.25">
      <c r="B4" s="96" t="s">
        <v>46</v>
      </c>
      <c r="C4" s="96"/>
      <c r="D4" s="96"/>
      <c r="E4" s="96"/>
      <c r="F4" s="96"/>
      <c r="G4" s="96"/>
      <c r="H4" s="96"/>
      <c r="I4" s="96"/>
      <c r="J4" s="96"/>
      <c r="K4" s="96"/>
      <c r="L4" s="96"/>
      <c r="M4" s="96"/>
      <c r="N4" s="96"/>
      <c r="O4" s="96"/>
      <c r="P4" s="96"/>
      <c r="Q4" s="96"/>
      <c r="R4" s="96"/>
      <c r="S4" s="96"/>
      <c r="T4" s="96"/>
      <c r="U4" s="96"/>
      <c r="V4" s="96"/>
      <c r="W4" s="96"/>
      <c r="X4" s="96"/>
      <c r="Y4" s="96"/>
      <c r="Z4" s="96"/>
    </row>
    <row r="5" spans="2:26" ht="15" customHeight="1" x14ac:dyDescent="0.25">
      <c r="B5" s="96"/>
      <c r="C5" s="96"/>
      <c r="D5" s="96"/>
      <c r="E5" s="96"/>
      <c r="F5" s="96"/>
      <c r="G5" s="96"/>
      <c r="H5" s="96"/>
      <c r="I5" s="96"/>
      <c r="J5" s="96"/>
      <c r="K5" s="96"/>
      <c r="L5" s="96"/>
      <c r="M5" s="96"/>
      <c r="N5" s="96"/>
      <c r="O5" s="96"/>
      <c r="P5" s="96"/>
      <c r="Q5" s="96"/>
      <c r="R5" s="96"/>
      <c r="S5" s="96"/>
      <c r="T5" s="96"/>
      <c r="U5" s="96"/>
      <c r="V5" s="96"/>
      <c r="W5" s="96"/>
      <c r="X5" s="96"/>
      <c r="Y5" s="96"/>
      <c r="Z5" s="96"/>
    </row>
    <row r="6" spans="2:26" ht="15" customHeight="1" x14ac:dyDescent="0.25">
      <c r="B6" s="96"/>
      <c r="C6" s="96"/>
      <c r="D6" s="96"/>
      <c r="E6" s="96"/>
      <c r="F6" s="96"/>
      <c r="G6" s="96"/>
      <c r="H6" s="96"/>
      <c r="I6" s="96"/>
      <c r="J6" s="96"/>
      <c r="K6" s="96"/>
      <c r="L6" s="96"/>
      <c r="M6" s="96"/>
      <c r="N6" s="96"/>
      <c r="O6" s="96"/>
      <c r="P6" s="96"/>
      <c r="Q6" s="96"/>
      <c r="R6" s="96"/>
      <c r="S6" s="96"/>
      <c r="T6" s="96"/>
      <c r="U6" s="96"/>
      <c r="V6" s="96"/>
      <c r="W6" s="96"/>
      <c r="X6" s="96"/>
      <c r="Y6" s="96"/>
      <c r="Z6" s="96"/>
    </row>
    <row r="7" spans="2:26" ht="15" customHeight="1" x14ac:dyDescent="0.25">
      <c r="B7" s="96"/>
      <c r="C7" s="96"/>
      <c r="D7" s="96"/>
      <c r="E7" s="96"/>
      <c r="F7" s="96"/>
      <c r="G7" s="96"/>
      <c r="H7" s="96"/>
      <c r="I7" s="96"/>
      <c r="J7" s="96"/>
      <c r="K7" s="96"/>
      <c r="L7" s="96"/>
      <c r="M7" s="96"/>
      <c r="N7" s="96"/>
      <c r="O7" s="96"/>
      <c r="P7" s="96"/>
      <c r="Q7" s="96"/>
      <c r="R7" s="96"/>
      <c r="S7" s="96"/>
      <c r="T7" s="96"/>
      <c r="U7" s="96"/>
      <c r="V7" s="96"/>
      <c r="W7" s="96"/>
      <c r="X7" s="96"/>
      <c r="Y7" s="96"/>
      <c r="Z7" s="96"/>
    </row>
    <row r="8" spans="2:26" x14ac:dyDescent="0.25">
      <c r="B8" s="96"/>
      <c r="C8" s="96"/>
      <c r="D8" s="96"/>
      <c r="E8" s="96"/>
      <c r="F8" s="96"/>
      <c r="G8" s="96"/>
      <c r="H8" s="96"/>
      <c r="I8" s="96"/>
      <c r="J8" s="96"/>
      <c r="K8" s="96"/>
      <c r="L8" s="96"/>
      <c r="M8" s="96"/>
      <c r="N8" s="96"/>
      <c r="O8" s="96"/>
      <c r="P8" s="96"/>
      <c r="Q8" s="96"/>
      <c r="R8" s="96"/>
      <c r="S8" s="96"/>
      <c r="T8" s="96"/>
      <c r="U8" s="96"/>
      <c r="V8" s="96"/>
      <c r="W8" s="96"/>
      <c r="X8" s="96"/>
      <c r="Y8" s="96"/>
      <c r="Z8" s="96"/>
    </row>
    <row r="11" spans="2:26" x14ac:dyDescent="0.25">
      <c r="U11"/>
    </row>
    <row r="25" spans="2:13" x14ac:dyDescent="0.25">
      <c r="M25" s="6" t="s">
        <v>196</v>
      </c>
    </row>
    <row r="27" spans="2:13" ht="15.75" x14ac:dyDescent="0.25">
      <c r="K27" s="26" t="s">
        <v>0</v>
      </c>
      <c r="M27" s="27" t="s">
        <v>88</v>
      </c>
    </row>
    <row r="28" spans="2:13" x14ac:dyDescent="0.25">
      <c r="B28" s="30"/>
    </row>
    <row r="29" spans="2:13" ht="21" x14ac:dyDescent="0.35">
      <c r="K29" s="28"/>
    </row>
  </sheetData>
  <mergeCells count="1">
    <mergeCell ref="B4:Z8"/>
  </mergeCells>
  <printOptions horizontalCentered="1" verticalCentered="1"/>
  <pageMargins left="0.23622047244094491" right="0.23622047244094491" top="0.74803149606299213" bottom="0.74803149606299213" header="0.31496062992125984" footer="0.31496062992125984"/>
  <pageSetup paperSize="5" scale="65" orientation="landscape" r:id="rId1"/>
  <headerFooter>
    <oddFooter>&amp;CAMATUKS 2023/2024</oddFooter>
  </headerFooter>
  <rowBreaks count="1" manualBreakCount="1">
    <brk id="44" max="26"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4:Z29"/>
  <sheetViews>
    <sheetView showGridLines="0" view="pageBreakPreview" topLeftCell="A10" zoomScale="85" zoomScaleNormal="80" zoomScaleSheetLayoutView="85" workbookViewId="0">
      <selection activeCell="AC20" sqref="AC20"/>
    </sheetView>
  </sheetViews>
  <sheetFormatPr defaultRowHeight="15" x14ac:dyDescent="0.25"/>
  <cols>
    <col min="1" max="2" width="9.140625" style="6"/>
    <col min="3" max="3" width="20.42578125" style="6" bestFit="1" customWidth="1"/>
    <col min="4" max="5" width="9.140625" style="6"/>
    <col min="6" max="6" width="10.140625" style="6" customWidth="1"/>
    <col min="7" max="16384" width="9.140625" style="6"/>
  </cols>
  <sheetData>
    <row r="4" spans="2:26" ht="15" customHeight="1" x14ac:dyDescent="0.25">
      <c r="B4" s="96" t="s">
        <v>46</v>
      </c>
      <c r="C4" s="96"/>
      <c r="D4" s="96"/>
      <c r="E4" s="96"/>
      <c r="F4" s="96"/>
      <c r="G4" s="96"/>
      <c r="H4" s="96"/>
      <c r="I4" s="96"/>
      <c r="J4" s="96"/>
      <c r="K4" s="96"/>
      <c r="L4" s="96"/>
      <c r="M4" s="96"/>
      <c r="N4" s="96"/>
      <c r="O4" s="96"/>
      <c r="P4" s="96"/>
      <c r="Q4" s="96"/>
      <c r="R4" s="96"/>
      <c r="S4" s="96"/>
      <c r="T4" s="96"/>
      <c r="U4" s="96"/>
      <c r="V4" s="96"/>
      <c r="W4" s="96"/>
      <c r="X4" s="96"/>
      <c r="Y4" s="96"/>
      <c r="Z4" s="96"/>
    </row>
    <row r="5" spans="2:26" ht="15" customHeight="1" x14ac:dyDescent="0.25">
      <c r="B5" s="96"/>
      <c r="C5" s="96"/>
      <c r="D5" s="96"/>
      <c r="E5" s="96"/>
      <c r="F5" s="96"/>
      <c r="G5" s="96"/>
      <c r="H5" s="96"/>
      <c r="I5" s="96"/>
      <c r="J5" s="96"/>
      <c r="K5" s="96"/>
      <c r="L5" s="96"/>
      <c r="M5" s="96"/>
      <c r="N5" s="96"/>
      <c r="O5" s="96"/>
      <c r="P5" s="96"/>
      <c r="Q5" s="96"/>
      <c r="R5" s="96"/>
      <c r="S5" s="96"/>
      <c r="T5" s="96"/>
      <c r="U5" s="96"/>
      <c r="V5" s="96"/>
      <c r="W5" s="96"/>
      <c r="X5" s="96"/>
      <c r="Y5" s="96"/>
      <c r="Z5" s="96"/>
    </row>
    <row r="6" spans="2:26" ht="15" customHeight="1" x14ac:dyDescent="0.25">
      <c r="B6" s="96"/>
      <c r="C6" s="96"/>
      <c r="D6" s="96"/>
      <c r="E6" s="96"/>
      <c r="F6" s="96"/>
      <c r="G6" s="96"/>
      <c r="H6" s="96"/>
      <c r="I6" s="96"/>
      <c r="J6" s="96"/>
      <c r="K6" s="96"/>
      <c r="L6" s="96"/>
      <c r="M6" s="96"/>
      <c r="N6" s="96"/>
      <c r="O6" s="96"/>
      <c r="P6" s="96"/>
      <c r="Q6" s="96"/>
      <c r="R6" s="96"/>
      <c r="S6" s="96"/>
      <c r="T6" s="96"/>
      <c r="U6" s="96"/>
      <c r="V6" s="96"/>
      <c r="W6" s="96"/>
      <c r="X6" s="96"/>
      <c r="Y6" s="96"/>
      <c r="Z6" s="96"/>
    </row>
    <row r="7" spans="2:26" ht="15" customHeight="1" x14ac:dyDescent="0.25">
      <c r="B7" s="96"/>
      <c r="C7" s="96"/>
      <c r="D7" s="96"/>
      <c r="E7" s="96"/>
      <c r="F7" s="96"/>
      <c r="G7" s="96"/>
      <c r="H7" s="96"/>
      <c r="I7" s="96"/>
      <c r="J7" s="96"/>
      <c r="K7" s="96"/>
      <c r="L7" s="96"/>
      <c r="M7" s="96"/>
      <c r="N7" s="96"/>
      <c r="O7" s="96"/>
      <c r="P7" s="96"/>
      <c r="Q7" s="96"/>
      <c r="R7" s="96"/>
      <c r="S7" s="96"/>
      <c r="T7" s="96"/>
      <c r="U7" s="96"/>
      <c r="V7" s="96"/>
      <c r="W7" s="96"/>
      <c r="X7" s="96"/>
      <c r="Y7" s="96"/>
      <c r="Z7" s="96"/>
    </row>
    <row r="8" spans="2:26" x14ac:dyDescent="0.25">
      <c r="B8" s="96"/>
      <c r="C8" s="96"/>
      <c r="D8" s="96"/>
      <c r="E8" s="96"/>
      <c r="F8" s="96"/>
      <c r="G8" s="96"/>
      <c r="H8" s="96"/>
      <c r="I8" s="96"/>
      <c r="J8" s="96"/>
      <c r="K8" s="96"/>
      <c r="L8" s="96"/>
      <c r="M8" s="96"/>
      <c r="N8" s="96"/>
      <c r="O8" s="96"/>
      <c r="P8" s="96"/>
      <c r="Q8" s="96"/>
      <c r="R8" s="96"/>
      <c r="S8" s="96"/>
      <c r="T8" s="96"/>
      <c r="U8" s="96"/>
      <c r="V8" s="96"/>
      <c r="W8" s="96"/>
      <c r="X8" s="96"/>
      <c r="Y8" s="96"/>
      <c r="Z8" s="96"/>
    </row>
    <row r="11" spans="2:26" x14ac:dyDescent="0.25">
      <c r="U11"/>
    </row>
    <row r="25" spans="2:13" x14ac:dyDescent="0.25">
      <c r="M25" s="6" t="s">
        <v>196</v>
      </c>
    </row>
    <row r="27" spans="2:13" ht="15.75" x14ac:dyDescent="0.25">
      <c r="K27" s="26" t="s">
        <v>0</v>
      </c>
      <c r="M27" s="27" t="s">
        <v>88</v>
      </c>
    </row>
    <row r="28" spans="2:13" x14ac:dyDescent="0.25">
      <c r="B28" s="30"/>
    </row>
    <row r="29" spans="2:13" ht="21" x14ac:dyDescent="0.35">
      <c r="K29" s="28"/>
    </row>
  </sheetData>
  <mergeCells count="1">
    <mergeCell ref="B4:Z8"/>
  </mergeCells>
  <printOptions horizontalCentered="1" verticalCentered="1"/>
  <pageMargins left="0.23622047244094491" right="0.23622047244094491" top="0.74803149606299213" bottom="0.74803149606299213" header="0.31496062992125984" footer="0.31496062992125984"/>
  <pageSetup paperSize="5" scale="66" orientation="landscape" r:id="rId1"/>
  <headerFooter>
    <oddFooter>&amp;CAMATUKS 2023/2024</oddFooter>
  </headerFooter>
  <rowBreaks count="1" manualBreakCount="1">
    <brk id="44" max="26"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vt:i4>
      </vt:variant>
    </vt:vector>
  </HeadingPairs>
  <TitlesOfParts>
    <vt:vector size="22" baseType="lpstr">
      <vt:lpstr>RAW DATA CONVERSION</vt:lpstr>
      <vt:lpstr>DAILY LOAD INPUT</vt:lpstr>
      <vt:lpstr>DATABASE </vt:lpstr>
      <vt:lpstr>GAMES </vt:lpstr>
      <vt:lpstr>PIVOT TABLES</vt:lpstr>
      <vt:lpstr>POSITIONS </vt:lpstr>
      <vt:lpstr>INTRO PAGE </vt:lpstr>
      <vt:lpstr>INDV D - DEF</vt:lpstr>
      <vt:lpstr>INDV D - MID</vt:lpstr>
      <vt:lpstr>INDV D - WINGERS </vt:lpstr>
      <vt:lpstr>INDV D - STR</vt:lpstr>
      <vt:lpstr>SESSION SUMMARY </vt:lpstr>
      <vt:lpstr>FATIGUE V FITNESS </vt:lpstr>
      <vt:lpstr>ACWR DASHBOARD</vt:lpstr>
      <vt:lpstr>'ACWR DASHBOARD'!Print_Area</vt:lpstr>
      <vt:lpstr>'FATIGUE V FITNESS '!Print_Area</vt:lpstr>
      <vt:lpstr>'INDV D - DEF'!Print_Area</vt:lpstr>
      <vt:lpstr>'INDV D - MID'!Print_Area</vt:lpstr>
      <vt:lpstr>'INDV D - STR'!Print_Area</vt:lpstr>
      <vt:lpstr>'INDV D - WINGERS '!Print_Area</vt:lpstr>
      <vt:lpstr>'INTRO PAGE '!Print_Area</vt:lpstr>
      <vt:lpstr>'SESSION SUMMARY '!Print_Area</vt:lpstr>
    </vt:vector>
  </TitlesOfParts>
  <Company>University of Pretoria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BEEEZE</dc:creator>
  <cp:lastModifiedBy>Hannah Dwyer</cp:lastModifiedBy>
  <cp:lastPrinted>2024-03-31T13:12:34Z</cp:lastPrinted>
  <dcterms:created xsi:type="dcterms:W3CDTF">2023-12-12T11:12:26Z</dcterms:created>
  <dcterms:modified xsi:type="dcterms:W3CDTF">2024-04-01T06:46:17Z</dcterms:modified>
</cp:coreProperties>
</file>